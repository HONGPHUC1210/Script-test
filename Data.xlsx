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78033\Downloads\Etude SAF memoire\"/>
    </mc:Choice>
  </mc:AlternateContent>
  <xr:revisionPtr revIDLastSave="0" documentId="13_ncr:1_{D14A3D7A-5A06-4E0D-952F-6E1B05A73709}" xr6:coauthVersionLast="47" xr6:coauthVersionMax="47" xr10:uidLastSave="{00000000-0000-0000-0000-000000000000}"/>
  <bookViews>
    <workbookView xWindow="-108" yWindow="-108" windowWidth="23256" windowHeight="12456" tabRatio="802" activeTab="7" xr2:uid="{311AB01D-AEDC-4439-AB4A-A507A14985C6}"/>
  </bookViews>
  <sheets>
    <sheet name="Data" sheetId="7" r:id="rId1"/>
    <sheet name="Taux" sheetId="16" r:id="rId2"/>
    <sheet name="Feuil1" sheetId="17" r:id="rId3"/>
    <sheet name="Feuil2" sheetId="18" r:id="rId4"/>
    <sheet name="EUROSTOXX" sheetId="20" r:id="rId5"/>
    <sheet name="S&amp;P EuroUSA 50 Low Carbon ESG S" sheetId="19" r:id="rId6"/>
    <sheet name="iSTOXX" sheetId="21" r:id="rId7"/>
    <sheet name="iSTOXX2" sheetId="22" r:id="rId8"/>
  </sheets>
  <definedNames>
    <definedName name="_xlnm._FilterDatabase" localSheetId="1" hidden="1">Taux!$B$12:$B$45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5" i="17" l="1"/>
  <c r="U25" i="17" s="1"/>
  <c r="S25" i="17"/>
  <c r="R25" i="17"/>
  <c r="E12" i="18"/>
  <c r="F12" i="18"/>
  <c r="S5" i="17" l="1"/>
  <c r="S6" i="17"/>
  <c r="S7" i="17"/>
  <c r="S8" i="17"/>
  <c r="S9" i="17"/>
  <c r="S10" i="17"/>
  <c r="S11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4" i="17"/>
  <c r="R10" i="17"/>
  <c r="F4" i="18"/>
  <c r="E4" i="18"/>
  <c r="L17" i="17"/>
  <c r="L20" i="17"/>
  <c r="L24" i="17"/>
  <c r="L26" i="17"/>
  <c r="L27" i="17"/>
  <c r="L36" i="17"/>
  <c r="L40" i="17"/>
  <c r="L45" i="17"/>
  <c r="R3" i="17" l="1"/>
  <c r="S3" i="17" s="1"/>
  <c r="R4" i="17"/>
  <c r="R5" i="17"/>
  <c r="R6" i="17"/>
  <c r="R7" i="17"/>
  <c r="R8" i="17"/>
  <c r="R9" i="17"/>
  <c r="R11" i="17"/>
  <c r="R12" i="17"/>
  <c r="S12" i="17" s="1"/>
  <c r="R13" i="17"/>
  <c r="R14" i="17"/>
  <c r="R15" i="17"/>
  <c r="R16" i="17"/>
  <c r="R17" i="17"/>
  <c r="R18" i="17"/>
  <c r="R19" i="17"/>
  <c r="R20" i="17"/>
  <c r="R21" i="17"/>
  <c r="R22" i="17"/>
  <c r="R23" i="17"/>
  <c r="R24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2" i="17"/>
  <c r="S2" i="17" s="1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</calcChain>
</file>

<file path=xl/sharedStrings.xml><?xml version="1.0" encoding="utf-8"?>
<sst xmlns="http://schemas.openxmlformats.org/spreadsheetml/2006/main" count="6500" uniqueCount="3772">
  <si>
    <t>iEdge ESG  Transatlantic 40 Diversified Decrement 50 Points GTR Index</t>
  </si>
  <si>
    <t>Year</t>
  </si>
  <si>
    <t>Taux</t>
  </si>
  <si>
    <t>Libellé</t>
  </si>
  <si>
    <t>Date debut</t>
  </si>
  <si>
    <t>Valeur Debut</t>
  </si>
  <si>
    <t>Date valuation</t>
  </si>
  <si>
    <t>Valeur à date valuation</t>
  </si>
  <si>
    <t>S0</t>
  </si>
  <si>
    <t>Barriere sortie anticipé</t>
  </si>
  <si>
    <t>Barriere sortie maturité</t>
  </si>
  <si>
    <t>Barriere protection</t>
  </si>
  <si>
    <t>freq sortie</t>
  </si>
  <si>
    <t>coupon par periode</t>
  </si>
  <si>
    <t>premiere annee sortie</t>
  </si>
  <si>
    <t>Annee finale</t>
  </si>
  <si>
    <t>valeur liquidative</t>
  </si>
  <si>
    <t>vm THEORIQUE</t>
  </si>
  <si>
    <t>Itinéraires Sept, 2020</t>
  </si>
  <si>
    <t>annuelle</t>
  </si>
  <si>
    <t>Itinéraires Janv, 2021</t>
  </si>
  <si>
    <t>Itinéraires Mai 2021</t>
  </si>
  <si>
    <t>Itinéraires Sept, 2021</t>
  </si>
  <si>
    <t>Itinéraires Janv, 2022</t>
  </si>
  <si>
    <t>Itinéraires Mai 2022</t>
  </si>
  <si>
    <t>Itinéraires Sept, 2022</t>
  </si>
  <si>
    <t>Zen Sept, 2022</t>
  </si>
  <si>
    <t>pas compris produit</t>
  </si>
  <si>
    <t>Itinéraires Janv, 2023</t>
  </si>
  <si>
    <t>Zen Janvier 2023</t>
  </si>
  <si>
    <t>Itinéraires Mai 2023</t>
  </si>
  <si>
    <t>Zen Mai 2023</t>
  </si>
  <si>
    <t>2 indice</t>
  </si>
  <si>
    <t>Itinéraires Sept, 2023</t>
  </si>
  <si>
    <t>Zen Sept, 2023</t>
  </si>
  <si>
    <t>Perspectives Mai 2023</t>
  </si>
  <si>
    <t>MMA Elite Sept, 2023</t>
  </si>
  <si>
    <t>mensuelle</t>
  </si>
  <si>
    <t>Perspectives Sept, 2023</t>
  </si>
  <si>
    <t>semestrielle</t>
  </si>
  <si>
    <t>Horizon Monde Déc, 2023</t>
  </si>
  <si>
    <t>MMA Elite Janvier 2024</t>
  </si>
  <si>
    <t>trimestrielle</t>
  </si>
  <si>
    <t>Itineraire Janvier 2024</t>
  </si>
  <si>
    <t>Zen Janvier 2024</t>
  </si>
  <si>
    <t>TARN JANVIER 2024</t>
  </si>
  <si>
    <t>Perspectives Janv, 2024</t>
  </si>
  <si>
    <t>Itineraire Mai 2024</t>
  </si>
  <si>
    <t>Zen Mai 2024</t>
  </si>
  <si>
    <t>Premium Transatlantique</t>
  </si>
  <si>
    <t>MMA Elite Mai 2024</t>
  </si>
  <si>
    <t>Perspectives MAI 2024</t>
  </si>
  <si>
    <t>HORIZON MAI 2024</t>
  </si>
  <si>
    <t>Taux Sept, 2024</t>
  </si>
  <si>
    <t>UCS Sept, 2024</t>
  </si>
  <si>
    <t>Itinéraires Sept, 2024</t>
  </si>
  <si>
    <t>Zen Septembre 2024</t>
  </si>
  <si>
    <t>Perspectives Sept, 2024</t>
  </si>
  <si>
    <t>MMA Elite Sept, 2024</t>
  </si>
  <si>
    <t>Zen Janvier 2025</t>
  </si>
  <si>
    <t>Itineraires Janvier 2025</t>
  </si>
  <si>
    <t>Perspectives Janvier 2025</t>
  </si>
  <si>
    <t>Elite Janvier 2025</t>
  </si>
  <si>
    <t>Taux Janvier 2025</t>
  </si>
  <si>
    <t>Itinéraires Mai 2025</t>
  </si>
  <si>
    <t>TAUX MAI 2025</t>
  </si>
  <si>
    <t>PERSPECTIVES MAI 2025</t>
  </si>
  <si>
    <t>MMA Elite Mai 2025</t>
  </si>
  <si>
    <t>ZEN MAI 2025</t>
  </si>
  <si>
    <t>Perspectives Taux Sept, 2025</t>
  </si>
  <si>
    <t>Zen Septembre 2025</t>
  </si>
  <si>
    <t>Itinéraires Sept, 2025</t>
  </si>
  <si>
    <t>Transatlantique Sept, 2025</t>
  </si>
  <si>
    <t>Ticker</t>
  </si>
  <si>
    <t>Indices sous-jacent</t>
  </si>
  <si>
    <t>Barrière</t>
  </si>
  <si>
    <t>SPT5D3ET Index</t>
  </si>
  <si>
    <t>Indice S&amp;P EuroUSA 50 ESG</t>
  </si>
  <si>
    <t>A5 à A7 : 75% et A8 : 65%</t>
  </si>
  <si>
    <t>IXTEEWDP Index</t>
  </si>
  <si>
    <t>iSTOXX Transatlantic ESG</t>
  </si>
  <si>
    <t>A5:80%, A6 à A8 : 80% (en quotidien)</t>
  </si>
  <si>
    <t>SPEUFPET Index</t>
  </si>
  <si>
    <t>S&amp;P EuroUSA 50 Low Carbon ESG</t>
  </si>
  <si>
    <t>A4 à A7 : 83% et A8 : 73%</t>
  </si>
  <si>
    <t>ESGT30DG Index</t>
  </si>
  <si>
    <t>iEdge ESG Transatlantic</t>
  </si>
  <si>
    <t>A5 à A7 : 85% et A8 : 50%</t>
  </si>
  <si>
    <t>SPTE5DET Index</t>
  </si>
  <si>
    <t>S&amp;P Transatlantic 100 ESG</t>
  </si>
  <si>
    <t>A5 à A8 : 73,5%</t>
  </si>
  <si>
    <t>SDGT50DG Index</t>
  </si>
  <si>
    <t>iEdge ESG Transatlantic SDG 50</t>
  </si>
  <si>
    <t>A1 à A37 : 69,5%</t>
  </si>
  <si>
    <t>CLAMBW Index</t>
  </si>
  <si>
    <t>Euronext World Sustainability and Climate</t>
  </si>
  <si>
    <t>A5 à A8 : 50%</t>
  </si>
  <si>
    <t>SDGT50DN Index</t>
  </si>
  <si>
    <t>Iedge ESG Transatlantic SDG</t>
  </si>
  <si>
    <t>Cliquet (+ haut mensuel jusqu'à l'échéance)</t>
  </si>
  <si>
    <t>SPEUEHET Index</t>
  </si>
  <si>
    <t>S&amp;P EUR, USA, JAPAN ESG</t>
  </si>
  <si>
    <t>A5 à A8 : 30%</t>
  </si>
  <si>
    <t>iEdge ESG Transat SDG</t>
  </si>
  <si>
    <t>A1 à A8 : 117,2%</t>
  </si>
  <si>
    <t>SOWBDV50 Index</t>
  </si>
  <si>
    <t>Solactive World Biodiversity Screened 200</t>
  </si>
  <si>
    <t>A5 à A7 : 50% et A8 : 30%</t>
  </si>
  <si>
    <t>SDGUSDN + SDGEZDN</t>
  </si>
  <si>
    <t>iEdge ESG US + iEdge ESG Eurozone</t>
  </si>
  <si>
    <t>Néant</t>
  </si>
  <si>
    <t>SPEUD3ET Index</t>
  </si>
  <si>
    <t>S&amp;P EuroUSAJapan 60 ESG</t>
  </si>
  <si>
    <t>A5 à A7 : 55% et A8 : 50%</t>
  </si>
  <si>
    <t>A5:90% A6:85% A7:80% et A8:75%</t>
  </si>
  <si>
    <t>GLOCLAMB Index</t>
  </si>
  <si>
    <t>Euronext Global Sustainability and Climate</t>
  </si>
  <si>
    <t>A3 à A10 : 100%</t>
  </si>
  <si>
    <t>SPGSDDET Index</t>
  </si>
  <si>
    <t>S&amp;P Euro-USA-Japan ESG</t>
  </si>
  <si>
    <t>A1 à A32 : 90%</t>
  </si>
  <si>
    <t>TITAN40T Index</t>
  </si>
  <si>
    <t>Bloomberg Transatlantic Titans 40</t>
  </si>
  <si>
    <t>A1 à A20 : 100%</t>
  </si>
  <si>
    <t>A2 à A12 : 100%</t>
  </si>
  <si>
    <t>IXTE1D50 Index</t>
  </si>
  <si>
    <t>iSTOXX Transatlantic ESG 100 GR</t>
  </si>
  <si>
    <t>A9 à A40 : 90%</t>
  </si>
  <si>
    <t>SDGSWODG Index</t>
  </si>
  <si>
    <t>iEdge ESG Screened World SDG</t>
  </si>
  <si>
    <t>A5 à A8 : 70%</t>
  </si>
  <si>
    <t>ICESWAP2 Index</t>
  </si>
  <si>
    <t>EUR CMS 30 ans et EUR CMS 5 ans</t>
  </si>
  <si>
    <t>A4 à A10 : Si ∑ des coupons &gt; à 19,3%</t>
  </si>
  <si>
    <t>SPGSD2ET Index</t>
  </si>
  <si>
    <t>S&amp;P EuropeUSAJapan ex-UK 100 ESG</t>
  </si>
  <si>
    <t>A8 à A48 : 100%</t>
  </si>
  <si>
    <t>IXEU1D50 Index</t>
  </si>
  <si>
    <t>iSTOXX Eurozone &amp; US ESG 100</t>
  </si>
  <si>
    <t>A7 à A10 : 62%</t>
  </si>
  <si>
    <t>iEdge ESG Screened Transatlantic</t>
  </si>
  <si>
    <t>A4 à A8 : 80%</t>
  </si>
  <si>
    <t>TIT40PT2 Index</t>
  </si>
  <si>
    <t>A7 à A40 : 100%</t>
  </si>
  <si>
    <t>SPUEP2ET Index</t>
  </si>
  <si>
    <t>S&amp;P EuroUSA 100 Net Zero 2050 Paris</t>
  </si>
  <si>
    <t>A3 à A21 : 90% et A22 : 60%</t>
  </si>
  <si>
    <t>A3 à A21 : 100% et A22 : 60%</t>
  </si>
  <si>
    <t>A6 à A48 : Variable et A22 : 80%</t>
  </si>
  <si>
    <t>EUR CMS 10 ans</t>
  </si>
  <si>
    <t>A2 à A12 : Entre 2,50% et 3,25%</t>
  </si>
  <si>
    <t>DE000SL0L6M2</t>
  </si>
  <si>
    <t>Solactive United States Technology 100</t>
  </si>
  <si>
    <t>A2 à A11 : 95%</t>
  </si>
  <si>
    <t>ESGSTDG Index</t>
  </si>
  <si>
    <t>SPEUPDET Index</t>
  </si>
  <si>
    <t>S&amp;P EuroUSA Net Zero 2050 Paris-Aligned</t>
  </si>
  <si>
    <t>A5 à A8 : 80%</t>
  </si>
  <si>
    <t>TITANST Index</t>
  </si>
  <si>
    <t>Eurozone Titans Select</t>
  </si>
  <si>
    <t>A2 à A11 : 100% et A12 : 80%</t>
  </si>
  <si>
    <t>A2 à A11 : 90% at A12 : 60%</t>
  </si>
  <si>
    <t>SOTS100 Index</t>
  </si>
  <si>
    <t>Solactive Transatlantic Social</t>
  </si>
  <si>
    <t>A5 à A8 : 85%</t>
  </si>
  <si>
    <t>ESGT40DG Index</t>
  </si>
  <si>
    <t>iEdge ESG Transatlantic EW 40</t>
  </si>
  <si>
    <t>A5 à A7 : 60% et A8 : 50%</t>
  </si>
  <si>
    <t>SUSTED50 Index</t>
  </si>
  <si>
    <t>Solactive USA Tech focus 100 EUR</t>
  </si>
  <si>
    <t>A9 à A48 : 95%</t>
  </si>
  <si>
    <t>IEDGE ESG TRANSATLANTIC EW 40</t>
  </si>
  <si>
    <t>A8 à A39 : 90% et A40 : 60%</t>
  </si>
  <si>
    <t>A2 à A12 : CMS &lt; à 2% + 0,05%/an</t>
  </si>
  <si>
    <t>BWESGPT Index</t>
  </si>
  <si>
    <t>World Titans ESG Select</t>
  </si>
  <si>
    <t>A5 à A7 : 65% et A8 : 50%</t>
  </si>
  <si>
    <t>A1 à A12 :entre 2,25% et 3,00%</t>
  </si>
  <si>
    <t>TBD Index Index</t>
  </si>
  <si>
    <t>Euronext US Markt Leaders 100</t>
  </si>
  <si>
    <t>MTPS50D Index</t>
  </si>
  <si>
    <t>Morningstar Transatlantic PAB Select 50</t>
  </si>
  <si>
    <t>A2 : A9 : 87% et A10 : 60%</t>
  </si>
  <si>
    <t>A5 à A8 : 89%</t>
  </si>
  <si>
    <t>ICESWAP2</t>
  </si>
  <si>
    <t>EUR CMS 10Y</t>
  </si>
  <si>
    <t>A2 à A12 : &lt; à 3%</t>
  </si>
  <si>
    <t>BWESGPTT</t>
  </si>
  <si>
    <t>Bloomberg World Titans ESG Select</t>
  </si>
  <si>
    <t>A5 à A8 : &gt; à 55%</t>
  </si>
  <si>
    <t>TITEUSTT</t>
  </si>
  <si>
    <t>Transatlantic Titans Select</t>
  </si>
  <si>
    <t>A13 à A120 : 93%</t>
  </si>
  <si>
    <t>ne peut pas trouve donne</t>
  </si>
  <si>
    <t>US</t>
  </si>
  <si>
    <t>EUROPE</t>
  </si>
  <si>
    <t xml:space="preserve">Effective date </t>
  </si>
  <si>
    <t>S&amp;P EuroUSA 50 Low Carbon ESG Select Equal Weight Index (EUR)</t>
  </si>
  <si>
    <t>date</t>
  </si>
  <si>
    <t>clot</t>
  </si>
  <si>
    <t>1196.4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</si>
  <si>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</si>
  <si>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</si>
  <si>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</si>
  <si>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</si>
  <si>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</si>
  <si>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</si>
  <si>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</si>
  <si>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</si>
  <si>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</si>
  <si>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</si>
  <si>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</si>
  <si>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</si>
  <si>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</si>
  <si>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</si>
  <si>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</si>
  <si>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</si>
  <si>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</si>
  <si>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</si>
  <si>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</si>
  <si>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</si>
  <si>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</si>
  <si>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</si>
  <si>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</si>
  <si>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</si>
  <si>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</si>
  <si>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</si>
  <si>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</si>
  <si>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</si>
  <si>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</si>
  <si>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01/05/2012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</si>
  <si>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</si>
  <si>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</si>
  <si>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</si>
  <si>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</si>
  <si>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</si>
  <si>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</si>
  <si>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</si>
  <si>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</si>
  <si>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</si>
  <si>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</si>
  <si>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</si>
  <si>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</si>
  <si>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</si>
  <si>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</si>
  <si>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</si>
  <si>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</si>
  <si>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</si>
  <si>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</si>
  <si>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</si>
  <si>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</si>
  <si>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</si>
  <si>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</si>
  <si>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</si>
  <si>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</si>
  <si>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</si>
  <si>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</si>
  <si>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07/06/2012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</si>
  <si>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</si>
  <si>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</si>
  <si>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</si>
  <si>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</si>
  <si>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</si>
  <si>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</si>
  <si>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</si>
  <si>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</si>
  <si>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</si>
  <si>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</si>
  <si>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</si>
  <si>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</si>
  <si>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</si>
  <si>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</si>
  <si>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</si>
  <si>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</si>
  <si>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</si>
  <si>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</si>
  <si>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</si>
  <si>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</si>
  <si>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</si>
  <si>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</si>
  <si>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</si>
  <si>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</si>
  <si>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</si>
  <si>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</si>
  <si>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</si>
  <si>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</si>
  <si>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</si>
  <si>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</si>
  <si>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</si>
  <si>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</si>
  <si>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</si>
  <si>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</si>
  <si>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</si>
  <si>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</si>
  <si>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</si>
  <si>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</si>
  <si>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</si>
  <si>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</si>
  <si>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</si>
  <si>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</si>
  <si>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</si>
  <si>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</si>
  <si>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</si>
  <si>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</si>
  <si>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</si>
  <si>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</si>
  <si>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</si>
  <si>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</si>
  <si>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</si>
  <si>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</si>
  <si>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</si>
  <si>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</si>
  <si>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</si>
  <si>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</si>
  <si>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</si>
  <si>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</si>
  <si>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</si>
  <si>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</si>
  <si>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</si>
  <si>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</si>
  <si>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</si>
  <si>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</si>
  <si>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</si>
  <si>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07/09/2012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</si>
  <si>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</si>
  <si>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</si>
  <si>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</si>
  <si>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</si>
  <si>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</si>
  <si>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</si>
  <si>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</si>
  <si>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</si>
  <si>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</si>
  <si>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</si>
  <si>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</si>
  <si>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</si>
  <si>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</si>
  <si>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</si>
  <si>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</si>
  <si>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</si>
  <si>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</si>
  <si>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</si>
  <si>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</si>
  <si>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</si>
  <si>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</si>
  <si>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</si>
  <si>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</si>
  <si>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</si>
  <si>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12/10/2012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</si>
  <si>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</si>
  <si>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</si>
  <si>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</si>
  <si>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</si>
  <si>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</si>
  <si>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</si>
  <si>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</si>
  <si>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</si>
  <si>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</si>
  <si>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</si>
  <si>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</si>
  <si>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</si>
  <si>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</si>
  <si>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</si>
  <si>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02/11/2012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</si>
  <si>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</si>
  <si>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</si>
  <si>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</si>
  <si>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</si>
  <si>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</si>
  <si>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</si>
  <si>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</si>
  <si>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</si>
  <si>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15/11/2012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</si>
  <si>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</si>
  <si>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</si>
  <si>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</si>
  <si>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</si>
  <si>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</si>
  <si>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</si>
  <si>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</si>
  <si>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</si>
  <si>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</si>
  <si>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</si>
  <si>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</si>
  <si>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</si>
  <si>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</si>
  <si>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</si>
  <si>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</si>
  <si>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</si>
  <si>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</si>
  <si>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</si>
  <si>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</si>
  <si>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</si>
  <si>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</si>
  <si>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</si>
  <si>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</si>
  <si>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</si>
  <si>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</si>
  <si>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</si>
  <si>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24/12/2012</t>
  </si>
  <si>
    <t>27/12/2012</t>
  </si>
  <si>
    <t>28/12/2012</t>
  </si>
  <si>
    <t>31/12/2012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</si>
  <si>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</si>
  <si>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</si>
  <si>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</si>
  <si>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</si>
  <si>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</si>
  <si>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</si>
  <si>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</si>
  <si>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</si>
  <si>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</si>
  <si>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</si>
  <si>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</si>
  <si>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</si>
  <si>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</si>
  <si>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</si>
  <si>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</si>
  <si>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</si>
  <si>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</si>
  <si>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</si>
  <si>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</si>
  <si>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</si>
  <si>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</si>
  <si>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</si>
  <si>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</si>
  <si>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</si>
  <si>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</si>
  <si>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</si>
  <si>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</si>
  <si>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</si>
  <si>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11/02/2013</t>
  </si>
  <si>
    <t>12/02/2013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</si>
  <si>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</si>
  <si>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</si>
  <si>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</si>
  <si>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</si>
  <si>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</si>
  <si>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</si>
  <si>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</si>
  <si>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</si>
  <si>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</si>
  <si>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</si>
  <si>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</si>
  <si>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</si>
  <si>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</si>
  <si>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</si>
  <si>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</si>
  <si>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</si>
  <si>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</si>
  <si>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</si>
  <si>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</si>
  <si>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</si>
  <si>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</si>
  <si>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</si>
  <si>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</si>
  <si>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</si>
  <si>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</si>
  <si>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</si>
  <si>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</si>
  <si>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</si>
  <si>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</si>
  <si>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</si>
  <si>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</si>
  <si>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</si>
  <si>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</si>
  <si>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</si>
  <si>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</si>
  <si>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</si>
  <si>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</si>
  <si>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</si>
  <si>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</si>
  <si>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</si>
  <si>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</si>
  <si>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</si>
  <si>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</si>
  <si>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</si>
  <si>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</si>
  <si>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</si>
  <si>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</si>
  <si>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</si>
  <si>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</si>
  <si>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</si>
  <si>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</si>
  <si>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</si>
  <si>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</si>
  <si>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01/05/2013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</si>
  <si>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</si>
  <si>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</si>
  <si>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</si>
  <si>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</si>
  <si>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</si>
  <si>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</si>
  <si>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</si>
  <si>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</si>
  <si>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</si>
  <si>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</si>
  <si>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</si>
  <si>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</si>
  <si>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</si>
  <si>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</si>
  <si>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</si>
  <si>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</si>
  <si>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</si>
  <si>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</si>
  <si>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</si>
  <si>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</si>
  <si>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30/05/2013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</si>
  <si>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</si>
  <si>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</si>
  <si>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</si>
  <si>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</si>
  <si>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</si>
  <si>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</si>
  <si>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</si>
  <si>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</si>
  <si>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</si>
  <si>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</si>
  <si>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</si>
  <si>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</si>
  <si>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</si>
  <si>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</si>
  <si>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</si>
  <si>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</si>
  <si>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</si>
  <si>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</si>
  <si>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</si>
  <si>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</si>
  <si>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</si>
  <si>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</si>
  <si>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</si>
  <si>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</si>
  <si>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</si>
  <si>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</si>
  <si>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</si>
  <si>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</si>
  <si>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</si>
  <si>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</si>
  <si>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</si>
  <si>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</si>
  <si>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</si>
  <si>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</si>
  <si>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</si>
  <si>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</si>
  <si>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</si>
  <si>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</si>
  <si>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</si>
  <si>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</si>
  <si>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</si>
  <si>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</si>
  <si>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</si>
  <si>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</si>
  <si>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</si>
  <si>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</si>
  <si>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</si>
  <si>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</si>
  <si>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</si>
  <si>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</si>
  <si>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</si>
  <si>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</si>
  <si>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</si>
  <si>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</si>
  <si>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</si>
  <si>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</si>
  <si>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</si>
  <si>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</si>
  <si>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</si>
  <si>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</si>
  <si>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</si>
  <si>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</si>
  <si>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</si>
  <si>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</si>
  <si>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</si>
  <si>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</si>
  <si>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</si>
  <si>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</si>
  <si>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</si>
  <si>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</si>
  <si>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</si>
  <si>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</si>
  <si>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</si>
  <si>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</si>
  <si>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</si>
  <si>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</si>
  <si>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</si>
  <si>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</si>
  <si>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</si>
  <si>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</si>
  <si>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</si>
  <si>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</si>
  <si>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</si>
  <si>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</si>
  <si>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</si>
  <si>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</si>
  <si>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</si>
  <si>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</si>
  <si>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</si>
  <si>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</si>
  <si>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</si>
  <si>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</si>
  <si>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</si>
  <si>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</si>
  <si>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</si>
  <si>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</si>
  <si>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</si>
  <si>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</si>
  <si>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</si>
  <si>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</si>
  <si>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</si>
  <si>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</si>
  <si>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</si>
  <si>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</si>
  <si>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</si>
  <si>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</si>
  <si>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</si>
  <si>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</si>
  <si>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</si>
  <si>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</si>
  <si>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</si>
  <si>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</si>
  <si>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</si>
  <si>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</si>
  <si>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</si>
  <si>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</si>
  <si>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</si>
  <si>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</si>
  <si>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</si>
  <si>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</si>
  <si>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15/11/2013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</si>
  <si>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</si>
  <si>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</si>
  <si>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</si>
  <si>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</si>
  <si>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</si>
  <si>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</si>
  <si>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</si>
  <si>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</si>
  <si>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</si>
  <si>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</si>
  <si>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</si>
  <si>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</si>
  <si>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</si>
  <si>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</si>
  <si>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</si>
  <si>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</si>
  <si>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</si>
  <si>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</si>
  <si>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</si>
  <si>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</si>
  <si>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</si>
  <si>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</si>
  <si>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</si>
  <si>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</si>
  <si>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</si>
  <si>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</si>
  <si>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24/12/2013</t>
  </si>
  <si>
    <t>27/12/2013</t>
  </si>
  <si>
    <t>30/12/2013</t>
  </si>
  <si>
    <t>31/12/2013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</si>
  <si>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</si>
  <si>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</si>
  <si>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</si>
  <si>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</si>
  <si>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</si>
  <si>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</si>
  <si>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</si>
  <si>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</si>
  <si>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</si>
  <si>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</si>
  <si>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</si>
  <si>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</si>
  <si>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</si>
  <si>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</si>
  <si>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</si>
  <si>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</si>
  <si>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</si>
  <si>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</si>
  <si>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</si>
  <si>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</si>
  <si>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</si>
  <si>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</si>
  <si>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</si>
  <si>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</si>
  <si>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</si>
  <si>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</si>
  <si>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</si>
  <si>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</si>
  <si>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</si>
  <si>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</si>
  <si>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</si>
  <si>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</si>
  <si>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</si>
  <si>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</si>
  <si>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</si>
  <si>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</si>
  <si>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</si>
  <si>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</si>
  <si>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</si>
  <si>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</si>
  <si>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</si>
  <si>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</si>
  <si>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03/03/2014</t>
  </si>
  <si>
    <t>04/03/2014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</si>
  <si>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</si>
  <si>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</si>
  <si>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</si>
  <si>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</si>
  <si>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</si>
  <si>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</si>
  <si>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</si>
  <si>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</si>
  <si>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</si>
  <si>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</si>
  <si>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</si>
  <si>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</si>
  <si>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</si>
  <si>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</si>
  <si>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</si>
  <si>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</si>
  <si>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</si>
  <si>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</si>
  <si>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</si>
  <si>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</si>
  <si>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</si>
  <si>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</si>
  <si>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</si>
  <si>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</si>
  <si>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</si>
  <si>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</si>
  <si>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</si>
  <si>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</si>
  <si>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</si>
  <si>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</si>
  <si>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</si>
  <si>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</si>
  <si>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</si>
  <si>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</si>
  <si>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</si>
  <si>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</si>
  <si>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</si>
  <si>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</si>
  <si>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</si>
  <si>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01/05/2014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</si>
  <si>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</si>
  <si>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</si>
  <si>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</si>
  <si>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</si>
  <si>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</si>
  <si>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</si>
  <si>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</si>
  <si>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</si>
  <si>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</si>
  <si>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</si>
  <si>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</si>
  <si>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</si>
  <si>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</si>
  <si>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</si>
  <si>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</si>
  <si>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</si>
  <si>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</si>
  <si>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</si>
  <si>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</si>
  <si>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</si>
  <si>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</si>
  <si>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</si>
  <si>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</si>
  <si>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</si>
  <si>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</si>
  <si>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</si>
  <si>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</si>
  <si>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</si>
  <si>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</si>
  <si>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</si>
  <si>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</si>
  <si>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</si>
  <si>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</si>
  <si>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</si>
  <si>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19/06/2014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</si>
  <si>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</si>
  <si>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</si>
  <si>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</si>
  <si>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</si>
  <si>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</si>
  <si>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</si>
  <si>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</si>
  <si>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</si>
  <si>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</si>
  <si>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</si>
  <si>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</si>
  <si>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</si>
  <si>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</si>
  <si>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</si>
  <si>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</si>
  <si>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</si>
  <si>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</si>
  <si>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</si>
  <si>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</si>
  <si>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</si>
  <si>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</si>
  <si>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</si>
  <si>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</si>
  <si>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</si>
  <si>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</si>
  <si>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</si>
  <si>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</si>
  <si>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</si>
  <si>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</si>
  <si>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</si>
  <si>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</si>
  <si>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</si>
  <si>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</si>
  <si>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</si>
  <si>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</si>
  <si>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</si>
  <si>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</si>
  <si>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</si>
  <si>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</si>
  <si>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</si>
  <si>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</si>
  <si>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</si>
  <si>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</si>
  <si>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</si>
  <si>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</si>
  <si>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</si>
  <si>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</si>
  <si>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</si>
  <si>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</si>
  <si>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</si>
  <si>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</si>
  <si>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</si>
  <si>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</si>
  <si>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</si>
  <si>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</si>
  <si>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</si>
  <si>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</si>
  <si>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</si>
  <si>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</si>
  <si>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</si>
  <si>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</si>
  <si>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</si>
  <si>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</si>
  <si>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</si>
  <si>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</si>
  <si>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</si>
  <si>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</si>
  <si>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</si>
  <si>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</si>
  <si>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</si>
  <si>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</si>
  <si>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</si>
  <si>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</si>
  <si>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</si>
  <si>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</si>
  <si>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</si>
  <si>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</si>
  <si>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</si>
  <si>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</si>
  <si>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</si>
  <si>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</si>
  <si>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</si>
  <si>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</si>
  <si>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</si>
  <si>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</si>
  <si>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</si>
  <si>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</si>
  <si>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</si>
  <si>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</si>
  <si>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</si>
  <si>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</si>
  <si>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</si>
  <si>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</si>
  <si>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</si>
  <si>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</si>
  <si>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</si>
  <si>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</si>
  <si>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</si>
  <si>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</si>
  <si>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</si>
  <si>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</si>
  <si>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</si>
  <si>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</si>
  <si>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</si>
  <si>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</si>
  <si>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</si>
  <si>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</si>
  <si>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</si>
  <si>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</si>
  <si>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</si>
  <si>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</si>
  <si>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</si>
  <si>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</si>
  <si>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</si>
  <si>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</si>
  <si>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</si>
  <si>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</si>
  <si>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</si>
  <si>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</si>
  <si>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</si>
  <si>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</si>
  <si>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</si>
  <si>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</si>
  <si>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</si>
  <si>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</si>
  <si>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</si>
  <si>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</si>
  <si>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</si>
  <si>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</si>
  <si>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</si>
  <si>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</si>
  <si>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</si>
  <si>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</si>
  <si>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24/12/2014</t>
  </si>
  <si>
    <t>29/12/2014</t>
  </si>
  <si>
    <t>30/12/2014</t>
  </si>
  <si>
    <t>31/12/2014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</si>
  <si>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</si>
  <si>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</si>
  <si>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</si>
  <si>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</si>
  <si>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</si>
  <si>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</si>
  <si>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</si>
  <si>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</si>
  <si>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</si>
  <si>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</si>
  <si>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</si>
  <si>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</si>
  <si>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</si>
  <si>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</si>
  <si>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</si>
  <si>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</si>
  <si>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</si>
  <si>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</si>
  <si>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</si>
  <si>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</si>
  <si>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</si>
  <si>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</si>
  <si>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</si>
  <si>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</si>
  <si>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</si>
  <si>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</si>
  <si>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</si>
  <si>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</si>
  <si>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</si>
  <si>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</si>
  <si>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</si>
  <si>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16/02/2015</t>
  </si>
  <si>
    <t>17/02/2015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</si>
  <si>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</si>
  <si>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</si>
  <si>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</si>
  <si>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</si>
  <si>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</si>
  <si>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</si>
  <si>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</si>
  <si>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</si>
  <si>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</si>
  <si>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</si>
  <si>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</si>
  <si>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</si>
  <si>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</si>
  <si>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</si>
  <si>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</si>
  <si>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</si>
  <si>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</si>
  <si>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</si>
  <si>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</si>
  <si>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</si>
  <si>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</si>
  <si>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</si>
  <si>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</si>
  <si>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</si>
  <si>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</si>
  <si>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</si>
  <si>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</si>
  <si>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</si>
  <si>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</si>
  <si>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</si>
  <si>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</si>
  <si>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</si>
  <si>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</si>
  <si>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</si>
  <si>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</si>
  <si>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</si>
  <si>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</si>
  <si>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</si>
  <si>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</si>
  <si>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</si>
  <si>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</si>
  <si>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</si>
  <si>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21/04/2015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</si>
  <si>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</si>
  <si>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</si>
  <si>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</si>
  <si>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</si>
  <si>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</si>
  <si>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</si>
  <si>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</si>
  <si>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01/05/2015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</si>
  <si>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</si>
  <si>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</si>
  <si>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</si>
  <si>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</si>
  <si>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</si>
  <si>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</si>
  <si>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</si>
  <si>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</si>
  <si>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</si>
  <si>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</si>
  <si>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</si>
  <si>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</si>
  <si>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</si>
  <si>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</si>
  <si>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</si>
  <si>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</si>
  <si>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</si>
  <si>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</si>
  <si>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</si>
  <si>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</si>
  <si>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</si>
  <si>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</si>
  <si>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</si>
  <si>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04/06/2015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</si>
  <si>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</si>
  <si>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</si>
  <si>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</si>
  <si>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</si>
  <si>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</si>
  <si>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</si>
  <si>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</si>
  <si>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</si>
  <si>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</si>
  <si>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</si>
  <si>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</si>
  <si>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</si>
  <si>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</si>
  <si>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</si>
  <si>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</si>
  <si>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</si>
  <si>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</si>
  <si>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</si>
  <si>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</si>
  <si>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</si>
  <si>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</si>
  <si>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</si>
  <si>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</si>
  <si>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</si>
  <si>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</si>
  <si>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</si>
  <si>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</si>
  <si>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</si>
  <si>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</si>
  <si>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</si>
  <si>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</si>
  <si>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</si>
  <si>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</si>
  <si>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</si>
  <si>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</si>
  <si>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</si>
  <si>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</si>
  <si>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</si>
  <si>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</si>
  <si>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</si>
  <si>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</si>
  <si>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</si>
  <si>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</si>
  <si>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</si>
  <si>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</si>
  <si>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</si>
  <si>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</si>
  <si>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</si>
  <si>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</si>
  <si>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</si>
  <si>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</si>
  <si>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</si>
  <si>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</si>
  <si>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</si>
  <si>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</si>
  <si>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</si>
  <si>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</si>
  <si>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</si>
  <si>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</si>
  <si>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</si>
  <si>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</si>
  <si>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</si>
  <si>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</si>
  <si>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</si>
  <si>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</si>
  <si>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</si>
  <si>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07/09/2015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</si>
  <si>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</si>
  <si>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</si>
  <si>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</si>
  <si>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</si>
  <si>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</si>
  <si>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</si>
  <si>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</si>
  <si>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</si>
  <si>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</si>
  <si>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</si>
  <si>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</si>
  <si>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</si>
  <si>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</si>
  <si>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</si>
  <si>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</si>
  <si>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</si>
  <si>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</si>
  <si>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</si>
  <si>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</si>
  <si>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</si>
  <si>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</si>
  <si>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</si>
  <si>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</si>
  <si>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</si>
  <si>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12/10/2015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</si>
  <si>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</si>
  <si>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</si>
  <si>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</si>
  <si>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</si>
  <si>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</si>
  <si>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</si>
  <si>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</si>
  <si>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</si>
  <si>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</si>
  <si>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</si>
  <si>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</si>
  <si>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</si>
  <si>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</si>
  <si>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</si>
  <si>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02/11/2015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</si>
  <si>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</si>
  <si>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</si>
  <si>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</si>
  <si>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</si>
  <si>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</si>
  <si>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</si>
  <si>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</si>
  <si>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</si>
  <si>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</si>
  <si>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</si>
  <si>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</si>
  <si>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</si>
  <si>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</si>
  <si>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</si>
  <si>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</si>
  <si>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</si>
  <si>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</si>
  <si>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</si>
  <si>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</si>
  <si>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</si>
  <si>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</si>
  <si>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</si>
  <si>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</si>
  <si>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</si>
  <si>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</si>
  <si>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</si>
  <si>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</si>
  <si>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</si>
  <si>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</si>
  <si>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</si>
  <si>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</si>
  <si>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</si>
  <si>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</si>
  <si>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</si>
  <si>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</si>
  <si>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</si>
  <si>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</si>
  <si>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24/12/2015</t>
  </si>
  <si>
    <t>28/12/2015</t>
  </si>
  <si>
    <t>29/12/2015</t>
  </si>
  <si>
    <t>30/12/2015</t>
  </si>
  <si>
    <t>31/12/2015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</si>
  <si>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</si>
  <si>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</si>
  <si>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</si>
  <si>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</si>
  <si>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</si>
  <si>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</si>
  <si>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</si>
  <si>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</si>
  <si>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</si>
  <si>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</si>
  <si>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</si>
  <si>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</si>
  <si>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</si>
  <si>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</si>
  <si>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</si>
  <si>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</si>
  <si>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</si>
  <si>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</si>
  <si>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</si>
  <si>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</si>
  <si>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</si>
  <si>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</si>
  <si>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</si>
  <si>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</si>
  <si>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</si>
  <si>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08/02/2016</t>
  </si>
  <si>
    <t>09/02/2016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</si>
  <si>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</si>
  <si>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</si>
  <si>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</si>
  <si>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</si>
  <si>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</si>
  <si>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</si>
  <si>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</si>
  <si>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</si>
  <si>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</si>
  <si>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</si>
  <si>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</si>
  <si>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</si>
  <si>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</si>
  <si>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</si>
  <si>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</si>
  <si>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</si>
  <si>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</si>
  <si>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</si>
  <si>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</si>
  <si>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</si>
  <si>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</si>
  <si>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</si>
  <si>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</si>
  <si>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</si>
  <si>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</si>
  <si>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</si>
  <si>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</si>
  <si>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</si>
  <si>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</si>
  <si>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</si>
  <si>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</si>
  <si>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</si>
  <si>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</si>
  <si>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</si>
  <si>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</si>
  <si>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</si>
  <si>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</si>
  <si>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</si>
  <si>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</si>
  <si>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</si>
  <si>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</si>
  <si>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</si>
  <si>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</si>
  <si>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</si>
  <si>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</si>
  <si>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</si>
  <si>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</si>
  <si>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</si>
  <si>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</si>
  <si>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</si>
  <si>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</si>
  <si>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</si>
  <si>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</si>
  <si>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</si>
  <si>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</si>
  <si>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</si>
  <si>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</si>
  <si>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</si>
  <si>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</si>
  <si>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</si>
  <si>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</si>
  <si>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</si>
  <si>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</si>
  <si>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</si>
  <si>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</si>
  <si>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</si>
  <si>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</si>
  <si>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</si>
  <si>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</si>
  <si>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</si>
  <si>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</si>
  <si>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</si>
  <si>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</si>
  <si>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</si>
  <si>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</si>
  <si>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</si>
  <si>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</si>
  <si>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</si>
  <si>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</si>
  <si>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</si>
  <si>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</si>
  <si>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</si>
  <si>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</si>
  <si>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</si>
  <si>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</si>
  <si>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</si>
  <si>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</si>
  <si>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</si>
  <si>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</si>
  <si>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</si>
  <si>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</si>
  <si>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</si>
  <si>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</si>
  <si>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</si>
  <si>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</si>
  <si>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</si>
  <si>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</si>
  <si>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</si>
  <si>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</si>
  <si>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</si>
  <si>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</si>
  <si>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</si>
  <si>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</si>
  <si>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</si>
  <si>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</si>
  <si>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</si>
  <si>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</si>
  <si>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</si>
  <si>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</si>
  <si>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</si>
  <si>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</si>
  <si>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</si>
  <si>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</si>
  <si>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</si>
  <si>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</si>
  <si>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</si>
  <si>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</si>
  <si>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</si>
  <si>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</si>
  <si>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</si>
  <si>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</si>
  <si>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</si>
  <si>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</si>
  <si>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</si>
  <si>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</si>
  <si>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</si>
  <si>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</si>
  <si>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</si>
  <si>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</si>
  <si>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</si>
  <si>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</si>
  <si>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</si>
  <si>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</si>
  <si>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</si>
  <si>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</si>
  <si>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</si>
  <si>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</si>
  <si>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</si>
  <si>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</si>
  <si>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</si>
  <si>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</si>
  <si>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</si>
  <si>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</si>
  <si>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</si>
  <si>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</si>
  <si>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</si>
  <si>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</si>
  <si>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</si>
  <si>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</si>
  <si>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</si>
  <si>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</si>
  <si>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</si>
  <si>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</si>
  <si>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</si>
  <si>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</si>
  <si>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</si>
  <si>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</si>
  <si>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</si>
  <si>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</si>
  <si>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</si>
  <si>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</si>
  <si>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</si>
  <si>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</si>
  <si>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</si>
  <si>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</si>
  <si>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</si>
  <si>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</si>
  <si>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</si>
  <si>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</si>
  <si>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</si>
  <si>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</si>
  <si>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</si>
  <si>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</si>
  <si>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</si>
  <si>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</si>
  <si>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</si>
  <si>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</si>
  <si>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</si>
  <si>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</si>
  <si>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</si>
  <si>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</si>
  <si>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</si>
  <si>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</si>
  <si>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</si>
  <si>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</si>
  <si>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</si>
  <si>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</si>
  <si>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</si>
  <si>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</si>
  <si>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</si>
  <si>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</si>
  <si>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</si>
  <si>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</si>
  <si>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</si>
  <si>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</si>
  <si>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</si>
  <si>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</si>
  <si>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</si>
  <si>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</si>
  <si>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</si>
  <si>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</si>
  <si>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</si>
  <si>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</si>
  <si>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</si>
  <si>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</si>
  <si>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</si>
  <si>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</si>
  <si>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</si>
  <si>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</si>
  <si>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</si>
  <si>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</si>
  <si>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</si>
  <si>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</si>
  <si>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</si>
  <si>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</si>
  <si>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</si>
  <si>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</si>
  <si>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</si>
  <si>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</si>
  <si>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</si>
  <si>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</si>
  <si>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</si>
  <si>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</si>
  <si>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</si>
  <si>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</si>
  <si>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</si>
  <si>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27/12/2016</t>
  </si>
  <si>
    <t>28/12/2016</t>
  </si>
  <si>
    <t>29/12/2016</t>
  </si>
  <si>
    <t>30/12/2016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</si>
  <si>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</si>
  <si>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</si>
  <si>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</si>
  <si>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</si>
  <si>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</si>
  <si>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</si>
  <si>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</si>
  <si>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</si>
  <si>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</si>
  <si>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</si>
  <si>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</si>
  <si>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</si>
  <si>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</si>
  <si>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</si>
  <si>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</si>
  <si>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</si>
  <si>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</si>
  <si>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</si>
  <si>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</si>
  <si>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</si>
  <si>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</si>
  <si>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</si>
  <si>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</si>
  <si>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</si>
  <si>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</si>
  <si>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</si>
  <si>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</si>
  <si>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</si>
  <si>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</si>
  <si>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</si>
  <si>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</si>
  <si>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</si>
  <si>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</si>
  <si>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</si>
  <si>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</si>
  <si>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</si>
  <si>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</si>
  <si>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</si>
  <si>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</si>
  <si>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</si>
  <si>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</si>
  <si>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</si>
  <si>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</si>
  <si>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</si>
  <si>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</si>
  <si>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</si>
  <si>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</si>
  <si>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</si>
  <si>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</si>
  <si>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</si>
  <si>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</si>
  <si>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</si>
  <si>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</si>
  <si>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</si>
  <si>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</si>
  <si>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</si>
  <si>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</si>
  <si>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</si>
  <si>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</si>
  <si>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</si>
  <si>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</si>
  <si>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</si>
  <si>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</si>
  <si>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</si>
  <si>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</si>
  <si>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</si>
  <si>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</si>
  <si>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</si>
  <si>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</si>
  <si>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</si>
  <si>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</si>
  <si>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</si>
  <si>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</si>
  <si>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</si>
  <si>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</si>
  <si>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</si>
  <si>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</si>
  <si>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</si>
  <si>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</si>
  <si>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</si>
  <si>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</si>
  <si>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</si>
  <si>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</si>
  <si>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01/05/2017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</si>
  <si>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</si>
  <si>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</si>
  <si>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</si>
  <si>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</si>
  <si>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</si>
  <si>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</si>
  <si>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</si>
  <si>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</si>
  <si>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</si>
  <si>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</si>
  <si>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</si>
  <si>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</si>
  <si>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</si>
  <si>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</si>
  <si>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</si>
  <si>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</si>
  <si>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</si>
  <si>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</si>
  <si>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</si>
  <si>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</si>
  <si>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</si>
  <si>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</si>
  <si>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</si>
  <si>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</si>
  <si>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</si>
  <si>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</si>
  <si>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</si>
  <si>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</si>
  <si>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</si>
  <si>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</si>
  <si>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</si>
  <si>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</si>
  <si>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</si>
  <si>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</si>
  <si>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</si>
  <si>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</si>
  <si>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</si>
  <si>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</si>
  <si>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</si>
  <si>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</si>
  <si>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</si>
  <si>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</si>
  <si>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</si>
  <si>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</si>
  <si>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</si>
  <si>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</si>
  <si>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</si>
  <si>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</si>
  <si>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</si>
  <si>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</si>
  <si>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</si>
  <si>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</si>
  <si>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</si>
  <si>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</si>
  <si>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</si>
  <si>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</si>
  <si>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</si>
  <si>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</si>
  <si>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</si>
  <si>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</si>
  <si>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</si>
  <si>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</si>
  <si>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</si>
  <si>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</si>
  <si>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</si>
  <si>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</si>
  <si>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</si>
  <si>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</si>
  <si>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</si>
  <si>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</si>
  <si>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</si>
  <si>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</si>
  <si>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</si>
  <si>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</si>
  <si>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</si>
  <si>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</si>
  <si>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</si>
  <si>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</si>
  <si>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</si>
  <si>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</si>
  <si>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</si>
  <si>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</si>
  <si>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</si>
  <si>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</si>
  <si>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</si>
  <si>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</si>
  <si>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</si>
  <si>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</si>
  <si>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</si>
  <si>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</si>
  <si>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</si>
  <si>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</si>
  <si>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</si>
  <si>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</si>
  <si>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</si>
  <si>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</si>
  <si>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</si>
  <si>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</si>
  <si>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</si>
  <si>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</si>
  <si>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</si>
  <si>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</si>
  <si>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</si>
  <si>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</si>
  <si>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</si>
  <si>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</si>
  <si>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</si>
  <si>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</si>
  <si>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</si>
  <si>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</si>
  <si>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</si>
  <si>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</si>
  <si>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</si>
  <si>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</si>
  <si>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</si>
  <si>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</si>
  <si>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</si>
  <si>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</si>
  <si>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</si>
  <si>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</si>
  <si>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</si>
  <si>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</si>
  <si>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</si>
  <si>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</si>
  <si>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</si>
  <si>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</si>
  <si>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</si>
  <si>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</si>
  <si>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</si>
  <si>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</si>
  <si>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</si>
  <si>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</si>
  <si>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</si>
  <si>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</si>
  <si>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</si>
  <si>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</si>
  <si>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</si>
  <si>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</si>
  <si>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</si>
  <si>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</si>
  <si>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</si>
  <si>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</si>
  <si>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</si>
  <si>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</si>
  <si>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</si>
  <si>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</si>
  <si>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</si>
  <si>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</si>
  <si>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</si>
  <si>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</si>
  <si>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</si>
  <si>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</si>
  <si>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</si>
  <si>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</si>
  <si>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</si>
  <si>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</si>
  <si>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</si>
  <si>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</si>
  <si>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</si>
  <si>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</si>
  <si>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</si>
  <si>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</si>
  <si>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</si>
  <si>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</si>
  <si>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</si>
  <si>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</si>
  <si>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</si>
  <si>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</si>
  <si>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</si>
  <si>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</si>
  <si>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</si>
  <si>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</si>
  <si>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</si>
  <si>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</si>
  <si>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</si>
  <si>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</si>
  <si>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</si>
  <si>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</si>
  <si>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</si>
  <si>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</si>
  <si>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</si>
  <si>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</si>
  <si>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</si>
  <si>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</si>
  <si>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</si>
  <si>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</si>
  <si>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</si>
  <si>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</si>
  <si>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</si>
  <si>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</si>
  <si>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</si>
  <si>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</si>
  <si>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</si>
  <si>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</si>
  <si>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</si>
  <si>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</si>
  <si>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</si>
  <si>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</si>
  <si>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</si>
  <si>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</si>
  <si>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</si>
  <si>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</si>
  <si>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</si>
  <si>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</si>
  <si>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</si>
  <si>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</si>
  <si>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</si>
  <si>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</si>
  <si>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</si>
  <si>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</si>
  <si>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</si>
  <si>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</si>
  <si>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</si>
  <si>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</si>
  <si>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</si>
  <si>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</si>
  <si>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</si>
  <si>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</si>
  <si>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</si>
  <si>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</si>
  <si>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</si>
  <si>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</si>
  <si>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</si>
  <si>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</si>
  <si>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</si>
  <si>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</si>
  <si>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</si>
  <si>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</si>
  <si>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</si>
  <si>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</si>
  <si>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</si>
  <si>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</si>
  <si>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</si>
  <si>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</si>
  <si>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</si>
  <si>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</si>
  <si>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</si>
  <si>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</si>
  <si>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</si>
  <si>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</si>
  <si>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</si>
  <si>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</si>
  <si>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</si>
  <si>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</si>
  <si>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</si>
  <si>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</si>
  <si>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</si>
  <si>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</si>
  <si>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</si>
  <si>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</si>
  <si>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</si>
  <si>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</si>
  <si>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</si>
  <si>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</si>
  <si>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</si>
  <si>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01/05/2018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</si>
  <si>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</si>
  <si>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</si>
  <si>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</si>
  <si>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</si>
  <si>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</si>
  <si>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</si>
  <si>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</si>
  <si>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</si>
  <si>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</si>
  <si>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</si>
  <si>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</si>
  <si>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</si>
  <si>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</si>
  <si>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</si>
  <si>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</si>
  <si>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</si>
  <si>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</si>
  <si>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</si>
  <si>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</si>
  <si>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</si>
  <si>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</si>
  <si>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</si>
  <si>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</si>
  <si>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</si>
  <si>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</si>
  <si>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</si>
  <si>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</si>
  <si>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</si>
  <si>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</si>
  <si>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</si>
  <si>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</si>
  <si>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</si>
  <si>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</si>
  <si>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</si>
  <si>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</si>
  <si>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</si>
  <si>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</si>
  <si>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</si>
  <si>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</si>
  <si>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</si>
  <si>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</si>
  <si>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</si>
  <si>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</si>
  <si>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</si>
  <si>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</si>
  <si>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</si>
  <si>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</si>
  <si>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</si>
  <si>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</si>
  <si>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</si>
  <si>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</si>
  <si>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</si>
  <si>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</si>
  <si>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</si>
  <si>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</si>
  <si>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</si>
  <si>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</si>
  <si>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</si>
  <si>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</si>
  <si>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</si>
  <si>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</si>
  <si>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</si>
  <si>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</si>
  <si>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</si>
  <si>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</si>
  <si>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</si>
  <si>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</si>
  <si>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</si>
  <si>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</si>
  <si>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</si>
  <si>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</si>
  <si>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</si>
  <si>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</si>
  <si>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</si>
  <si>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</si>
  <si>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</si>
  <si>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</si>
  <si>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</si>
  <si>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</si>
  <si>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</si>
  <si>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</si>
  <si>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</si>
  <si>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</si>
  <si>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</si>
  <si>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</si>
  <si>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</si>
  <si>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</si>
  <si>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</si>
  <si>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</si>
  <si>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</si>
  <si>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</si>
  <si>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</si>
  <si>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</si>
  <si>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</si>
  <si>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</si>
  <si>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</si>
  <si>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</si>
  <si>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</si>
  <si>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</si>
  <si>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</si>
  <si>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</si>
  <si>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</si>
  <si>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</si>
  <si>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</si>
  <si>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</si>
  <si>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</si>
  <si>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</si>
  <si>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</si>
  <si>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</si>
  <si>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</si>
  <si>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</si>
  <si>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</si>
  <si>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</si>
  <si>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</si>
  <si>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</si>
  <si>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</si>
  <si>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</si>
  <si>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</si>
  <si>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</si>
  <si>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</si>
  <si>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</si>
  <si>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</si>
  <si>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</si>
  <si>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</si>
  <si>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</si>
  <si>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</si>
  <si>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</si>
  <si>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</si>
  <si>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</si>
  <si>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</si>
  <si>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</si>
  <si>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</si>
  <si>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</si>
  <si>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</si>
  <si>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</si>
  <si>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</si>
  <si>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</si>
  <si>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</si>
  <si>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</si>
  <si>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</si>
  <si>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</si>
  <si>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</si>
  <si>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</si>
  <si>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</si>
  <si>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</si>
  <si>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</si>
  <si>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</si>
  <si>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</si>
  <si>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</si>
  <si>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</si>
  <si>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</si>
  <si>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</si>
  <si>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</si>
  <si>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</si>
  <si>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</si>
  <si>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</si>
  <si>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</si>
  <si>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</si>
  <si>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</si>
  <si>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</si>
  <si>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</si>
  <si>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</si>
  <si>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</si>
  <si>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</si>
  <si>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</si>
  <si>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</si>
  <si>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</si>
  <si>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</si>
  <si>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</si>
  <si>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</si>
  <si>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</si>
  <si>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</si>
  <si>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</si>
  <si>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</si>
  <si>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</si>
  <si>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</si>
  <si>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</si>
  <si>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</si>
  <si>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</si>
  <si>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</si>
  <si>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</si>
  <si>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</si>
  <si>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</si>
  <si>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</si>
  <si>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</si>
  <si>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</si>
  <si>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</si>
  <si>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</si>
  <si>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</si>
  <si>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</si>
  <si>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</si>
  <si>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</si>
  <si>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</si>
  <si>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</si>
  <si>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</si>
  <si>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</si>
  <si>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</si>
  <si>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</si>
  <si>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</si>
  <si>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</si>
  <si>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</si>
  <si>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</si>
  <si>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</si>
  <si>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</si>
  <si>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</si>
  <si>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</si>
  <si>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</si>
  <si>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</si>
  <si>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</si>
  <si>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</si>
  <si>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</si>
  <si>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</si>
  <si>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</si>
  <si>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</si>
  <si>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</si>
  <si>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</si>
  <si>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</si>
  <si>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</si>
  <si>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</si>
  <si>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</si>
  <si>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</si>
  <si>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</si>
  <si>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</si>
  <si>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</si>
  <si>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</si>
  <si>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</si>
  <si>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</si>
  <si>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</si>
  <si>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</si>
  <si>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</si>
  <si>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</si>
  <si>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</si>
  <si>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</si>
  <si>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</si>
  <si>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</si>
  <si>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</si>
  <si>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</si>
  <si>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</si>
  <si>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</si>
  <si>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</si>
  <si>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</si>
  <si>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</si>
  <si>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</si>
  <si>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</si>
  <si>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</si>
  <si>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</si>
  <si>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</si>
  <si>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</si>
  <si>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</si>
  <si>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</si>
  <si>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</si>
  <si>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</si>
  <si>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</si>
  <si>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</si>
  <si>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</si>
  <si>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01/05/2019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</si>
  <si>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</si>
  <si>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</si>
  <si>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</si>
  <si>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</si>
  <si>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</si>
  <si>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</si>
  <si>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</si>
  <si>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</si>
  <si>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</si>
  <si>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</si>
  <si>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</si>
  <si>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</si>
  <si>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</si>
  <si>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</si>
  <si>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</si>
  <si>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</si>
  <si>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</si>
  <si>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</si>
  <si>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</si>
  <si>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</si>
  <si>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</si>
  <si>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</si>
  <si>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</si>
  <si>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</si>
  <si>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</si>
  <si>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</si>
  <si>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</si>
  <si>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</si>
  <si>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</si>
  <si>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</si>
  <si>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</si>
  <si>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</si>
  <si>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</si>
  <si>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</si>
  <si>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</si>
  <si>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</si>
  <si>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</si>
  <si>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</si>
  <si>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</si>
  <si>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</si>
  <si>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</si>
  <si>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</si>
  <si>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</si>
  <si>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</si>
  <si>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</si>
  <si>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</si>
  <si>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</si>
  <si>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</si>
  <si>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</si>
  <si>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</si>
  <si>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</si>
  <si>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</si>
  <si>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</si>
  <si>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</si>
  <si>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</si>
  <si>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</si>
  <si>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</si>
  <si>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</si>
  <si>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</si>
  <si>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</si>
  <si>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</si>
  <si>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</si>
  <si>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</si>
  <si>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</si>
  <si>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</si>
  <si>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</si>
  <si>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</si>
  <si>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</si>
  <si>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</si>
  <si>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</si>
  <si>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</si>
  <si>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</si>
  <si>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</si>
  <si>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</si>
  <si>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</si>
  <si>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</si>
  <si>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</si>
  <si>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</si>
  <si>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</si>
  <si>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</si>
  <si>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</si>
  <si>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</si>
  <si>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</si>
  <si>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</si>
  <si>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</si>
  <si>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</si>
  <si>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</si>
  <si>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</si>
  <si>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</si>
  <si>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</si>
  <si>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</si>
  <si>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</si>
  <si>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</si>
  <si>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</si>
  <si>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</si>
  <si>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</si>
  <si>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</si>
  <si>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</si>
  <si>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</si>
  <si>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</si>
  <si>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</si>
  <si>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</si>
  <si>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</si>
  <si>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</si>
  <si>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</si>
  <si>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</si>
  <si>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</si>
  <si>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</si>
  <si>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</si>
  <si>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</si>
  <si>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</si>
  <si>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</si>
  <si>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</si>
  <si>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</si>
  <si>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</si>
  <si>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</si>
  <si>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</si>
  <si>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</si>
  <si>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</si>
  <si>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</si>
  <si>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</si>
  <si>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</si>
  <si>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</si>
  <si>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</si>
  <si>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</si>
  <si>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</si>
  <si>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</si>
  <si>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</si>
  <si>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</si>
  <si>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</si>
  <si>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</si>
  <si>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</si>
  <si>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</si>
  <si>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</si>
  <si>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</si>
  <si>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</si>
  <si>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</si>
  <si>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</si>
  <si>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</si>
  <si>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</si>
  <si>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</si>
  <si>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</si>
  <si>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</si>
  <si>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</si>
  <si>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</si>
  <si>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</si>
  <si>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</si>
  <si>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</si>
  <si>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</si>
  <si>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</si>
  <si>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</si>
  <si>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</si>
  <si>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</si>
  <si>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</si>
  <si>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</si>
  <si>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</si>
  <si>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</si>
  <si>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</si>
  <si>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</si>
  <si>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</si>
  <si>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</si>
  <si>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</si>
  <si>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</si>
  <si>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</si>
  <si>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</si>
  <si>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</si>
  <si>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</si>
  <si>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</si>
  <si>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</si>
  <si>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</si>
  <si>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</si>
  <si>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</si>
  <si>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</si>
  <si>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</si>
  <si>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</si>
  <si>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</si>
  <si>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</si>
  <si>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</si>
  <si>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</si>
  <si>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</si>
  <si>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</si>
  <si>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</si>
  <si>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</si>
  <si>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</si>
  <si>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</si>
  <si>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</si>
  <si>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</si>
  <si>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</si>
  <si>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</si>
  <si>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</si>
  <si>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</si>
  <si>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</si>
  <si>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</si>
  <si>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</si>
  <si>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</si>
  <si>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</si>
  <si>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</si>
  <si>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</si>
  <si>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</si>
  <si>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</si>
  <si>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</si>
  <si>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</si>
  <si>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</si>
  <si>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</si>
  <si>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</si>
  <si>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</si>
  <si>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</si>
  <si>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</si>
  <si>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</si>
  <si>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</si>
  <si>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</si>
  <si>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</si>
  <si>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</si>
  <si>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</si>
  <si>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</si>
  <si>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</si>
  <si>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</si>
  <si>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</si>
  <si>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</si>
  <si>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</si>
  <si>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</si>
  <si>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</si>
  <si>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</si>
  <si>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</si>
  <si>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</si>
  <si>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</si>
  <si>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</si>
  <si>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</si>
  <si>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</si>
  <si>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</si>
  <si>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</si>
  <si>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</si>
  <si>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</si>
  <si>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</si>
  <si>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</si>
  <si>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</si>
  <si>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</si>
  <si>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</si>
  <si>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</si>
  <si>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</si>
  <si>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</si>
  <si>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</si>
  <si>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</si>
  <si>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</si>
  <si>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</si>
  <si>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</si>
  <si>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</si>
  <si>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</si>
  <si>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</si>
  <si>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</si>
  <si>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</si>
  <si>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</si>
  <si>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</si>
  <si>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</si>
  <si>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</si>
  <si>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</si>
  <si>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</si>
  <si>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</si>
  <si>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</si>
  <si>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</si>
  <si>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</si>
  <si>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</si>
  <si>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</si>
  <si>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</si>
  <si>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</si>
  <si>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</si>
  <si>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</si>
  <si>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</si>
  <si>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</si>
  <si>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</si>
  <si>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</si>
  <si>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</si>
  <si>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</si>
  <si>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</si>
  <si>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</si>
  <si>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</si>
  <si>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</si>
  <si>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</si>
  <si>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</si>
  <si>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</si>
  <si>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</si>
  <si>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</si>
  <si>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</si>
  <si>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</si>
  <si>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</si>
  <si>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</si>
  <si>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</si>
  <si>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</si>
  <si>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</si>
  <si>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</si>
  <si>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</si>
  <si>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</si>
  <si>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</si>
  <si>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</si>
  <si>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</si>
  <si>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</si>
  <si>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</si>
  <si>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</si>
  <si>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</si>
  <si>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</si>
  <si>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</si>
  <si>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</si>
  <si>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</si>
  <si>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</si>
  <si>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</si>
  <si>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</si>
  <si>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</si>
  <si>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</si>
  <si>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</si>
  <si>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</si>
  <si>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</si>
  <si>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</si>
  <si>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</si>
  <si>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</si>
  <si>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</si>
  <si>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</si>
  <si>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</si>
  <si>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</si>
  <si>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</si>
  <si>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</si>
  <si>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</si>
  <si>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</si>
  <si>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</si>
  <si>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</si>
  <si>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</si>
  <si>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</si>
  <si>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</si>
  <si>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</si>
  <si>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</si>
  <si>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</si>
  <si>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</si>
  <si>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</si>
  <si>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</si>
  <si>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</si>
  <si>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</si>
  <si>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</si>
  <si>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</si>
  <si>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</si>
  <si>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</si>
  <si>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</si>
  <si>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</si>
  <si>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</si>
  <si>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</si>
  <si>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</si>
  <si>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</si>
  <si>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</si>
  <si>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</si>
  <si>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</si>
  <si>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</si>
  <si>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</si>
  <si>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</si>
  <si>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</si>
  <si>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</si>
  <si>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</si>
  <si>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</si>
  <si>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</si>
  <si>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</si>
  <si>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</si>
  <si>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</si>
  <si>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</si>
  <si>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</si>
  <si>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</si>
  <si>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</si>
  <si>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</si>
  <si>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</si>
  <si>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</si>
  <si>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</si>
  <si>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</si>
  <si>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</si>
  <si>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</si>
  <si>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</si>
  <si>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</si>
  <si>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</si>
  <si>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</si>
  <si>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</si>
  <si>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</si>
  <si>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</si>
  <si>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</si>
  <si>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</si>
  <si>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</si>
  <si>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</si>
  <si>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</si>
  <si>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</si>
  <si>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</si>
  <si>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</si>
  <si>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</si>
  <si>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</si>
  <si>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</si>
  <si>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</si>
  <si>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</si>
  <si>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</si>
  <si>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</si>
  <si>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</si>
  <si>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</si>
  <si>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</si>
  <si>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</si>
  <si>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</si>
  <si>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</si>
  <si>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</si>
  <si>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</si>
  <si>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</si>
  <si>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</si>
  <si>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</si>
  <si>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</si>
  <si>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</si>
  <si>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</si>
  <si>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</si>
  <si>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</si>
  <si>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</si>
  <si>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</si>
  <si>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</si>
  <si>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</si>
  <si>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</si>
  <si>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</si>
  <si>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</si>
  <si>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</si>
  <si>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</si>
  <si>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</si>
  <si>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</si>
  <si>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</si>
  <si>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</si>
  <si>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</si>
  <si>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</si>
  <si>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</si>
  <si>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</si>
  <si>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</si>
  <si>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</si>
  <si>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</si>
  <si>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</si>
  <si>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</si>
  <si>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</si>
  <si>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</si>
  <si>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</si>
  <si>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</si>
  <si>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</si>
  <si>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</si>
  <si>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</si>
  <si>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</si>
  <si>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</si>
  <si>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</si>
  <si>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</si>
  <si>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</si>
  <si>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</si>
  <si>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</si>
  <si>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</si>
  <si>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</si>
  <si>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</si>
  <si>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</si>
  <si>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</si>
  <si>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</si>
  <si>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</si>
  <si>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</si>
  <si>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</si>
  <si>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</si>
  <si>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</si>
  <si>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</si>
  <si>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</si>
  <si>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</si>
  <si>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</si>
  <si>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</si>
  <si>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</si>
  <si>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</si>
  <si>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</si>
  <si>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</si>
  <si>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</si>
  <si>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</si>
  <si>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</si>
  <si>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</si>
  <si>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</si>
  <si>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</si>
  <si>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</si>
  <si>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</si>
  <si>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</si>
  <si>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</si>
  <si>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</si>
  <si>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</si>
  <si>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</si>
  <si>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</si>
  <si>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</si>
  <si>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</si>
  <si>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</si>
  <si>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</si>
  <si>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</si>
  <si>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</si>
  <si>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</si>
  <si>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</si>
  <si>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</si>
  <si>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</si>
  <si>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</si>
  <si>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</si>
  <si>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</si>
  <si>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</si>
  <si>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</si>
  <si>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</si>
  <si>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</si>
  <si>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</si>
  <si>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</si>
  <si>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</si>
  <si>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</si>
  <si>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</si>
  <si>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</si>
  <si>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</si>
  <si>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</si>
  <si>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</si>
  <si>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</si>
  <si>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</si>
  <si>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</si>
  <si>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</si>
  <si>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</si>
  <si>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</si>
  <si>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</si>
  <si>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</si>
  <si>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</si>
  <si>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</si>
  <si>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</si>
  <si>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</si>
  <si>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</si>
  <si>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</si>
  <si>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</si>
  <si>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</si>
  <si>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</si>
  <si>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</si>
  <si>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</si>
  <si>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</si>
  <si>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</si>
  <si>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</si>
  <si>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</si>
  <si>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</si>
  <si>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</si>
  <si>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</si>
  <si>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</si>
  <si>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</si>
  <si>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</si>
  <si>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</si>
  <si>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</si>
  <si>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</si>
  <si>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</si>
  <si>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</si>
  <si>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</si>
  <si>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</si>
  <si>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</si>
  <si>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</si>
  <si>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</si>
  <si>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</si>
  <si>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</si>
  <si>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</si>
  <si>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</si>
  <si>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</si>
  <si>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</si>
  <si>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</si>
  <si>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</si>
  <si>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</si>
  <si>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</si>
  <si>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</si>
  <si>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</si>
  <si>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</si>
  <si>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</si>
  <si>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</si>
  <si>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</si>
  <si>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</si>
  <si>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</si>
  <si>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</si>
  <si>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</si>
  <si>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</si>
  <si>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</si>
  <si>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</si>
  <si>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</si>
  <si>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</si>
  <si>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</si>
  <si>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</si>
  <si>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</si>
  <si>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</si>
  <si>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</si>
  <si>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</si>
  <si>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</si>
  <si>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</si>
  <si>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</si>
  <si>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</si>
  <si>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</si>
  <si>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</si>
  <si>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</si>
  <si>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</si>
  <si>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</si>
  <si>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</si>
  <si>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</si>
  <si>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</si>
  <si>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</si>
  <si>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</si>
  <si>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</si>
  <si>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</si>
  <si>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</si>
  <si>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</si>
  <si>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</si>
  <si>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</si>
  <si>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</si>
  <si>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</si>
  <si>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</si>
  <si>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</si>
  <si>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</si>
  <si>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</si>
  <si>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</si>
  <si>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</si>
  <si>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</si>
  <si>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</si>
  <si>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</si>
  <si>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</si>
  <si>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</si>
  <si>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</si>
  <si>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</si>
  <si>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</si>
  <si>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</si>
  <si>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</si>
  <si>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</si>
  <si>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</si>
  <si>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</si>
  <si>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</si>
  <si>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</si>
  <si>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</si>
  <si>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</si>
  <si>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</si>
  <si>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</si>
  <si>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</si>
  <si>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</si>
  <si>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</si>
  <si>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</si>
  <si>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</si>
  <si>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</si>
  <si>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</si>
  <si>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</si>
  <si>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</si>
  <si>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</si>
  <si>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</si>
  <si>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</si>
  <si>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</si>
  <si>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</si>
  <si>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</si>
  <si>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</si>
  <si>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</si>
  <si>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</si>
  <si>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</si>
  <si>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</si>
  <si>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</si>
  <si>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</si>
  <si>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</si>
  <si>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</si>
  <si>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</si>
  <si>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</si>
  <si>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</si>
  <si>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</si>
  <si>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</si>
  <si>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</si>
  <si>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</si>
  <si>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</si>
  <si>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</si>
  <si>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</si>
  <si>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</si>
  <si>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</si>
  <si>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</si>
  <si>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</si>
  <si>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</si>
  <si>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</si>
  <si>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</si>
  <si>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</si>
  <si>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</si>
  <si>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</si>
  <si>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</si>
  <si>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</si>
  <si>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</si>
  <si>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</si>
  <si>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</si>
  <si>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</si>
  <si>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</si>
  <si>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</si>
  <si>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</si>
  <si>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</si>
  <si>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</si>
  <si>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</si>
  <si>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</si>
  <si>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</si>
  <si>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</si>
  <si>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</si>
  <si>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</si>
  <si>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</si>
  <si>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</si>
  <si>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</si>
  <si>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</si>
  <si>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</si>
  <si>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</si>
  <si>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</si>
  <si>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</si>
  <si>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</si>
  <si>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</si>
  <si>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</si>
  <si>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</si>
  <si>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</si>
  <si>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</si>
  <si>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</si>
  <si>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</si>
  <si>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</si>
  <si>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</si>
  <si>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</si>
  <si>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</si>
  <si>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</si>
  <si>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</si>
  <si>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</si>
  <si>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</si>
  <si>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</si>
  <si>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</si>
  <si>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</si>
  <si>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</si>
  <si>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</si>
  <si>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</si>
  <si>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</si>
  <si>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</si>
  <si>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</si>
  <si>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</si>
  <si>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</si>
  <si>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</si>
  <si>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</si>
  <si>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</si>
  <si>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</si>
  <si>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</si>
  <si>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</si>
  <si>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</si>
  <si>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</si>
  <si>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</si>
  <si>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</si>
  <si>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</si>
  <si>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</si>
  <si>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</si>
  <si>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</si>
  <si>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</si>
  <si>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</si>
  <si>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</si>
  <si>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</si>
  <si>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</si>
  <si>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</si>
  <si>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</si>
  <si>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</si>
  <si>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</si>
  <si>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</si>
  <si>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</si>
  <si>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</si>
  <si>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</si>
  <si>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</si>
  <si>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</si>
  <si>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</si>
  <si>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</si>
  <si>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</si>
  <si>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</si>
  <si>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</si>
  <si>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</si>
  <si>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</si>
  <si>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</si>
  <si>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</si>
  <si>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</si>
  <si>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</si>
  <si>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</si>
  <si>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</si>
  <si>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</si>
  <si>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</si>
  <si>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</si>
  <si>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</si>
  <si>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</si>
  <si>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</si>
  <si>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</si>
  <si>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</si>
  <si>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</si>
  <si>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</si>
  <si>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</si>
  <si>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</si>
  <si>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</si>
  <si>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</si>
  <si>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</si>
  <si>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</si>
  <si>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</si>
  <si>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</si>
  <si>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</si>
  <si>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</si>
  <si>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</si>
  <si>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</si>
  <si>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</si>
  <si>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</si>
  <si>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</si>
  <si>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</si>
  <si>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</si>
  <si>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</si>
  <si>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</si>
  <si>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</si>
  <si>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</si>
  <si>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</si>
  <si>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</si>
  <si>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</si>
  <si>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</si>
  <si>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</si>
  <si>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</si>
  <si>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</si>
  <si>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</si>
  <si>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</si>
  <si>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</si>
  <si>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</si>
  <si>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</si>
  <si>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</si>
  <si>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</si>
  <si>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</si>
  <si>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</si>
  <si>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</si>
  <si>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</si>
  <si>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</si>
  <si>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</si>
  <si>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</si>
  <si>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</si>
  <si>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</si>
  <si>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</si>
  <si>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</si>
  <si>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</si>
  <si>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</si>
  <si>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</si>
  <si>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</si>
  <si>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</si>
  <si>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</si>
  <si>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</si>
  <si>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</si>
  <si>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</si>
  <si>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</si>
  <si>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</si>
  <si>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</si>
  <si>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</si>
  <si>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</si>
  <si>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</si>
  <si>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</si>
  <si>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</si>
  <si>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</si>
  <si>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</si>
  <si>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</si>
  <si>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</si>
  <si>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</si>
  <si>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</si>
  <si>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</si>
  <si>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</si>
  <si>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</si>
  <si>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</si>
  <si>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</si>
  <si>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</si>
  <si>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</si>
  <si>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</si>
  <si>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</si>
  <si>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</si>
  <si>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</si>
  <si>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</si>
  <si>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</si>
  <si>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</si>
  <si>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</si>
  <si>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</si>
  <si>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</si>
  <si>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</si>
  <si>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</si>
  <si>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</si>
  <si>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</si>
  <si>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</si>
  <si>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</si>
  <si>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</si>
  <si>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</si>
  <si>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</si>
  <si>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</si>
  <si>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</si>
  <si>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</si>
  <si>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</si>
  <si>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</si>
  <si>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</si>
  <si>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</si>
  <si>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</si>
  <si>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</si>
  <si>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</si>
  <si>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</si>
  <si>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</si>
  <si>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</si>
  <si>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</si>
  <si>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</si>
  <si>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</si>
  <si>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</si>
  <si>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</si>
  <si>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</si>
  <si>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</si>
  <si>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</si>
  <si>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</si>
  <si>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</si>
  <si>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</si>
  <si>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</si>
  <si>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</si>
  <si>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</si>
  <si>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</si>
  <si>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</si>
  <si>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</si>
  <si>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</si>
  <si>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</si>
  <si>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</si>
  <si>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</si>
  <si>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</si>
  <si>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</si>
  <si>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</si>
  <si>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</si>
  <si>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</si>
  <si>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</si>
  <si>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</si>
  <si>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</si>
  <si>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</si>
  <si>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</si>
  <si>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</si>
  <si>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</si>
  <si>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</si>
  <si>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</si>
  <si>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</si>
  <si>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</si>
  <si>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</si>
  <si>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</si>
  <si>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</si>
  <si>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</si>
  <si>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</si>
  <si>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</si>
  <si>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</si>
  <si>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</si>
  <si>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</si>
  <si>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</si>
  <si>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</si>
  <si>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</si>
  <si>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</si>
  <si>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</si>
  <si>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</si>
  <si>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</si>
  <si>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</si>
  <si>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</si>
  <si>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</si>
  <si>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</si>
  <si>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</si>
  <si>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</si>
  <si>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</si>
  <si>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</si>
  <si>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</si>
  <si>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</si>
  <si>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</si>
  <si>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</si>
  <si>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</si>
  <si>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</si>
  <si>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</si>
  <si>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</si>
  <si>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</si>
  <si>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</si>
  <si>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</si>
  <si>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</si>
  <si>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</si>
  <si>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</si>
  <si>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</si>
  <si>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</si>
  <si>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</si>
  <si>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</si>
  <si>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</si>
  <si>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</si>
  <si>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</si>
  <si>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</si>
  <si>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</si>
  <si>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</si>
  <si>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</si>
  <si>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</si>
  <si>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</si>
  <si>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</si>
  <si>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</si>
  <si>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</si>
  <si>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</si>
  <si>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</si>
  <si>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</si>
  <si>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</si>
  <si>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</si>
  <si>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</si>
  <si>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</si>
  <si>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</si>
  <si>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</si>
  <si>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</si>
  <si>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</si>
  <si>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</si>
  <si>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</si>
  <si>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</si>
  <si>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</si>
  <si>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</si>
  <si>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</si>
  <si>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</si>
  <si>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</si>
  <si>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</si>
  <si>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</si>
  <si>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</si>
  <si>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</si>
  <si>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</si>
  <si>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</si>
  <si>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</si>
  <si>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</si>
  <si>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</si>
  <si>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</si>
  <si>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</si>
  <si>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</si>
  <si>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</si>
  <si>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</si>
  <si>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</si>
  <si>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</si>
  <si>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</si>
  <si>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</si>
  <si>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</si>
  <si>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</si>
  <si>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</si>
  <si>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</si>
  <si>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</si>
  <si>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</si>
  <si>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</si>
  <si>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</si>
  <si>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</si>
  <si>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</si>
  <si>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</si>
  <si>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</si>
  <si>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</si>
  <si>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</si>
  <si>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</si>
  <si>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</si>
  <si>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</si>
  <si>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</si>
  <si>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</si>
  <si>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</si>
  <si>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</si>
  <si>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</si>
  <si>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</si>
  <si>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01/05/2023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</si>
  <si>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</si>
  <si>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</si>
  <si>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</si>
  <si>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</si>
  <si>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</si>
  <si>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</si>
  <si>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</si>
  <si>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</si>
  <si>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</si>
  <si>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</si>
  <si>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</si>
  <si>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</si>
  <si>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</si>
  <si>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</si>
  <si>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</si>
  <si>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</si>
  <si>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</si>
  <si>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</si>
  <si>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</si>
  <si>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</si>
  <si>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</si>
  <si>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</si>
  <si>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</si>
  <si>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</si>
  <si>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</si>
  <si>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</si>
  <si>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</si>
  <si>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</si>
  <si>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</si>
  <si>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</si>
  <si>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</si>
  <si>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</si>
  <si>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</si>
  <si>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</si>
  <si>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</si>
  <si>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</si>
  <si>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</si>
  <si>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</si>
  <si>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</si>
  <si>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</si>
  <si>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</si>
  <si>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</si>
  <si>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</si>
  <si>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</si>
  <si>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</si>
  <si>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</si>
  <si>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</si>
  <si>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</si>
  <si>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</si>
  <si>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</si>
  <si>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</si>
  <si>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</si>
  <si>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</si>
  <si>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</si>
  <si>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</si>
  <si>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</si>
  <si>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</si>
  <si>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</si>
  <si>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</si>
  <si>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</si>
  <si>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</si>
  <si>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</si>
  <si>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</si>
  <si>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</si>
  <si>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</si>
  <si>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</si>
  <si>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</si>
  <si>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</si>
  <si>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</si>
  <si>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</si>
  <si>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</si>
  <si>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</si>
  <si>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</si>
  <si>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</si>
  <si>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</si>
  <si>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</si>
  <si>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</si>
  <si>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</si>
  <si>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</si>
  <si>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</si>
  <si>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</si>
  <si>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</si>
  <si>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</si>
  <si>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</si>
  <si>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</si>
  <si>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</si>
  <si>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</si>
  <si>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</si>
  <si>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</si>
  <si>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</si>
  <si>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</si>
  <si>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</si>
  <si>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</si>
  <si>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</si>
  <si>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</si>
  <si>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</si>
  <si>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</si>
  <si>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</si>
  <si>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</si>
  <si>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</si>
  <si>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</si>
  <si>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</si>
  <si>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</si>
  <si>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</si>
  <si>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</si>
  <si>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</si>
  <si>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</si>
  <si>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</si>
  <si>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</si>
  <si>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</si>
  <si>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</si>
  <si>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</si>
  <si>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</si>
  <si>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</si>
  <si>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</si>
  <si>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</si>
  <si>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</si>
  <si>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</si>
  <si>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</si>
  <si>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</si>
  <si>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</si>
  <si>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</si>
  <si>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</si>
  <si>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</si>
  <si>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</si>
  <si>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</si>
  <si>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</si>
  <si>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</si>
  <si>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</si>
  <si>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</si>
  <si>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</si>
  <si>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</si>
  <si>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</si>
  <si>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</si>
  <si>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</si>
  <si>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</si>
  <si>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</si>
  <si>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</si>
  <si>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</si>
  <si>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</si>
  <si>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</si>
  <si>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</si>
  <si>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</si>
  <si>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</si>
  <si>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</si>
  <si>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</si>
  <si>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</si>
  <si>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</si>
  <si>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</si>
  <si>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</si>
  <si>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</si>
  <si>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</si>
  <si>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</si>
  <si>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</si>
  <si>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</si>
  <si>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</si>
  <si>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</si>
  <si>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</si>
  <si>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</si>
  <si>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</si>
  <si>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</si>
  <si>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</si>
  <si>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</si>
  <si>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</si>
  <si>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</si>
  <si>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</si>
  <si>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</si>
  <si>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</si>
  <si>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</si>
  <si>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</si>
  <si>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</si>
  <si>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</si>
  <si>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</si>
  <si>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</si>
  <si>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</si>
  <si>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</si>
  <si>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</si>
  <si>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</si>
  <si>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</si>
  <si>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</si>
  <si>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</si>
  <si>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</si>
  <si>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</si>
  <si>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</si>
  <si>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</si>
  <si>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</si>
  <si>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</si>
  <si>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</si>
  <si>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</si>
  <si>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</si>
  <si>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</si>
  <si>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</si>
  <si>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</si>
  <si>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</si>
  <si>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</si>
  <si>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</si>
  <si>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</si>
  <si>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</si>
  <si>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</si>
  <si>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</si>
  <si>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</si>
  <si>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</si>
  <si>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</si>
  <si>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</si>
  <si>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</si>
  <si>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</si>
  <si>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</si>
  <si>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</si>
  <si>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</si>
  <si>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</si>
  <si>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</si>
  <si>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</si>
  <si>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</si>
  <si>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</si>
  <si>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</si>
  <si>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</si>
  <si>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</si>
  <si>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</si>
  <si>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</si>
  <si>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</si>
  <si>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</si>
  <si>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</si>
  <si>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</si>
  <si>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</si>
  <si>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</si>
  <si>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</si>
  <si>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</si>
  <si>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</si>
  <si>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</si>
  <si>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</si>
  <si>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</si>
  <si>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</si>
  <si>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</si>
  <si>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</si>
  <si>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</si>
  <si>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</si>
  <si>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</si>
  <si>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</si>
  <si>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</si>
  <si>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</si>
  <si>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</si>
  <si>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</si>
  <si>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</si>
  <si>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</si>
  <si>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</si>
  <si>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</si>
  <si>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</si>
  <si>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</si>
  <si>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</si>
  <si>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</si>
  <si>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</si>
  <si>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</si>
  <si>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01/05/2024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</si>
  <si>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</si>
  <si>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</si>
  <si>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</si>
  <si>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</si>
  <si>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</si>
  <si>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</si>
  <si>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</si>
  <si>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</si>
  <si>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</si>
  <si>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</si>
  <si>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</si>
  <si>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</si>
  <si>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</si>
  <si>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</si>
  <si>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</si>
  <si>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</si>
  <si>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</si>
  <si>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</si>
  <si>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</si>
  <si>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</si>
  <si>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</si>
  <si>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</si>
  <si>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</si>
  <si>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</si>
  <si>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</si>
  <si>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</si>
  <si>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</si>
  <si>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</si>
  <si>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</si>
  <si>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</si>
  <si>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</si>
  <si>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</si>
  <si>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</si>
  <si>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</si>
  <si>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</si>
  <si>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</si>
  <si>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</si>
  <si>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</si>
  <si>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</si>
  <si>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</si>
  <si>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</si>
  <si>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</si>
  <si>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</si>
  <si>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</si>
  <si>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</si>
  <si>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</si>
  <si>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</si>
  <si>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</si>
  <si>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</si>
  <si>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</si>
  <si>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</si>
  <si>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</si>
  <si>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</si>
  <si>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</si>
  <si>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</si>
  <si>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</si>
  <si>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</si>
  <si>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</si>
  <si>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</si>
  <si>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</si>
  <si>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</si>
  <si>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</si>
  <si>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</si>
  <si>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</si>
  <si>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</si>
  <si>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</si>
  <si>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</si>
  <si>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</si>
  <si>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</si>
  <si>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</si>
  <si>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</si>
  <si>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</si>
  <si>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</si>
  <si>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</si>
  <si>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</si>
  <si>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</si>
  <si>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</si>
  <si>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</si>
  <si>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</si>
  <si>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</si>
  <si>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</si>
  <si>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</si>
  <si>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</si>
  <si>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</si>
  <si>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</si>
  <si>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</si>
  <si>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</si>
  <si>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</si>
  <si>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</si>
  <si>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</si>
  <si>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</si>
  <si>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</si>
  <si>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</si>
  <si>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</si>
  <si>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</si>
  <si>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</si>
  <si>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</si>
  <si>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</si>
  <si>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</si>
  <si>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</si>
  <si>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</si>
  <si>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</si>
  <si>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</si>
  <si>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</si>
  <si>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</si>
  <si>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</si>
  <si>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</si>
  <si>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</si>
  <si>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</si>
  <si>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</si>
  <si>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</si>
  <si>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</si>
  <si>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</si>
  <si>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</si>
  <si>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</si>
  <si>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</si>
  <si>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</si>
  <si>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</si>
  <si>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</si>
  <si>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</si>
  <si>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</si>
  <si>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</si>
  <si>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</si>
  <si>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</si>
  <si>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</si>
  <si>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</si>
  <si>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</si>
  <si>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</si>
  <si>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</si>
  <si>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</si>
  <si>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</si>
  <si>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</si>
  <si>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</si>
  <si>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</si>
  <si>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</si>
  <si>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</si>
  <si>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</si>
  <si>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</si>
  <si>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</si>
  <si>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</si>
  <si>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</si>
  <si>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</si>
  <si>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</si>
  <si>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</si>
  <si>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</si>
  <si>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</si>
  <si>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</si>
  <si>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</si>
  <si>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</si>
  <si>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</si>
  <si>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</si>
  <si>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</si>
  <si>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</si>
  <si>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</si>
  <si>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</si>
  <si>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</si>
  <si>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</si>
  <si>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</si>
  <si>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</si>
  <si>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</si>
  <si>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</si>
  <si>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</si>
  <si>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</si>
  <si>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</si>
  <si>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</si>
  <si>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</si>
  <si>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</si>
  <si>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</si>
  <si>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</si>
  <si>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</si>
  <si>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</si>
  <si>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</si>
  <si>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10/01/2025</t>
  </si>
  <si>
    <t>13/01/2025</t>
  </si>
  <si>
    <t>14/01/2025</t>
  </si>
  <si>
    <t>15/01/2025</t>
  </si>
  <si>
    <t>16/01/2025</t>
  </si>
  <si>
    <t>17/01/2025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</si>
  <si>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</si>
  <si>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</si>
  <si>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</si>
  <si>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</si>
  <si>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</si>
  <si>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</si>
  <si>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</si>
  <si>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</si>
  <si>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</si>
  <si>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</si>
  <si>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</si>
  <si>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</si>
  <si>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</si>
  <si>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</si>
  <si>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</si>
  <si>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</si>
  <si>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</si>
  <si>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</si>
  <si>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</si>
  <si>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</si>
  <si>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</si>
  <si>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</si>
  <si>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</si>
  <si>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</si>
  <si>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</si>
  <si>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</si>
  <si>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</si>
  <si>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</si>
  <si>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</si>
  <si>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</si>
  <si>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</si>
  <si>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</si>
  <si>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</si>
  <si>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</si>
  <si>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</si>
  <si>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</si>
  <si>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</si>
  <si>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</si>
  <si>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</si>
  <si>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</si>
  <si>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</si>
  <si>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</si>
  <si>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</si>
  <si>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</si>
  <si>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</si>
  <si>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</si>
  <si>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</si>
  <si>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</si>
  <si>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</si>
  <si>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</si>
  <si>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</si>
  <si>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</si>
  <si>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</si>
  <si>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</si>
  <si>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</si>
  <si>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</si>
  <si>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</si>
  <si>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</si>
  <si>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</si>
  <si>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</si>
  <si>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</si>
  <si>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</si>
  <si>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</si>
  <si>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</si>
  <si>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</si>
  <si>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</si>
  <si>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</si>
  <si>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</si>
  <si>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</si>
  <si>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01/05/2025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</si>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</sst>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 Unicode MS"/>
    </font>
    <font>
      <sz val="10"/>
      <name val="Geogrotesque Rg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8"/>
      <color rgb="FF333333"/>
      <name val="Courier New"/>
      <family val="3"/>
    </font>
    <font>
      <sz val="10"/>
      <name val="Arial"/>
    </font>
    <font>
      <sz val="8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8D7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2060"/>
      </left>
      <right style="medium">
        <color rgb="FF002060"/>
      </right>
      <top style="hair">
        <color rgb="FF002060"/>
      </top>
      <bottom style="hair">
        <color rgb="FF002060"/>
      </bottom>
      <diagonal/>
    </border>
  </borders>
  <cellStyleXfs count="22">
    <xf numFmtId="0" fontId="0" fillId="0" borderId="0"/>
    <xf numFmtId="0" fontId="2" fillId="0" borderId="0"/>
    <xf numFmtId="0" fontId="5" fillId="0" borderId="0"/>
    <xf numFmtId="0" fontId="7" fillId="0" borderId="0"/>
    <xf numFmtId="0" fontId="9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9" fillId="0" borderId="0"/>
    <xf numFmtId="0" fontId="13" fillId="0" borderId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0" fillId="10" borderId="3" applyNumberFormat="0" applyFont="0" applyAlignment="0" applyProtection="0"/>
    <xf numFmtId="0" fontId="19" fillId="0" borderId="0" applyNumberFormat="0" applyFill="0" applyBorder="0" applyAlignment="0" applyProtection="0"/>
    <xf numFmtId="0" fontId="22" fillId="0" borderId="4" applyNumberFormat="0" applyFill="0" applyAlignment="0" applyProtection="0"/>
    <xf numFmtId="0" fontId="23" fillId="0" borderId="0"/>
    <xf numFmtId="0" fontId="26" fillId="0" borderId="0"/>
    <xf numFmtId="0" fontId="26" fillId="0" borderId="0" applyNumberFormat="0" applyFill="0" applyBorder="0" applyAlignment="0" applyProtection="0"/>
  </cellStyleXfs>
  <cellXfs count="104">
    <xf numFmtId="0" fontId="0" fillId="0" borderId="0" xfId="0"/>
    <xf numFmtId="14" fontId="4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3" fillId="0" borderId="0" xfId="1" applyNumberFormat="1" applyFont="1" applyAlignment="1">
      <alignment horizontal="center"/>
    </xf>
    <xf numFmtId="14" fontId="3" fillId="0" borderId="0" xfId="1" applyNumberFormat="1" applyFont="1" applyAlignment="1">
      <alignment horizontal="center"/>
    </xf>
    <xf numFmtId="14" fontId="6" fillId="0" borderId="0" xfId="2" applyNumberFormat="1" applyFont="1"/>
    <xf numFmtId="2" fontId="0" fillId="0" borderId="0" xfId="0" applyNumberFormat="1" applyAlignment="1">
      <alignment horizontal="center"/>
    </xf>
    <xf numFmtId="10" fontId="8" fillId="0" borderId="0" xfId="3" applyNumberFormat="1" applyFont="1"/>
    <xf numFmtId="14" fontId="0" fillId="0" borderId="0" xfId="0" applyNumberFormat="1"/>
    <xf numFmtId="14" fontId="10" fillId="0" borderId="0" xfId="4" applyNumberFormat="1" applyFont="1"/>
    <xf numFmtId="2" fontId="10" fillId="0" borderId="0" xfId="4" applyNumberFormat="1" applyFont="1"/>
    <xf numFmtId="14" fontId="4" fillId="2" borderId="2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/>
    </xf>
    <xf numFmtId="2" fontId="0" fillId="0" borderId="0" xfId="0" applyNumberFormat="1"/>
    <xf numFmtId="164" fontId="12" fillId="0" borderId="0" xfId="5" applyNumberFormat="1" applyFont="1" applyFill="1"/>
    <xf numFmtId="14" fontId="13" fillId="0" borderId="1" xfId="5" applyNumberFormat="1" applyFont="1" applyFill="1" applyBorder="1" applyAlignment="1">
      <alignment horizontal="center" vertical="center" wrapText="1"/>
    </xf>
    <xf numFmtId="2" fontId="13" fillId="0" borderId="1" xfId="5" applyNumberFormat="1" applyFont="1" applyFill="1" applyBorder="1" applyAlignment="1">
      <alignment wrapText="1"/>
    </xf>
    <xf numFmtId="0" fontId="13" fillId="7" borderId="1" xfId="0" applyFont="1" applyFill="1" applyBorder="1"/>
    <xf numFmtId="0" fontId="13" fillId="7" borderId="1" xfId="0" applyFont="1" applyFill="1" applyBorder="1" applyAlignment="1">
      <alignment vertical="center" wrapText="1"/>
    </xf>
    <xf numFmtId="2" fontId="13" fillId="7" borderId="1" xfId="7" applyNumberFormat="1" applyFont="1" applyFill="1" applyBorder="1" applyAlignment="1">
      <alignment horizontal="center" vertical="center" wrapText="1"/>
    </xf>
    <xf numFmtId="14" fontId="13" fillId="7" borderId="1" xfId="5" applyNumberFormat="1" applyFont="1" applyFill="1" applyBorder="1" applyAlignment="1">
      <alignment horizontal="center" vertical="center" wrapText="1"/>
    </xf>
    <xf numFmtId="2" fontId="13" fillId="7" borderId="1" xfId="5" applyNumberFormat="1" applyFont="1" applyFill="1" applyBorder="1" applyAlignment="1">
      <alignment wrapText="1"/>
    </xf>
    <xf numFmtId="0" fontId="12" fillId="7" borderId="1" xfId="0" applyFont="1" applyFill="1" applyBorder="1"/>
    <xf numFmtId="2" fontId="13" fillId="7" borderId="1" xfId="6" applyNumberFormat="1" applyFill="1" applyBorder="1" applyAlignment="1">
      <alignment wrapText="1"/>
    </xf>
    <xf numFmtId="10" fontId="12" fillId="7" borderId="1" xfId="5" applyNumberFormat="1" applyFont="1" applyFill="1" applyBorder="1"/>
    <xf numFmtId="9" fontId="12" fillId="7" borderId="1" xfId="5" applyFont="1" applyFill="1" applyBorder="1"/>
    <xf numFmtId="10" fontId="13" fillId="7" borderId="1" xfId="5" applyNumberFormat="1" applyFont="1" applyFill="1" applyBorder="1"/>
    <xf numFmtId="0" fontId="11" fillId="0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1" xfId="0" applyFont="1" applyFill="1" applyBorder="1"/>
    <xf numFmtId="0" fontId="13" fillId="0" borderId="1" xfId="0" applyFont="1" applyFill="1" applyBorder="1" applyAlignment="1">
      <alignment vertical="center" wrapText="1"/>
    </xf>
    <xf numFmtId="2" fontId="13" fillId="0" borderId="1" xfId="6" applyNumberFormat="1" applyFill="1" applyBorder="1" applyAlignment="1">
      <alignment horizontal="center" wrapText="1"/>
    </xf>
    <xf numFmtId="2" fontId="13" fillId="0" borderId="1" xfId="6" applyNumberFormat="1" applyFill="1" applyBorder="1" applyAlignment="1">
      <alignment wrapText="1"/>
    </xf>
    <xf numFmtId="0" fontId="12" fillId="0" borderId="1" xfId="0" applyFont="1" applyFill="1" applyBorder="1"/>
    <xf numFmtId="0" fontId="12" fillId="0" borderId="0" xfId="0" applyFont="1" applyFill="1"/>
    <xf numFmtId="2" fontId="12" fillId="0" borderId="0" xfId="0" applyNumberFormat="1" applyFont="1" applyFill="1"/>
    <xf numFmtId="2" fontId="13" fillId="0" borderId="1" xfId="7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/>
    <xf numFmtId="2" fontId="15" fillId="0" borderId="1" xfId="6" applyNumberFormat="1" applyFont="1" applyFill="1" applyBorder="1" applyAlignment="1">
      <alignment horizontal="center" wrapText="1"/>
    </xf>
    <xf numFmtId="2" fontId="15" fillId="0" borderId="1" xfId="6" applyNumberFormat="1" applyFont="1" applyFill="1" applyBorder="1" applyAlignment="1">
      <alignment wrapText="1"/>
    </xf>
    <xf numFmtId="0" fontId="11" fillId="9" borderId="1" xfId="0" applyFont="1" applyFill="1" applyBorder="1" applyAlignment="1">
      <alignment horizontal="center" vertical="center" wrapText="1"/>
    </xf>
    <xf numFmtId="10" fontId="11" fillId="9" borderId="1" xfId="0" applyNumberFormat="1" applyFont="1" applyFill="1" applyBorder="1" applyAlignment="1">
      <alignment horizontal="center" vertical="center" wrapText="1"/>
    </xf>
    <xf numFmtId="2" fontId="13" fillId="9" borderId="1" xfId="6" applyNumberFormat="1" applyFill="1" applyBorder="1" applyAlignment="1">
      <alignment wrapText="1"/>
    </xf>
    <xf numFmtId="10" fontId="12" fillId="9" borderId="1" xfId="5" applyNumberFormat="1" applyFont="1" applyFill="1" applyBorder="1"/>
    <xf numFmtId="9" fontId="12" fillId="9" borderId="1" xfId="5" applyFont="1" applyFill="1" applyBorder="1"/>
    <xf numFmtId="0" fontId="12" fillId="9" borderId="1" xfId="0" applyFont="1" applyFill="1" applyBorder="1"/>
    <xf numFmtId="10" fontId="13" fillId="9" borderId="1" xfId="5" applyNumberFormat="1" applyFont="1" applyFill="1" applyBorder="1" applyAlignment="1">
      <alignment vertical="center"/>
    </xf>
    <xf numFmtId="10" fontId="13" fillId="9" borderId="1" xfId="5" applyNumberFormat="1" applyFont="1" applyFill="1" applyBorder="1" applyAlignment="1">
      <alignment horizontal="right" vertical="center" wrapText="1"/>
    </xf>
    <xf numFmtId="10" fontId="13" fillId="9" borderId="1" xfId="5" applyNumberFormat="1" applyFont="1" applyFill="1" applyBorder="1"/>
    <xf numFmtId="10" fontId="12" fillId="9" borderId="1" xfId="0" applyNumberFormat="1" applyFont="1" applyFill="1" applyBorder="1"/>
    <xf numFmtId="0" fontId="13" fillId="8" borderId="1" xfId="0" applyFont="1" applyFill="1" applyBorder="1"/>
    <xf numFmtId="0" fontId="13" fillId="8" borderId="1" xfId="0" applyFont="1" applyFill="1" applyBorder="1" applyAlignment="1">
      <alignment vertical="center" wrapText="1"/>
    </xf>
    <xf numFmtId="14" fontId="13" fillId="8" borderId="1" xfId="5" applyNumberFormat="1" applyFont="1" applyFill="1" applyBorder="1" applyAlignment="1">
      <alignment horizontal="center" vertical="center" wrapText="1"/>
    </xf>
    <xf numFmtId="2" fontId="13" fillId="8" borderId="1" xfId="7" applyNumberFormat="1" applyFont="1" applyFill="1" applyBorder="1" applyAlignment="1">
      <alignment horizontal="center" vertical="center" wrapText="1"/>
    </xf>
    <xf numFmtId="2" fontId="13" fillId="8" borderId="1" xfId="5" applyNumberFormat="1" applyFont="1" applyFill="1" applyBorder="1" applyAlignment="1">
      <alignment wrapText="1"/>
    </xf>
    <xf numFmtId="2" fontId="13" fillId="8" borderId="1" xfId="6" applyNumberFormat="1" applyFill="1" applyBorder="1" applyAlignment="1">
      <alignment wrapText="1"/>
    </xf>
    <xf numFmtId="10" fontId="12" fillId="8" borderId="1" xfId="5" applyNumberFormat="1" applyFont="1" applyFill="1" applyBorder="1"/>
    <xf numFmtId="9" fontId="12" fillId="8" borderId="1" xfId="5" applyFont="1" applyFill="1" applyBorder="1"/>
    <xf numFmtId="0" fontId="12" fillId="8" borderId="1" xfId="0" applyFont="1" applyFill="1" applyBorder="1"/>
    <xf numFmtId="10" fontId="13" fillId="8" borderId="1" xfId="5" applyNumberFormat="1" applyFont="1" applyFill="1" applyBorder="1" applyAlignment="1">
      <alignment vertical="center"/>
    </xf>
    <xf numFmtId="0" fontId="12" fillId="8" borderId="0" xfId="0" applyFont="1" applyFill="1"/>
    <xf numFmtId="0" fontId="16" fillId="0" borderId="1" xfId="0" applyFont="1" applyBorder="1"/>
    <xf numFmtId="0" fontId="17" fillId="3" borderId="1" xfId="0" applyFont="1" applyFill="1" applyBorder="1" applyAlignment="1">
      <alignment vertical="center"/>
    </xf>
    <xf numFmtId="0" fontId="16" fillId="4" borderId="1" xfId="0" applyFont="1" applyFill="1" applyBorder="1"/>
    <xf numFmtId="0" fontId="18" fillId="4" borderId="1" xfId="0" applyFont="1" applyFill="1" applyBorder="1" applyAlignment="1">
      <alignment vertical="center" wrapText="1"/>
    </xf>
    <xf numFmtId="3" fontId="16" fillId="4" borderId="1" xfId="0" applyNumberFormat="1" applyFont="1" applyFill="1" applyBorder="1" applyAlignment="1">
      <alignment vertical="center" wrapText="1"/>
    </xf>
    <xf numFmtId="3" fontId="16" fillId="4" borderId="1" xfId="0" applyNumberFormat="1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 wrapText="1"/>
    </xf>
    <xf numFmtId="0" fontId="16" fillId="6" borderId="1" xfId="0" applyFont="1" applyFill="1" applyBorder="1"/>
    <xf numFmtId="0" fontId="18" fillId="6" borderId="1" xfId="0" applyFont="1" applyFill="1" applyBorder="1" applyAlignment="1">
      <alignment vertical="center" wrapText="1"/>
    </xf>
    <xf numFmtId="3" fontId="16" fillId="6" borderId="1" xfId="0" applyNumberFormat="1" applyFont="1" applyFill="1" applyBorder="1" applyAlignment="1">
      <alignment vertical="center" wrapText="1"/>
    </xf>
    <xf numFmtId="3" fontId="16" fillId="6" borderId="1" xfId="0" applyNumberFormat="1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/>
    </xf>
    <xf numFmtId="14" fontId="16" fillId="6" borderId="1" xfId="7" applyNumberFormat="1" applyFont="1" applyFill="1" applyBorder="1" applyAlignment="1">
      <alignment horizontal="right" vertical="center"/>
    </xf>
    <xf numFmtId="14" fontId="16" fillId="4" borderId="1" xfId="7" applyNumberFormat="1" applyFont="1" applyFill="1" applyBorder="1" applyAlignment="1">
      <alignment horizontal="right" vertical="center"/>
    </xf>
    <xf numFmtId="0" fontId="16" fillId="7" borderId="1" xfId="0" applyFont="1" applyFill="1" applyBorder="1"/>
    <xf numFmtId="0" fontId="18" fillId="7" borderId="1" xfId="0" applyFont="1" applyFill="1" applyBorder="1" applyAlignment="1">
      <alignment vertical="center" wrapText="1"/>
    </xf>
    <xf numFmtId="3" fontId="16" fillId="7" borderId="1" xfId="0" applyNumberFormat="1" applyFont="1" applyFill="1" applyBorder="1" applyAlignment="1">
      <alignment vertical="center" wrapText="1"/>
    </xf>
    <xf numFmtId="3" fontId="16" fillId="7" borderId="1" xfId="0" applyNumberFormat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3" fontId="16" fillId="0" borderId="1" xfId="0" applyNumberFormat="1" applyFont="1" applyBorder="1" applyAlignment="1">
      <alignment horizontal="left" vertical="center" wrapText="1"/>
    </xf>
    <xf numFmtId="0" fontId="16" fillId="0" borderId="0" xfId="0" applyFont="1"/>
    <xf numFmtId="10" fontId="13" fillId="8" borderId="1" xfId="5" applyNumberFormat="1" applyFont="1" applyFill="1" applyBorder="1"/>
    <xf numFmtId="2" fontId="12" fillId="8" borderId="0" xfId="0" applyNumberFormat="1" applyFont="1" applyFill="1"/>
    <xf numFmtId="0" fontId="11" fillId="0" borderId="5" xfId="0" applyFont="1" applyFill="1" applyBorder="1" applyAlignment="1">
      <alignment horizontal="center" vertical="center" wrapText="1"/>
    </xf>
    <xf numFmtId="0" fontId="15" fillId="0" borderId="1" xfId="8" applyFont="1" applyBorder="1" applyAlignment="1">
      <alignment wrapText="1"/>
    </xf>
    <xf numFmtId="0" fontId="0" fillId="0" borderId="1" xfId="0" applyBorder="1"/>
    <xf numFmtId="0" fontId="0" fillId="8" borderId="1" xfId="0" applyFill="1" applyBorder="1"/>
    <xf numFmtId="4" fontId="24" fillId="0" borderId="6" xfId="5" applyNumberFormat="1" applyFont="1" applyFill="1" applyBorder="1" applyAlignment="1">
      <alignment horizontal="right" vertical="center" wrapText="1"/>
    </xf>
    <xf numFmtId="0" fontId="25" fillId="0" borderId="0" xfId="0" applyFont="1"/>
    <xf numFmtId="0" fontId="26" fillId="0" borderId="0" xfId="20" applyAlignment="1">
      <alignment wrapText="1"/>
    </xf>
    <xf numFmtId="0" fontId="15" fillId="0" borderId="0" xfId="20" applyFont="1"/>
    <xf numFmtId="0" fontId="15" fillId="0" borderId="0" xfId="20" applyFont="1" applyAlignment="1">
      <alignment wrapText="1"/>
    </xf>
    <xf numFmtId="14" fontId="15" fillId="0" borderId="0" xfId="20" applyNumberFormat="1" applyFont="1" applyAlignment="1">
      <alignment wrapText="1"/>
    </xf>
    <xf numFmtId="0" fontId="27" fillId="0" borderId="0" xfId="0" applyFont="1"/>
    <xf numFmtId="10" fontId="13" fillId="8" borderId="1" xfId="5" applyNumberFormat="1" applyFont="1" applyFill="1" applyBorder="1" applyAlignment="1">
      <alignment horizontal="right" vertical="center" wrapText="1"/>
    </xf>
    <xf numFmtId="164" fontId="12" fillId="8" borderId="0" xfId="5" applyNumberFormat="1" applyFont="1" applyFill="1"/>
    <xf numFmtId="2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22">
    <cellStyle name="_x000a_bidires=100_x000d_" xfId="9" xr:uid="{05EA6629-0E6D-4A4D-A4F6-17AB0787930E}"/>
    <cellStyle name="Accent1 2" xfId="10" xr:uid="{AB798984-1CF3-471B-9E68-43328D3B353C}"/>
    <cellStyle name="Accent2 2" xfId="11" xr:uid="{4DC3A11B-09EC-40B3-99EA-D7880FE409A9}"/>
    <cellStyle name="Accent3 2" xfId="12" xr:uid="{C0532DB5-1981-4884-812C-5CBFA93FCE33}"/>
    <cellStyle name="Accent4 2" xfId="13" xr:uid="{E590E865-C03D-47E0-BFF2-EC3A99FC7038}"/>
    <cellStyle name="Accent5 2" xfId="14" xr:uid="{53881195-80B0-4139-97CF-3239652A5E11}"/>
    <cellStyle name="Accent6 2" xfId="15" xr:uid="{507EE6C8-CE12-4278-8D77-50CF510D2012}"/>
    <cellStyle name="Normal" xfId="0" builtinId="0"/>
    <cellStyle name="Normal 2" xfId="7" xr:uid="{0365C3A8-EEA5-4D84-848C-C031EDFAA127}"/>
    <cellStyle name="Normal 3" xfId="6" xr:uid="{6A05FB35-B663-4678-8A2B-6D7A8FA9E580}"/>
    <cellStyle name="Normal 4" xfId="8" xr:uid="{C7ABE625-498D-4385-BD11-A28D1276A478}"/>
    <cellStyle name="Normal 5" xfId="20" xr:uid="{CB606C8C-EB51-4679-B6D6-BC5DE4946FCF}"/>
    <cellStyle name="Normal_1 Athena full airbag 7,5% trim" xfId="3" xr:uid="{DEA4B650-AD13-4C25-9209-78A50ABB0AFF}"/>
    <cellStyle name="Normal_Athena Omega trim CLIMAT" xfId="1" xr:uid="{A2879351-DAA3-4339-BFEC-8DEFE4AD09A3}"/>
    <cellStyle name="Normal_Track ESG Trans" xfId="4" xr:uid="{DBBB8182-BDFE-4399-9424-6AB600523CC3}"/>
    <cellStyle name="Normal_Track ESG Transat" xfId="2" xr:uid="{8A7616C2-86CF-4639-9EEA-FDD0CE93E830}"/>
    <cellStyle name="Note 2" xfId="16" xr:uid="{61FE2FD6-D501-497E-B3C5-1E4BD7F3ABB0}"/>
    <cellStyle name="Pourcentage" xfId="5" builtinId="5"/>
    <cellStyle name="Style 1" xfId="17" xr:uid="{1762D164-6CC5-4164-917A-D67D98F3F4F7}"/>
    <cellStyle name="Style 1 2" xfId="21" xr:uid="{2E28A8B8-E5A9-4521-934C-AB08FAE97BD0}"/>
    <cellStyle name="Total 2" xfId="18" xr:uid="{BE0506F6-5ABF-4412-9601-DA6138CDC07A}"/>
    <cellStyle name="Обычный_RTS_select_issues" xfId="19" xr:uid="{AD2EE63F-409D-45D4-A196-8EA6F30495D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E167-0565-45EA-B1EF-C7B4BD7F6C7A}">
  <sheetPr codeName="Feuil1"/>
  <dimension ref="A1:Q5160"/>
  <sheetViews>
    <sheetView workbookViewId="0">
      <selection sqref="A1:B1"/>
    </sheetView>
  </sheetViews>
  <sheetFormatPr baseColWidth="10" defaultColWidth="8.88671875" defaultRowHeight="14.4"/>
  <cols>
    <col min="1" max="1" width="16" customWidth="1"/>
    <col min="2" max="2" width="14.6640625" customWidth="1"/>
    <col min="6" max="6" width="12" customWidth="1"/>
    <col min="7" max="7" width="10.6640625" bestFit="1" customWidth="1"/>
    <col min="13" max="13" width="10.6640625" bestFit="1" customWidth="1"/>
    <col min="14" max="15" width="9.109375"/>
    <col min="16" max="16" width="17.109375" customWidth="1"/>
    <col min="17" max="20" width="9.109375"/>
  </cols>
  <sheetData>
    <row r="1" spans="1:17" ht="69">
      <c r="A1" s="13"/>
      <c r="B1" s="1" t="s">
        <v>0</v>
      </c>
    </row>
    <row r="2" spans="1:17">
      <c r="A2" s="14">
        <v>38715</v>
      </c>
      <c r="B2" s="8">
        <v>1000</v>
      </c>
      <c r="F2" s="7"/>
      <c r="G2" s="7"/>
      <c r="M2" s="10"/>
      <c r="P2" s="11"/>
      <c r="Q2" s="12"/>
    </row>
    <row r="3" spans="1:17">
      <c r="A3" s="14">
        <v>38716</v>
      </c>
      <c r="B3" s="8">
        <v>991.56012755898769</v>
      </c>
      <c r="F3" s="7"/>
      <c r="G3" s="7"/>
      <c r="M3" s="10"/>
      <c r="P3" s="11"/>
      <c r="Q3" s="12"/>
    </row>
    <row r="4" spans="1:17">
      <c r="A4" s="14">
        <v>38720</v>
      </c>
      <c r="B4" s="8">
        <v>997.86025547870304</v>
      </c>
      <c r="D4" s="16"/>
      <c r="F4" s="7"/>
      <c r="G4" s="7"/>
      <c r="M4" s="10"/>
      <c r="P4" s="11"/>
      <c r="Q4" s="12"/>
    </row>
    <row r="5" spans="1:17">
      <c r="A5" s="14">
        <v>38721</v>
      </c>
      <c r="B5" s="8">
        <v>999.58057924953107</v>
      </c>
      <c r="F5" s="7"/>
      <c r="G5" s="7"/>
      <c r="M5" s="10"/>
      <c r="P5" s="11"/>
      <c r="Q5" s="12"/>
    </row>
    <row r="6" spans="1:17">
      <c r="A6" s="14">
        <v>38722</v>
      </c>
      <c r="B6" s="8">
        <v>1000.8467223263062</v>
      </c>
      <c r="F6" s="7"/>
      <c r="G6" s="7"/>
      <c r="M6" s="10"/>
      <c r="P6" s="11"/>
      <c r="Q6" s="12"/>
    </row>
    <row r="7" spans="1:17">
      <c r="A7" s="14">
        <v>38723</v>
      </c>
      <c r="B7" s="8">
        <v>1006.2213866243927</v>
      </c>
      <c r="F7" s="7"/>
      <c r="G7" s="7"/>
      <c r="M7" s="10"/>
      <c r="P7" s="11"/>
      <c r="Q7" s="12"/>
    </row>
    <row r="8" spans="1:17">
      <c r="A8" s="14">
        <v>38726</v>
      </c>
      <c r="B8" s="8">
        <v>1012.4198195373988</v>
      </c>
      <c r="F8" s="7"/>
      <c r="G8" s="7"/>
      <c r="M8" s="10"/>
      <c r="P8" s="11"/>
      <c r="Q8" s="12"/>
    </row>
    <row r="9" spans="1:17">
      <c r="A9" s="14">
        <v>38727</v>
      </c>
      <c r="B9" s="8">
        <v>1009.4905341779757</v>
      </c>
      <c r="F9" s="7"/>
      <c r="G9" s="7"/>
      <c r="M9" s="10"/>
      <c r="P9" s="11"/>
      <c r="Q9" s="12"/>
    </row>
    <row r="10" spans="1:17">
      <c r="A10" s="14">
        <v>38728</v>
      </c>
      <c r="B10" s="8">
        <v>1010.8195005347856</v>
      </c>
      <c r="F10" s="7"/>
      <c r="G10" s="7"/>
      <c r="M10" s="10"/>
      <c r="P10" s="11"/>
      <c r="Q10" s="12"/>
    </row>
    <row r="11" spans="1:17">
      <c r="A11" s="14">
        <v>38729</v>
      </c>
      <c r="B11" s="8">
        <v>1011.9494605564823</v>
      </c>
      <c r="F11" s="7"/>
      <c r="G11" s="7"/>
      <c r="M11" s="10"/>
      <c r="P11" s="11"/>
      <c r="Q11" s="12"/>
    </row>
    <row r="12" spans="1:17">
      <c r="A12" s="14">
        <v>38730</v>
      </c>
      <c r="B12" s="8">
        <v>1001.9044293407691</v>
      </c>
      <c r="F12" s="7"/>
      <c r="G12" s="7"/>
      <c r="M12" s="10"/>
      <c r="P12" s="11"/>
      <c r="Q12" s="12"/>
    </row>
    <row r="13" spans="1:17">
      <c r="A13" s="14">
        <v>38734</v>
      </c>
      <c r="B13" s="8">
        <v>998.62887180899622</v>
      </c>
      <c r="F13" s="7"/>
      <c r="G13" s="7"/>
      <c r="M13" s="10"/>
      <c r="P13" s="11"/>
      <c r="Q13" s="12"/>
    </row>
    <row r="14" spans="1:17">
      <c r="A14" s="14">
        <v>38735</v>
      </c>
      <c r="B14" s="8">
        <v>992.01980532796222</v>
      </c>
      <c r="F14" s="7"/>
      <c r="G14" s="7"/>
      <c r="M14" s="10"/>
      <c r="P14" s="11"/>
      <c r="Q14" s="12"/>
    </row>
    <row r="15" spans="1:17">
      <c r="A15" s="14">
        <v>38736</v>
      </c>
      <c r="B15" s="8">
        <v>998.85069593675576</v>
      </c>
      <c r="F15" s="7"/>
      <c r="G15" s="7"/>
      <c r="M15" s="10"/>
      <c r="P15" s="11"/>
      <c r="Q15" s="12"/>
    </row>
    <row r="16" spans="1:17">
      <c r="A16" s="14">
        <v>38737</v>
      </c>
      <c r="B16" s="8">
        <v>984.59594958048797</v>
      </c>
      <c r="F16" s="7"/>
      <c r="G16" s="7"/>
      <c r="M16" s="10"/>
      <c r="P16" s="11"/>
      <c r="Q16" s="12"/>
    </row>
    <row r="17" spans="1:17">
      <c r="A17" s="14">
        <v>38740</v>
      </c>
      <c r="B17" s="8">
        <v>976.37508737457529</v>
      </c>
      <c r="F17" s="7"/>
      <c r="G17" s="7"/>
      <c r="M17" s="10"/>
      <c r="P17" s="11"/>
      <c r="Q17" s="12"/>
    </row>
    <row r="18" spans="1:17">
      <c r="A18" s="14">
        <v>38741</v>
      </c>
      <c r="B18" s="8">
        <v>978.48174305417615</v>
      </c>
      <c r="F18" s="7"/>
      <c r="G18" s="7"/>
      <c r="M18" s="10"/>
      <c r="P18" s="11"/>
      <c r="Q18" s="12"/>
    </row>
    <row r="19" spans="1:17">
      <c r="A19" s="14">
        <v>38742</v>
      </c>
      <c r="B19" s="8">
        <v>985.08983642422936</v>
      </c>
      <c r="F19" s="7"/>
      <c r="G19" s="7"/>
      <c r="M19" s="10"/>
      <c r="P19" s="11"/>
      <c r="Q19" s="12"/>
    </row>
    <row r="20" spans="1:17">
      <c r="A20" s="14">
        <v>38743</v>
      </c>
      <c r="B20" s="8">
        <v>1000.2641218068318</v>
      </c>
      <c r="F20" s="7"/>
      <c r="G20" s="7"/>
      <c r="M20" s="10"/>
      <c r="P20" s="11"/>
      <c r="Q20" s="12"/>
    </row>
    <row r="21" spans="1:17">
      <c r="A21" s="14">
        <v>38744</v>
      </c>
      <c r="B21" s="8">
        <v>1014.5917074066789</v>
      </c>
      <c r="F21" s="7"/>
      <c r="G21" s="7"/>
      <c r="M21" s="10"/>
      <c r="P21" s="11"/>
      <c r="Q21" s="12"/>
    </row>
    <row r="22" spans="1:17">
      <c r="A22" s="14">
        <v>38747</v>
      </c>
      <c r="B22" s="8">
        <v>1014.2031231535077</v>
      </c>
      <c r="F22" s="7"/>
      <c r="G22" s="7"/>
      <c r="M22" s="10"/>
      <c r="P22" s="11"/>
      <c r="Q22" s="12"/>
    </row>
    <row r="23" spans="1:17">
      <c r="A23" s="14">
        <v>38748</v>
      </c>
      <c r="B23" s="8">
        <v>1010.1293399169263</v>
      </c>
      <c r="F23" s="7"/>
      <c r="G23" s="7"/>
      <c r="M23" s="10"/>
      <c r="P23" s="11"/>
      <c r="Q23" s="12"/>
    </row>
    <row r="24" spans="1:17">
      <c r="A24" s="14">
        <v>38749</v>
      </c>
      <c r="B24" s="8">
        <v>1021.3740991214997</v>
      </c>
      <c r="F24" s="7"/>
      <c r="G24" s="7"/>
      <c r="M24" s="10"/>
      <c r="P24" s="11"/>
      <c r="Q24" s="12"/>
    </row>
    <row r="25" spans="1:17">
      <c r="A25" s="14">
        <v>38750</v>
      </c>
      <c r="B25" s="8">
        <v>1009.2764962936112</v>
      </c>
      <c r="F25" s="7"/>
      <c r="G25" s="7"/>
      <c r="M25" s="10"/>
      <c r="P25" s="11"/>
      <c r="Q25" s="12"/>
    </row>
    <row r="26" spans="1:17">
      <c r="A26" s="14">
        <v>38751</v>
      </c>
      <c r="B26" s="8">
        <v>1010.3823574790504</v>
      </c>
      <c r="F26" s="7"/>
      <c r="G26" s="7"/>
      <c r="M26" s="10"/>
      <c r="P26" s="11"/>
      <c r="Q26" s="12"/>
    </row>
    <row r="27" spans="1:17">
      <c r="A27" s="14">
        <v>38754</v>
      </c>
      <c r="B27" s="8">
        <v>1015.2969027707054</v>
      </c>
      <c r="F27" s="7"/>
      <c r="G27" s="7"/>
      <c r="M27" s="10"/>
      <c r="P27" s="11"/>
      <c r="Q27" s="12"/>
    </row>
    <row r="28" spans="1:17">
      <c r="A28" s="14">
        <v>38755</v>
      </c>
      <c r="B28" s="8">
        <v>1009.7044914540132</v>
      </c>
      <c r="F28" s="7"/>
      <c r="G28" s="7"/>
      <c r="M28" s="10"/>
      <c r="P28" s="11"/>
      <c r="Q28" s="12"/>
    </row>
    <row r="29" spans="1:17">
      <c r="A29" s="14">
        <v>38756</v>
      </c>
      <c r="B29" s="8">
        <v>1013.7123311609033</v>
      </c>
      <c r="F29" s="7"/>
      <c r="G29" s="7"/>
      <c r="M29" s="10"/>
      <c r="P29" s="11"/>
      <c r="Q29" s="12"/>
    </row>
    <row r="30" spans="1:17">
      <c r="A30" s="14">
        <v>38757</v>
      </c>
      <c r="B30" s="8">
        <v>1019.2184866976471</v>
      </c>
      <c r="F30" s="7"/>
      <c r="G30" s="7"/>
      <c r="M30" s="10"/>
      <c r="P30" s="11"/>
      <c r="Q30" s="12"/>
    </row>
    <row r="31" spans="1:17">
      <c r="A31" s="14">
        <v>38758</v>
      </c>
      <c r="B31" s="8">
        <v>1018.9803376376151</v>
      </c>
      <c r="F31" s="7"/>
      <c r="G31" s="7"/>
      <c r="M31" s="10"/>
      <c r="P31" s="11"/>
      <c r="Q31" s="12"/>
    </row>
    <row r="32" spans="1:17">
      <c r="A32" s="14">
        <v>38761</v>
      </c>
      <c r="B32" s="8">
        <v>1022.0539212989089</v>
      </c>
      <c r="F32" s="7"/>
      <c r="G32" s="7"/>
      <c r="M32" s="10"/>
      <c r="P32" s="11"/>
      <c r="Q32" s="12"/>
    </row>
    <row r="33" spans="1:17">
      <c r="A33" s="14">
        <v>38762</v>
      </c>
      <c r="B33" s="8">
        <v>1029.0819015425682</v>
      </c>
      <c r="F33" s="7"/>
      <c r="G33" s="7"/>
      <c r="M33" s="10"/>
      <c r="P33" s="11"/>
      <c r="Q33" s="12"/>
    </row>
    <row r="34" spans="1:17">
      <c r="A34" s="14">
        <v>38763</v>
      </c>
      <c r="B34" s="8">
        <v>1030.728975892943</v>
      </c>
      <c r="F34" s="7"/>
      <c r="G34" s="7"/>
      <c r="M34" s="10"/>
      <c r="P34" s="11"/>
      <c r="Q34" s="12"/>
    </row>
    <row r="35" spans="1:17">
      <c r="A35" s="14">
        <v>38764</v>
      </c>
      <c r="B35" s="8">
        <v>1039.5785519651665</v>
      </c>
      <c r="F35" s="7"/>
      <c r="G35" s="7"/>
      <c r="M35" s="10"/>
      <c r="P35" s="11"/>
      <c r="Q35" s="12"/>
    </row>
    <row r="36" spans="1:17">
      <c r="A36" s="14">
        <v>38765</v>
      </c>
      <c r="B36" s="8">
        <v>1038.9862674314463</v>
      </c>
      <c r="F36" s="7"/>
      <c r="G36" s="7"/>
      <c r="M36" s="10"/>
      <c r="P36" s="11"/>
      <c r="Q36" s="12"/>
    </row>
    <row r="37" spans="1:17">
      <c r="A37" s="14">
        <v>38769</v>
      </c>
      <c r="B37" s="8">
        <v>1039.0200230524022</v>
      </c>
      <c r="F37" s="7"/>
      <c r="G37" s="7"/>
      <c r="M37" s="10"/>
      <c r="P37" s="11"/>
      <c r="Q37" s="12"/>
    </row>
    <row r="38" spans="1:17">
      <c r="A38" s="14">
        <v>38770</v>
      </c>
      <c r="B38" s="8">
        <v>1050.7174153430956</v>
      </c>
      <c r="F38" s="7"/>
      <c r="G38" s="7"/>
      <c r="M38" s="10"/>
      <c r="P38" s="11"/>
      <c r="Q38" s="12"/>
    </row>
    <row r="39" spans="1:17">
      <c r="A39" s="14">
        <v>38771</v>
      </c>
      <c r="B39" s="8">
        <v>1047.2708988004315</v>
      </c>
      <c r="F39" s="7"/>
      <c r="G39" s="7"/>
      <c r="M39" s="10"/>
      <c r="P39" s="11"/>
      <c r="Q39" s="12"/>
    </row>
    <row r="40" spans="1:17">
      <c r="A40" s="14">
        <v>38772</v>
      </c>
      <c r="B40" s="8">
        <v>1052.1790669911916</v>
      </c>
      <c r="F40" s="7"/>
      <c r="G40" s="7"/>
      <c r="M40" s="10"/>
      <c r="P40" s="11"/>
      <c r="Q40" s="12"/>
    </row>
    <row r="41" spans="1:17">
      <c r="A41" s="14">
        <v>38775</v>
      </c>
      <c r="B41" s="8">
        <v>1056.625577243489</v>
      </c>
      <c r="F41" s="7"/>
      <c r="G41" s="7"/>
      <c r="M41" s="10"/>
      <c r="P41" s="11"/>
      <c r="Q41" s="12"/>
    </row>
    <row r="42" spans="1:17">
      <c r="A42" s="14">
        <v>38776</v>
      </c>
      <c r="B42" s="8">
        <v>1037.3104434076863</v>
      </c>
      <c r="F42" s="7"/>
      <c r="G42" s="7"/>
      <c r="M42" s="10"/>
      <c r="P42" s="11"/>
      <c r="Q42" s="12"/>
    </row>
    <row r="43" spans="1:17">
      <c r="A43" s="14">
        <v>38777</v>
      </c>
      <c r="B43" s="8">
        <v>1048.1101204294896</v>
      </c>
      <c r="F43" s="7"/>
      <c r="G43" s="7"/>
      <c r="M43" s="10"/>
      <c r="P43" s="11"/>
      <c r="Q43" s="12"/>
    </row>
    <row r="44" spans="1:17">
      <c r="A44" s="14">
        <v>38778</v>
      </c>
      <c r="B44" s="8">
        <v>1036.5543722039527</v>
      </c>
      <c r="F44" s="7"/>
      <c r="G44" s="7"/>
      <c r="M44" s="10"/>
      <c r="P44" s="11"/>
      <c r="Q44" s="12"/>
    </row>
    <row r="45" spans="1:17">
      <c r="A45" s="14">
        <v>38779</v>
      </c>
      <c r="B45" s="8">
        <v>1030.5397200992502</v>
      </c>
      <c r="F45" s="7"/>
      <c r="G45" s="7"/>
      <c r="M45" s="10"/>
      <c r="P45" s="11"/>
      <c r="Q45" s="12"/>
    </row>
    <row r="46" spans="1:17">
      <c r="A46" s="14">
        <v>38782</v>
      </c>
      <c r="B46" s="8">
        <v>1030.1035233188495</v>
      </c>
      <c r="F46" s="7"/>
      <c r="G46" s="7"/>
      <c r="M46" s="10"/>
      <c r="P46" s="11"/>
      <c r="Q46" s="12"/>
    </row>
    <row r="47" spans="1:17">
      <c r="A47" s="14">
        <v>38783</v>
      </c>
      <c r="B47" s="8">
        <v>1030.9456834836706</v>
      </c>
      <c r="F47" s="7"/>
      <c r="G47" s="7"/>
      <c r="M47" s="10"/>
      <c r="P47" s="11"/>
      <c r="Q47" s="12"/>
    </row>
    <row r="48" spans="1:17">
      <c r="A48" s="14">
        <v>38784</v>
      </c>
      <c r="B48" s="8">
        <v>1026.4827957799127</v>
      </c>
      <c r="F48" s="7"/>
      <c r="G48" s="7"/>
      <c r="M48" s="10"/>
      <c r="P48" s="11"/>
      <c r="Q48" s="12"/>
    </row>
    <row r="49" spans="1:17">
      <c r="A49" s="14">
        <v>38785</v>
      </c>
      <c r="B49" s="8">
        <v>1030.0626305090427</v>
      </c>
      <c r="F49" s="7"/>
      <c r="G49" s="7"/>
      <c r="M49" s="10"/>
      <c r="P49" s="11"/>
      <c r="Q49" s="12"/>
    </row>
    <row r="50" spans="1:17">
      <c r="A50" s="14">
        <v>38786</v>
      </c>
      <c r="B50" s="8">
        <v>1041.5703475823923</v>
      </c>
      <c r="F50" s="7"/>
      <c r="G50" s="7"/>
      <c r="M50" s="10"/>
      <c r="P50" s="11"/>
      <c r="Q50" s="12"/>
    </row>
    <row r="51" spans="1:17">
      <c r="A51" s="14">
        <v>38789</v>
      </c>
      <c r="B51" s="8">
        <v>1043.8217171771651</v>
      </c>
      <c r="F51" s="7"/>
      <c r="G51" s="7"/>
      <c r="M51" s="10"/>
      <c r="P51" s="11"/>
      <c r="Q51" s="12"/>
    </row>
    <row r="52" spans="1:17">
      <c r="A52" s="14">
        <v>38790</v>
      </c>
      <c r="B52" s="8">
        <v>1047.593772389419</v>
      </c>
      <c r="F52" s="7"/>
      <c r="G52" s="7"/>
      <c r="M52" s="10"/>
      <c r="P52" s="11"/>
      <c r="Q52" s="12"/>
    </row>
    <row r="53" spans="1:17">
      <c r="A53" s="14">
        <v>38791</v>
      </c>
      <c r="B53" s="8">
        <v>1050.568217205539</v>
      </c>
      <c r="F53" s="7"/>
      <c r="G53" s="7"/>
      <c r="M53" s="10"/>
      <c r="P53" s="11"/>
      <c r="Q53" s="12"/>
    </row>
    <row r="54" spans="1:17">
      <c r="A54" s="14">
        <v>38792</v>
      </c>
      <c r="B54" s="8">
        <v>1046.194713555346</v>
      </c>
      <c r="F54" s="7"/>
      <c r="G54" s="7"/>
      <c r="M54" s="10"/>
      <c r="P54" s="11"/>
      <c r="Q54" s="12"/>
    </row>
    <row r="55" spans="1:17">
      <c r="A55" s="14">
        <v>38793</v>
      </c>
      <c r="B55" s="8">
        <v>1046.6254254933745</v>
      </c>
      <c r="F55" s="7"/>
      <c r="G55" s="7"/>
      <c r="M55" s="10"/>
      <c r="P55" s="11"/>
      <c r="Q55" s="12"/>
    </row>
    <row r="56" spans="1:17">
      <c r="A56" s="14">
        <v>38796</v>
      </c>
      <c r="B56" s="8">
        <v>1047.8056582324787</v>
      </c>
      <c r="F56" s="7"/>
      <c r="G56" s="7"/>
      <c r="M56" s="10"/>
      <c r="P56" s="11"/>
      <c r="Q56" s="12"/>
    </row>
    <row r="57" spans="1:17">
      <c r="A57" s="14">
        <v>38797</v>
      </c>
      <c r="B57" s="8">
        <v>1048.3797130901878</v>
      </c>
      <c r="F57" s="7"/>
      <c r="G57" s="7"/>
      <c r="M57" s="10"/>
      <c r="P57" s="11"/>
      <c r="Q57" s="12"/>
    </row>
    <row r="58" spans="1:17">
      <c r="A58" s="14">
        <v>38798</v>
      </c>
      <c r="B58" s="8">
        <v>1054.287178518736</v>
      </c>
      <c r="F58" s="7"/>
      <c r="G58" s="7"/>
      <c r="M58" s="10"/>
      <c r="P58" s="11"/>
      <c r="Q58" s="12"/>
    </row>
    <row r="59" spans="1:17">
      <c r="A59" s="14">
        <v>38799</v>
      </c>
      <c r="B59" s="8">
        <v>1057.8765560441948</v>
      </c>
      <c r="F59" s="7"/>
      <c r="G59" s="7"/>
      <c r="M59" s="10"/>
      <c r="P59" s="11"/>
      <c r="Q59" s="12"/>
    </row>
    <row r="60" spans="1:17">
      <c r="A60" s="14">
        <v>38800</v>
      </c>
      <c r="B60" s="8">
        <v>1057.9207323676892</v>
      </c>
      <c r="F60" s="7"/>
      <c r="G60" s="7"/>
      <c r="M60" s="10"/>
      <c r="P60" s="11"/>
      <c r="Q60" s="12"/>
    </row>
    <row r="61" spans="1:17">
      <c r="A61" s="14">
        <v>38803</v>
      </c>
      <c r="B61" s="8">
        <v>1051.9084345161045</v>
      </c>
      <c r="F61" s="7"/>
      <c r="G61" s="7"/>
      <c r="M61" s="10"/>
      <c r="P61" s="11"/>
      <c r="Q61" s="12"/>
    </row>
    <row r="62" spans="1:17">
      <c r="A62" s="14">
        <v>38804</v>
      </c>
      <c r="B62" s="8">
        <v>1043.285135529926</v>
      </c>
      <c r="F62" s="7"/>
      <c r="G62" s="7"/>
      <c r="M62" s="10"/>
      <c r="P62" s="11"/>
      <c r="Q62" s="12"/>
    </row>
    <row r="63" spans="1:17">
      <c r="A63" s="14">
        <v>38805</v>
      </c>
      <c r="B63" s="8">
        <v>1051.7556925658778</v>
      </c>
      <c r="F63" s="7"/>
      <c r="G63" s="7"/>
      <c r="M63" s="10"/>
      <c r="P63" s="11"/>
      <c r="Q63" s="12"/>
    </row>
    <row r="64" spans="1:17">
      <c r="A64" s="14">
        <v>38806</v>
      </c>
      <c r="B64" s="8">
        <v>1051.5036587400991</v>
      </c>
      <c r="F64" s="7"/>
      <c r="G64" s="7"/>
      <c r="M64" s="10"/>
      <c r="P64" s="11"/>
      <c r="Q64" s="12"/>
    </row>
    <row r="65" spans="1:17">
      <c r="A65" s="14">
        <v>38807</v>
      </c>
      <c r="B65" s="8">
        <v>1046.5375821930525</v>
      </c>
      <c r="F65" s="7"/>
      <c r="G65" s="7"/>
      <c r="M65" s="10"/>
      <c r="P65" s="11"/>
      <c r="Q65" s="12"/>
    </row>
    <row r="66" spans="1:17">
      <c r="A66" s="14">
        <v>38810</v>
      </c>
      <c r="B66" s="8">
        <v>1051.1631788174452</v>
      </c>
      <c r="F66" s="7"/>
      <c r="G66" s="7"/>
      <c r="M66" s="10"/>
      <c r="P66" s="11"/>
      <c r="Q66" s="12"/>
    </row>
    <row r="67" spans="1:17">
      <c r="A67" s="14">
        <v>38811</v>
      </c>
      <c r="B67" s="8">
        <v>1044.3296931977914</v>
      </c>
      <c r="F67" s="7"/>
      <c r="G67" s="7"/>
      <c r="M67" s="10"/>
      <c r="P67" s="11"/>
      <c r="Q67" s="12"/>
    </row>
    <row r="68" spans="1:17">
      <c r="A68" s="14">
        <v>38812</v>
      </c>
      <c r="B68" s="8">
        <v>1047.3026855540945</v>
      </c>
      <c r="F68" s="7"/>
      <c r="G68" s="7"/>
      <c r="M68" s="10"/>
      <c r="P68" s="11"/>
      <c r="Q68" s="12"/>
    </row>
    <row r="69" spans="1:17">
      <c r="A69" s="14">
        <v>38813</v>
      </c>
      <c r="B69" s="8">
        <v>1049.0476195382923</v>
      </c>
      <c r="F69" s="7"/>
      <c r="G69" s="7"/>
      <c r="M69" s="10"/>
      <c r="P69" s="11"/>
      <c r="Q69" s="12"/>
    </row>
    <row r="70" spans="1:17">
      <c r="A70" s="14">
        <v>38814</v>
      </c>
      <c r="B70" s="8">
        <v>1042.4069203685176</v>
      </c>
      <c r="F70" s="7"/>
      <c r="G70" s="7"/>
      <c r="M70" s="10"/>
      <c r="P70" s="11"/>
      <c r="Q70" s="12"/>
    </row>
    <row r="71" spans="1:17">
      <c r="A71" s="14">
        <v>38817</v>
      </c>
      <c r="B71" s="8">
        <v>1045.8249995619149</v>
      </c>
      <c r="F71" s="7"/>
      <c r="G71" s="7"/>
      <c r="M71" s="10"/>
      <c r="P71" s="11"/>
      <c r="Q71" s="12"/>
    </row>
    <row r="72" spans="1:17">
      <c r="A72" s="14">
        <v>38818</v>
      </c>
      <c r="B72" s="8">
        <v>1029.2720426671463</v>
      </c>
      <c r="F72" s="7"/>
      <c r="G72" s="7"/>
      <c r="M72" s="10"/>
      <c r="P72" s="11"/>
      <c r="Q72" s="12"/>
    </row>
    <row r="73" spans="1:17">
      <c r="A73" s="14">
        <v>38819</v>
      </c>
      <c r="B73" s="8">
        <v>1029.4535178557253</v>
      </c>
      <c r="F73" s="7"/>
      <c r="G73" s="7"/>
      <c r="M73" s="10"/>
      <c r="P73" s="11"/>
      <c r="Q73" s="12"/>
    </row>
    <row r="74" spans="1:17">
      <c r="A74" s="14">
        <v>38820</v>
      </c>
      <c r="B74" s="8">
        <v>1031.4116477676559</v>
      </c>
      <c r="F74" s="7"/>
      <c r="G74" s="7"/>
      <c r="M74" s="10"/>
      <c r="P74" s="11"/>
      <c r="Q74" s="12"/>
    </row>
    <row r="75" spans="1:17">
      <c r="A75" s="14">
        <v>38825</v>
      </c>
      <c r="B75" s="8">
        <v>1029.926553131233</v>
      </c>
      <c r="F75" s="7"/>
      <c r="G75" s="7"/>
      <c r="M75" s="10"/>
      <c r="P75" s="11"/>
      <c r="Q75" s="12"/>
    </row>
    <row r="76" spans="1:17">
      <c r="A76" s="14">
        <v>38826</v>
      </c>
      <c r="B76" s="8">
        <v>1035.3505951000673</v>
      </c>
      <c r="F76" s="7"/>
      <c r="G76" s="7"/>
      <c r="M76" s="10"/>
      <c r="P76" s="11"/>
      <c r="Q76" s="12"/>
    </row>
    <row r="77" spans="1:17">
      <c r="A77" s="14">
        <v>38827</v>
      </c>
      <c r="B77" s="8">
        <v>1044.5021458507001</v>
      </c>
      <c r="F77" s="7"/>
      <c r="G77" s="7"/>
      <c r="M77" s="10"/>
      <c r="P77" s="11"/>
      <c r="Q77" s="12"/>
    </row>
    <row r="78" spans="1:17">
      <c r="A78" s="14">
        <v>38828</v>
      </c>
      <c r="B78" s="8">
        <v>1046.7973398968388</v>
      </c>
      <c r="F78" s="7"/>
      <c r="G78" s="7"/>
      <c r="M78" s="10"/>
      <c r="P78" s="11"/>
      <c r="Q78" s="12"/>
    </row>
    <row r="79" spans="1:17">
      <c r="A79" s="14">
        <v>38831</v>
      </c>
      <c r="B79" s="8">
        <v>1038.6123172909602</v>
      </c>
      <c r="F79" s="7"/>
      <c r="G79" s="7"/>
      <c r="M79" s="10"/>
      <c r="P79" s="11"/>
      <c r="Q79" s="12"/>
    </row>
    <row r="80" spans="1:17">
      <c r="A80" s="14">
        <v>38832</v>
      </c>
      <c r="B80" s="8">
        <v>1037.9580040358089</v>
      </c>
      <c r="F80" s="7"/>
      <c r="G80" s="7"/>
      <c r="M80" s="10"/>
      <c r="P80" s="11"/>
      <c r="Q80" s="12"/>
    </row>
    <row r="81" spans="1:17">
      <c r="A81" s="14">
        <v>38833</v>
      </c>
      <c r="B81" s="8">
        <v>1039.2269835918339</v>
      </c>
      <c r="F81" s="7"/>
      <c r="G81" s="7"/>
      <c r="M81" s="10"/>
      <c r="P81" s="11"/>
      <c r="Q81" s="12"/>
    </row>
    <row r="82" spans="1:17">
      <c r="A82" s="14">
        <v>38834</v>
      </c>
      <c r="B82" s="8">
        <v>1033.017431894958</v>
      </c>
      <c r="F82" s="7"/>
      <c r="G82" s="7"/>
      <c r="M82" s="10"/>
      <c r="P82" s="11"/>
      <c r="Q82" s="12"/>
    </row>
    <row r="83" spans="1:17">
      <c r="A83" s="14">
        <v>38835</v>
      </c>
      <c r="B83" s="8">
        <v>1025.709530599205</v>
      </c>
      <c r="F83" s="7"/>
      <c r="G83" s="7"/>
      <c r="M83" s="10"/>
      <c r="P83" s="11"/>
      <c r="Q83" s="12"/>
    </row>
    <row r="84" spans="1:17">
      <c r="A84" s="14">
        <v>38839</v>
      </c>
      <c r="B84" s="8">
        <v>1030.5952573074953</v>
      </c>
      <c r="F84" s="7"/>
      <c r="G84" s="7"/>
      <c r="M84" s="10"/>
      <c r="P84" s="11"/>
      <c r="Q84" s="12"/>
    </row>
    <row r="85" spans="1:17">
      <c r="A85" s="14">
        <v>38840</v>
      </c>
      <c r="B85" s="8">
        <v>1022.6561124888669</v>
      </c>
      <c r="F85" s="7"/>
      <c r="G85" s="7"/>
      <c r="M85" s="10"/>
      <c r="P85" s="11"/>
      <c r="Q85" s="12"/>
    </row>
    <row r="86" spans="1:17">
      <c r="A86" s="14">
        <v>38841</v>
      </c>
      <c r="B86" s="8">
        <v>1026.268457923519</v>
      </c>
      <c r="F86" s="7"/>
      <c r="G86" s="7"/>
      <c r="M86" s="10"/>
      <c r="P86" s="11"/>
      <c r="Q86" s="12"/>
    </row>
    <row r="87" spans="1:17">
      <c r="A87" s="14">
        <v>38842</v>
      </c>
      <c r="B87" s="8">
        <v>1034.648641385591</v>
      </c>
      <c r="F87" s="7"/>
      <c r="G87" s="7"/>
      <c r="M87" s="10"/>
      <c r="P87" s="11"/>
      <c r="Q87" s="12"/>
    </row>
    <row r="88" spans="1:17">
      <c r="A88" s="14">
        <v>38845</v>
      </c>
      <c r="B88" s="8">
        <v>1036.9597351588529</v>
      </c>
      <c r="F88" s="7"/>
      <c r="G88" s="7"/>
      <c r="M88" s="10"/>
      <c r="P88" s="11"/>
      <c r="Q88" s="12"/>
    </row>
    <row r="89" spans="1:17">
      <c r="A89" s="14">
        <v>38846</v>
      </c>
      <c r="B89" s="8">
        <v>1036.1371615771477</v>
      </c>
      <c r="F89" s="7"/>
      <c r="G89" s="7"/>
      <c r="M89" s="10"/>
      <c r="P89" s="11"/>
      <c r="Q89" s="12"/>
    </row>
    <row r="90" spans="1:17">
      <c r="A90" s="14">
        <v>38847</v>
      </c>
      <c r="B90" s="8">
        <v>1032.3670051457345</v>
      </c>
      <c r="F90" s="7"/>
      <c r="G90" s="7"/>
      <c r="M90" s="10"/>
      <c r="P90" s="11"/>
      <c r="Q90" s="12"/>
    </row>
    <row r="91" spans="1:17">
      <c r="A91" s="14">
        <v>38848</v>
      </c>
      <c r="B91" s="8">
        <v>1017.3397942999512</v>
      </c>
      <c r="F91" s="7"/>
      <c r="G91" s="7"/>
      <c r="M91" s="10"/>
      <c r="P91" s="11"/>
      <c r="Q91" s="12"/>
    </row>
    <row r="92" spans="1:17">
      <c r="A92" s="14">
        <v>38849</v>
      </c>
      <c r="B92" s="8">
        <v>997.37953434107931</v>
      </c>
      <c r="F92" s="7"/>
      <c r="G92" s="7"/>
      <c r="M92" s="10"/>
      <c r="P92" s="11"/>
      <c r="Q92" s="12"/>
    </row>
    <row r="93" spans="1:17">
      <c r="A93" s="14">
        <v>38852</v>
      </c>
      <c r="B93" s="8">
        <v>995.73354353755656</v>
      </c>
      <c r="F93" s="7"/>
      <c r="G93" s="7"/>
      <c r="M93" s="10"/>
      <c r="P93" s="11"/>
      <c r="Q93" s="12"/>
    </row>
    <row r="94" spans="1:17">
      <c r="A94" s="14">
        <v>38853</v>
      </c>
      <c r="B94" s="8">
        <v>994.80758583768068</v>
      </c>
      <c r="F94" s="7"/>
      <c r="G94" s="7"/>
      <c r="M94" s="10"/>
      <c r="P94" s="11"/>
      <c r="Q94" s="12"/>
    </row>
    <row r="95" spans="1:17">
      <c r="A95" s="14">
        <v>38854</v>
      </c>
      <c r="B95" s="8">
        <v>971.3529153713755</v>
      </c>
      <c r="F95" s="7"/>
      <c r="G95" s="7"/>
      <c r="M95" s="10"/>
      <c r="P95" s="11"/>
      <c r="Q95" s="12"/>
    </row>
    <row r="96" spans="1:17">
      <c r="A96" s="14">
        <v>38855</v>
      </c>
      <c r="B96" s="8">
        <v>965.53908907405014</v>
      </c>
      <c r="F96" s="7"/>
      <c r="G96" s="7"/>
      <c r="M96" s="10"/>
      <c r="P96" s="11"/>
      <c r="Q96" s="12"/>
    </row>
    <row r="97" spans="1:17">
      <c r="A97" s="14">
        <v>38856</v>
      </c>
      <c r="B97" s="8">
        <v>972.99015594950799</v>
      </c>
      <c r="F97" s="7"/>
      <c r="G97" s="7"/>
      <c r="M97" s="10"/>
      <c r="P97" s="11"/>
      <c r="Q97" s="12"/>
    </row>
    <row r="98" spans="1:17">
      <c r="A98" s="14">
        <v>38859</v>
      </c>
      <c r="B98" s="8">
        <v>954.82630862797316</v>
      </c>
      <c r="F98" s="7"/>
      <c r="G98" s="7"/>
      <c r="M98" s="10"/>
      <c r="P98" s="11"/>
      <c r="Q98" s="12"/>
    </row>
    <row r="99" spans="1:17">
      <c r="A99" s="14">
        <v>38860</v>
      </c>
      <c r="B99" s="8">
        <v>963.92383590217219</v>
      </c>
      <c r="F99" s="7"/>
      <c r="G99" s="7"/>
      <c r="M99" s="10"/>
      <c r="P99" s="11"/>
      <c r="Q99" s="12"/>
    </row>
    <row r="100" spans="1:17">
      <c r="A100" s="14">
        <v>38861</v>
      </c>
      <c r="B100" s="8">
        <v>961.88353145553413</v>
      </c>
      <c r="F100" s="7"/>
      <c r="G100" s="7"/>
      <c r="M100" s="10"/>
      <c r="P100" s="11"/>
      <c r="Q100" s="12"/>
    </row>
    <row r="101" spans="1:17">
      <c r="A101" s="14">
        <v>38862</v>
      </c>
      <c r="B101" s="8">
        <v>975.63456049695094</v>
      </c>
      <c r="F101" s="7"/>
      <c r="G101" s="7"/>
      <c r="M101" s="10"/>
      <c r="P101" s="11"/>
      <c r="Q101" s="12"/>
    </row>
    <row r="102" spans="1:17">
      <c r="A102" s="14">
        <v>38863</v>
      </c>
      <c r="B102" s="8">
        <v>990.68389353206385</v>
      </c>
      <c r="F102" s="7"/>
      <c r="G102" s="7"/>
      <c r="M102" s="10"/>
      <c r="P102" s="11"/>
      <c r="Q102" s="12"/>
    </row>
    <row r="103" spans="1:17">
      <c r="A103" s="14">
        <v>38867</v>
      </c>
      <c r="B103" s="8">
        <v>960.09959448440884</v>
      </c>
      <c r="F103" s="7"/>
      <c r="G103" s="7"/>
      <c r="M103" s="10"/>
      <c r="P103" s="11"/>
      <c r="Q103" s="12"/>
    </row>
    <row r="104" spans="1:17">
      <c r="A104" s="14">
        <v>38868</v>
      </c>
      <c r="B104" s="8">
        <v>975.130736092392</v>
      </c>
      <c r="F104" s="7"/>
      <c r="G104" s="7"/>
      <c r="M104" s="10"/>
      <c r="P104" s="11"/>
      <c r="Q104" s="12"/>
    </row>
    <row r="105" spans="1:17">
      <c r="A105" s="14">
        <v>38869</v>
      </c>
      <c r="B105" s="8">
        <v>983.6182583602623</v>
      </c>
      <c r="F105" s="7"/>
      <c r="G105" s="7"/>
      <c r="M105" s="10"/>
      <c r="P105" s="11"/>
      <c r="Q105" s="12"/>
    </row>
    <row r="106" spans="1:17">
      <c r="A106" s="14">
        <v>38870</v>
      </c>
      <c r="B106" s="8">
        <v>978.2319478654166</v>
      </c>
      <c r="F106" s="7"/>
      <c r="G106" s="7"/>
      <c r="M106" s="10"/>
      <c r="P106" s="11"/>
      <c r="Q106" s="12"/>
    </row>
    <row r="107" spans="1:17">
      <c r="A107" s="14">
        <v>38873</v>
      </c>
      <c r="B107" s="8">
        <v>961.64412830870003</v>
      </c>
      <c r="F107" s="7"/>
      <c r="G107" s="7"/>
      <c r="M107" s="10"/>
      <c r="P107" s="11"/>
      <c r="Q107" s="12"/>
    </row>
    <row r="108" spans="1:17">
      <c r="A108" s="14">
        <v>38874</v>
      </c>
      <c r="B108" s="8">
        <v>955.22454679347709</v>
      </c>
      <c r="F108" s="7"/>
      <c r="G108" s="7"/>
      <c r="M108" s="10"/>
      <c r="P108" s="11"/>
      <c r="Q108" s="12"/>
    </row>
    <row r="109" spans="1:17">
      <c r="A109" s="14">
        <v>38875</v>
      </c>
      <c r="B109" s="8">
        <v>958.70556730059275</v>
      </c>
      <c r="F109" s="7"/>
      <c r="G109" s="7"/>
      <c r="M109" s="10"/>
      <c r="P109" s="11"/>
      <c r="Q109" s="12"/>
    </row>
    <row r="110" spans="1:17">
      <c r="A110" s="14">
        <v>38876</v>
      </c>
      <c r="B110" s="8">
        <v>950.75197256104354</v>
      </c>
      <c r="F110" s="7"/>
      <c r="G110" s="7"/>
      <c r="M110" s="10"/>
      <c r="P110" s="11"/>
      <c r="Q110" s="12"/>
    </row>
    <row r="111" spans="1:17">
      <c r="A111" s="14">
        <v>38877</v>
      </c>
      <c r="B111" s="8">
        <v>958.25146057958727</v>
      </c>
      <c r="F111" s="7"/>
      <c r="G111" s="7"/>
      <c r="M111" s="10"/>
      <c r="P111" s="11"/>
      <c r="Q111" s="12"/>
    </row>
    <row r="112" spans="1:17">
      <c r="A112" s="14">
        <v>38880</v>
      </c>
      <c r="B112" s="8">
        <v>946.1722093670752</v>
      </c>
      <c r="F112" s="7"/>
      <c r="G112" s="7"/>
      <c r="M112" s="10"/>
      <c r="P112" s="11"/>
      <c r="Q112" s="12"/>
    </row>
    <row r="113" spans="1:17">
      <c r="A113" s="14">
        <v>38881</v>
      </c>
      <c r="B113" s="8">
        <v>930.30151973768773</v>
      </c>
      <c r="F113" s="7"/>
      <c r="G113" s="7"/>
      <c r="M113" s="10"/>
      <c r="P113" s="11"/>
      <c r="Q113" s="12"/>
    </row>
    <row r="114" spans="1:17">
      <c r="A114" s="14">
        <v>38882</v>
      </c>
      <c r="B114" s="8">
        <v>932.11595748282173</v>
      </c>
      <c r="F114" s="7"/>
      <c r="G114" s="7"/>
      <c r="M114" s="10"/>
      <c r="P114" s="11"/>
      <c r="Q114" s="12"/>
    </row>
    <row r="115" spans="1:17">
      <c r="A115" s="14">
        <v>38883</v>
      </c>
      <c r="B115" s="8">
        <v>956.03318950970879</v>
      </c>
      <c r="F115" s="7"/>
      <c r="G115" s="7"/>
      <c r="M115" s="10"/>
      <c r="P115" s="11"/>
      <c r="Q115" s="12"/>
    </row>
    <row r="116" spans="1:17">
      <c r="A116" s="14">
        <v>38884</v>
      </c>
      <c r="B116" s="8">
        <v>949.57516745306816</v>
      </c>
      <c r="F116" s="7"/>
      <c r="G116" s="7"/>
      <c r="M116" s="10"/>
      <c r="P116" s="11"/>
      <c r="Q116" s="12"/>
    </row>
    <row r="117" spans="1:17">
      <c r="A117" s="14">
        <v>38887</v>
      </c>
      <c r="B117" s="8">
        <v>950.9948194121913</v>
      </c>
      <c r="F117" s="7"/>
      <c r="G117" s="7"/>
      <c r="M117" s="10"/>
      <c r="P117" s="11"/>
      <c r="Q117" s="12"/>
    </row>
    <row r="118" spans="1:17">
      <c r="A118" s="14">
        <v>38888</v>
      </c>
      <c r="B118" s="8">
        <v>952.72489757957032</v>
      </c>
      <c r="F118" s="7"/>
      <c r="G118" s="7"/>
      <c r="M118" s="10"/>
      <c r="P118" s="11"/>
      <c r="Q118" s="12"/>
    </row>
    <row r="119" spans="1:17">
      <c r="A119" s="14">
        <v>38889</v>
      </c>
      <c r="B119" s="8">
        <v>957.66240254031322</v>
      </c>
      <c r="F119" s="7"/>
      <c r="G119" s="7"/>
      <c r="M119" s="10"/>
      <c r="P119" s="11"/>
      <c r="Q119" s="12"/>
    </row>
    <row r="120" spans="1:17">
      <c r="A120" s="14">
        <v>38890</v>
      </c>
      <c r="B120" s="8">
        <v>961.10169794645776</v>
      </c>
      <c r="F120" s="7"/>
      <c r="G120" s="7"/>
      <c r="M120" s="10"/>
      <c r="P120" s="11"/>
      <c r="Q120" s="12"/>
    </row>
    <row r="121" spans="1:17">
      <c r="A121" s="14">
        <v>38891</v>
      </c>
      <c r="B121" s="8">
        <v>963.29692752148878</v>
      </c>
      <c r="F121" s="7"/>
      <c r="G121" s="7"/>
      <c r="M121" s="10"/>
      <c r="P121" s="11"/>
      <c r="Q121" s="12"/>
    </row>
    <row r="122" spans="1:17">
      <c r="A122" s="14">
        <v>38894</v>
      </c>
      <c r="B122" s="8">
        <v>961.43515117959453</v>
      </c>
      <c r="F122" s="7"/>
      <c r="G122" s="7"/>
      <c r="M122" s="10"/>
      <c r="P122" s="11"/>
      <c r="Q122" s="12"/>
    </row>
    <row r="123" spans="1:17">
      <c r="A123" s="14">
        <v>38895</v>
      </c>
      <c r="B123" s="8">
        <v>950.34006171420458</v>
      </c>
      <c r="F123" s="7"/>
      <c r="G123" s="7"/>
      <c r="M123" s="10"/>
      <c r="P123" s="11"/>
      <c r="Q123" s="12"/>
    </row>
    <row r="124" spans="1:17">
      <c r="A124" s="14">
        <v>38896</v>
      </c>
      <c r="B124" s="8">
        <v>954.51240014936434</v>
      </c>
      <c r="F124" s="7"/>
      <c r="G124" s="7"/>
      <c r="M124" s="10"/>
      <c r="P124" s="11"/>
      <c r="Q124" s="12"/>
    </row>
    <row r="125" spans="1:17">
      <c r="A125" s="14">
        <v>38897</v>
      </c>
      <c r="B125" s="8">
        <v>977.58812081829876</v>
      </c>
      <c r="F125" s="7"/>
      <c r="G125" s="7"/>
      <c r="M125" s="10"/>
      <c r="P125" s="11"/>
      <c r="Q125" s="12"/>
    </row>
    <row r="126" spans="1:17">
      <c r="A126" s="14">
        <v>38898</v>
      </c>
      <c r="B126" s="8">
        <v>977.67001775104814</v>
      </c>
      <c r="F126" s="7"/>
      <c r="G126" s="7"/>
      <c r="M126" s="10"/>
      <c r="P126" s="11"/>
      <c r="Q126" s="12"/>
    </row>
    <row r="127" spans="1:17">
      <c r="A127" s="14">
        <v>38901</v>
      </c>
      <c r="B127" s="8">
        <v>981.6714929224878</v>
      </c>
      <c r="F127" s="7"/>
      <c r="G127" s="7"/>
      <c r="M127" s="10"/>
      <c r="P127" s="11"/>
      <c r="Q127" s="12"/>
    </row>
    <row r="128" spans="1:17">
      <c r="A128" s="14">
        <v>38903</v>
      </c>
      <c r="B128" s="8">
        <v>972.66370820543193</v>
      </c>
      <c r="F128" s="7"/>
      <c r="G128" s="7"/>
      <c r="M128" s="10"/>
      <c r="P128" s="11"/>
      <c r="Q128" s="12"/>
    </row>
    <row r="129" spans="1:17">
      <c r="A129" s="14">
        <v>38904</v>
      </c>
      <c r="B129" s="8">
        <v>977.84042473036027</v>
      </c>
      <c r="F129" s="7"/>
      <c r="G129" s="7"/>
      <c r="M129" s="10"/>
      <c r="P129" s="11"/>
      <c r="Q129" s="12"/>
    </row>
    <row r="130" spans="1:17">
      <c r="A130" s="14">
        <v>38905</v>
      </c>
      <c r="B130" s="8">
        <v>968.99170436209408</v>
      </c>
      <c r="F130" s="7"/>
      <c r="G130" s="7"/>
      <c r="M130" s="10"/>
      <c r="P130" s="11"/>
      <c r="Q130" s="12"/>
    </row>
    <row r="131" spans="1:17">
      <c r="A131" s="14">
        <v>38908</v>
      </c>
      <c r="B131" s="8">
        <v>974.80217601021184</v>
      </c>
      <c r="F131" s="7"/>
      <c r="G131" s="7"/>
      <c r="M131" s="10"/>
      <c r="P131" s="11"/>
      <c r="Q131" s="12"/>
    </row>
    <row r="132" spans="1:17">
      <c r="A132" s="14">
        <v>38909</v>
      </c>
      <c r="B132" s="8">
        <v>969.03876599305499</v>
      </c>
      <c r="F132" s="7"/>
      <c r="G132" s="7"/>
      <c r="M132" s="10"/>
      <c r="P132" s="11"/>
      <c r="Q132" s="12"/>
    </row>
    <row r="133" spans="1:17">
      <c r="A133" s="14">
        <v>38910</v>
      </c>
      <c r="B133" s="8">
        <v>966.93252523859337</v>
      </c>
      <c r="F133" s="7"/>
      <c r="G133" s="7"/>
      <c r="M133" s="10"/>
      <c r="P133" s="11"/>
      <c r="Q133" s="12"/>
    </row>
    <row r="134" spans="1:17">
      <c r="A134" s="14">
        <v>38911</v>
      </c>
      <c r="B134" s="8">
        <v>950.67196378278231</v>
      </c>
      <c r="F134" s="7"/>
      <c r="G134" s="7"/>
      <c r="M134" s="10"/>
      <c r="P134" s="11"/>
      <c r="Q134" s="12"/>
    </row>
    <row r="135" spans="1:17">
      <c r="A135" s="14">
        <v>38912</v>
      </c>
      <c r="B135" s="8">
        <v>940.5369514399257</v>
      </c>
      <c r="F135" s="7"/>
      <c r="G135" s="7"/>
      <c r="M135" s="10"/>
      <c r="P135" s="11"/>
      <c r="Q135" s="12"/>
    </row>
    <row r="136" spans="1:17">
      <c r="A136" s="14">
        <v>38915</v>
      </c>
      <c r="B136" s="8">
        <v>942.84467285569713</v>
      </c>
      <c r="F136" s="7"/>
      <c r="G136" s="7"/>
      <c r="M136" s="10"/>
      <c r="P136" s="11"/>
      <c r="Q136" s="12"/>
    </row>
    <row r="137" spans="1:17">
      <c r="A137" s="14">
        <v>38916</v>
      </c>
      <c r="B137" s="8">
        <v>942.68785812626822</v>
      </c>
      <c r="F137" s="7"/>
      <c r="G137" s="7"/>
      <c r="M137" s="10"/>
      <c r="P137" s="11"/>
      <c r="Q137" s="12"/>
    </row>
    <row r="138" spans="1:17">
      <c r="A138" s="14">
        <v>38917</v>
      </c>
      <c r="B138" s="8">
        <v>962.04809545457033</v>
      </c>
      <c r="F138" s="7"/>
      <c r="G138" s="7"/>
      <c r="M138" s="10"/>
      <c r="P138" s="11"/>
      <c r="Q138" s="12"/>
    </row>
    <row r="139" spans="1:17">
      <c r="A139" s="14">
        <v>38918</v>
      </c>
      <c r="B139" s="8">
        <v>955.34384828973134</v>
      </c>
      <c r="F139" s="7"/>
      <c r="G139" s="7"/>
      <c r="M139" s="10"/>
      <c r="P139" s="11"/>
      <c r="Q139" s="12"/>
    </row>
    <row r="140" spans="1:17">
      <c r="A140" s="14">
        <v>38919</v>
      </c>
      <c r="B140" s="8">
        <v>942.69099819333007</v>
      </c>
      <c r="F140" s="7"/>
      <c r="G140" s="7"/>
      <c r="M140" s="10"/>
      <c r="P140" s="11"/>
      <c r="Q140" s="12"/>
    </row>
    <row r="141" spans="1:17">
      <c r="A141" s="14">
        <v>38922</v>
      </c>
      <c r="B141" s="8">
        <v>964.11630244206503</v>
      </c>
      <c r="F141" s="7"/>
      <c r="G141" s="7"/>
      <c r="M141" s="10"/>
      <c r="P141" s="11"/>
      <c r="Q141" s="12"/>
    </row>
    <row r="142" spans="1:17">
      <c r="A142" s="14">
        <v>38923</v>
      </c>
      <c r="B142" s="8">
        <v>970.27879826420849</v>
      </c>
      <c r="F142" s="7"/>
      <c r="G142" s="7"/>
      <c r="M142" s="10"/>
      <c r="P142" s="11"/>
      <c r="Q142" s="12"/>
    </row>
    <row r="143" spans="1:17">
      <c r="A143" s="14">
        <v>38924</v>
      </c>
      <c r="B143" s="8">
        <v>967.46432229833044</v>
      </c>
      <c r="F143" s="7"/>
      <c r="G143" s="7"/>
      <c r="M143" s="10"/>
      <c r="P143" s="11"/>
      <c r="Q143" s="12"/>
    </row>
    <row r="144" spans="1:17">
      <c r="A144" s="14">
        <v>38925</v>
      </c>
      <c r="B144" s="8">
        <v>967.14529782878446</v>
      </c>
      <c r="F144" s="7"/>
      <c r="G144" s="7"/>
      <c r="M144" s="10"/>
      <c r="P144" s="11"/>
      <c r="Q144" s="12"/>
    </row>
    <row r="145" spans="1:17">
      <c r="A145" s="14">
        <v>38926</v>
      </c>
      <c r="B145" s="8">
        <v>977.00897187571786</v>
      </c>
      <c r="F145" s="7"/>
      <c r="G145" s="7"/>
      <c r="M145" s="10"/>
      <c r="P145" s="11"/>
      <c r="Q145" s="12"/>
    </row>
    <row r="146" spans="1:17">
      <c r="A146" s="14">
        <v>38929</v>
      </c>
      <c r="B146" s="8">
        <v>973.15234882482855</v>
      </c>
      <c r="F146" s="7"/>
      <c r="G146" s="7"/>
      <c r="M146" s="10"/>
      <c r="P146" s="11"/>
      <c r="Q146" s="12"/>
    </row>
    <row r="147" spans="1:17">
      <c r="A147" s="14">
        <v>38930</v>
      </c>
      <c r="B147" s="8">
        <v>961.23355620776783</v>
      </c>
      <c r="F147" s="7"/>
      <c r="G147" s="7"/>
      <c r="M147" s="10"/>
      <c r="P147" s="11"/>
      <c r="Q147" s="12"/>
    </row>
    <row r="148" spans="1:17">
      <c r="A148" s="14">
        <v>38931</v>
      </c>
      <c r="B148" s="8">
        <v>974.35803673121279</v>
      </c>
      <c r="F148" s="7"/>
      <c r="G148" s="7"/>
      <c r="M148" s="10"/>
      <c r="P148" s="11"/>
      <c r="Q148" s="12"/>
    </row>
    <row r="149" spans="1:17">
      <c r="A149" s="14">
        <v>38932</v>
      </c>
      <c r="B149" s="8">
        <v>972.0717727633803</v>
      </c>
      <c r="F149" s="7"/>
      <c r="G149" s="7"/>
      <c r="M149" s="10"/>
      <c r="P149" s="11"/>
      <c r="Q149" s="12"/>
    </row>
    <row r="150" spans="1:17">
      <c r="A150" s="14">
        <v>38933</v>
      </c>
      <c r="B150" s="8">
        <v>975.03503748762296</v>
      </c>
      <c r="F150" s="7"/>
      <c r="G150" s="7"/>
      <c r="M150" s="10"/>
      <c r="P150" s="11"/>
      <c r="Q150" s="12"/>
    </row>
    <row r="151" spans="1:17">
      <c r="A151" s="14">
        <v>38936</v>
      </c>
      <c r="B151" s="8">
        <v>966.15652603407125</v>
      </c>
      <c r="F151" s="7"/>
      <c r="G151" s="7"/>
      <c r="M151" s="10"/>
      <c r="P151" s="11"/>
      <c r="Q151" s="12"/>
    </row>
    <row r="152" spans="1:17">
      <c r="A152" s="14">
        <v>38937</v>
      </c>
      <c r="B152" s="8">
        <v>965.29538059364791</v>
      </c>
      <c r="F152" s="7"/>
      <c r="G152" s="7"/>
      <c r="M152" s="10"/>
      <c r="P152" s="11"/>
      <c r="Q152" s="12"/>
    </row>
    <row r="153" spans="1:17">
      <c r="A153" s="14">
        <v>38938</v>
      </c>
      <c r="B153" s="8">
        <v>965.37148658895262</v>
      </c>
      <c r="F153" s="7"/>
      <c r="G153" s="7"/>
      <c r="M153" s="10"/>
      <c r="P153" s="11"/>
      <c r="Q153" s="12"/>
    </row>
    <row r="154" spans="1:17">
      <c r="A154" s="14">
        <v>38939</v>
      </c>
      <c r="B154" s="8">
        <v>968.88019603250791</v>
      </c>
      <c r="F154" s="7"/>
      <c r="G154" s="7"/>
      <c r="M154" s="10"/>
      <c r="P154" s="11"/>
      <c r="Q154" s="12"/>
    </row>
    <row r="155" spans="1:17">
      <c r="A155" s="14">
        <v>38940</v>
      </c>
      <c r="B155" s="8">
        <v>967.96673634460183</v>
      </c>
      <c r="F155" s="7"/>
      <c r="G155" s="7"/>
      <c r="M155" s="10"/>
      <c r="P155" s="11"/>
      <c r="Q155" s="12"/>
    </row>
    <row r="156" spans="1:17">
      <c r="A156" s="14">
        <v>38943</v>
      </c>
      <c r="B156" s="8">
        <v>974.97913767635146</v>
      </c>
      <c r="F156" s="7"/>
      <c r="G156" s="7"/>
      <c r="M156" s="10"/>
      <c r="P156" s="11"/>
      <c r="Q156" s="12"/>
    </row>
    <row r="157" spans="1:17">
      <c r="A157" s="14">
        <v>38944</v>
      </c>
      <c r="B157" s="8">
        <v>987.78506188652193</v>
      </c>
      <c r="F157" s="7"/>
      <c r="G157" s="7"/>
      <c r="M157" s="10"/>
      <c r="P157" s="11"/>
      <c r="Q157" s="12"/>
    </row>
    <row r="158" spans="1:17">
      <c r="A158" s="14">
        <v>38945</v>
      </c>
      <c r="B158" s="8">
        <v>994.29960996452098</v>
      </c>
      <c r="F158" s="7"/>
      <c r="G158" s="7"/>
      <c r="M158" s="10"/>
      <c r="P158" s="11"/>
      <c r="Q158" s="12"/>
    </row>
    <row r="159" spans="1:17">
      <c r="A159" s="14">
        <v>38946</v>
      </c>
      <c r="B159" s="8">
        <v>997.38532963798082</v>
      </c>
      <c r="F159" s="7"/>
      <c r="G159" s="7"/>
      <c r="M159" s="10"/>
      <c r="P159" s="11"/>
      <c r="Q159" s="12"/>
    </row>
    <row r="160" spans="1:17">
      <c r="A160" s="14">
        <v>38947</v>
      </c>
      <c r="B160" s="8">
        <v>998.43313525241342</v>
      </c>
      <c r="F160" s="7"/>
      <c r="G160" s="7"/>
      <c r="M160" s="10"/>
      <c r="P160" s="11"/>
      <c r="Q160" s="12"/>
    </row>
    <row r="161" spans="1:17">
      <c r="A161" s="14">
        <v>38950</v>
      </c>
      <c r="B161" s="8">
        <v>988.92859703760507</v>
      </c>
      <c r="F161" s="7"/>
      <c r="G161" s="7"/>
      <c r="M161" s="10"/>
      <c r="P161" s="11"/>
      <c r="Q161" s="12"/>
    </row>
    <row r="162" spans="1:17">
      <c r="A162" s="14">
        <v>38951</v>
      </c>
      <c r="B162" s="8">
        <v>995.73725436493021</v>
      </c>
      <c r="F162" s="7"/>
      <c r="G162" s="7"/>
      <c r="M162" s="10"/>
      <c r="P162" s="11"/>
      <c r="Q162" s="12"/>
    </row>
    <row r="163" spans="1:17">
      <c r="A163" s="14">
        <v>38952</v>
      </c>
      <c r="B163" s="8">
        <v>988.55759913647535</v>
      </c>
      <c r="F163" s="7"/>
      <c r="G163" s="7"/>
      <c r="M163" s="10"/>
      <c r="P163" s="11"/>
      <c r="Q163" s="12"/>
    </row>
    <row r="164" spans="1:17">
      <c r="A164" s="14">
        <v>38953</v>
      </c>
      <c r="B164" s="8">
        <v>993.02363172571108</v>
      </c>
      <c r="F164" s="7"/>
      <c r="G164" s="7"/>
      <c r="M164" s="10"/>
      <c r="P164" s="11"/>
      <c r="Q164" s="12"/>
    </row>
    <row r="165" spans="1:17">
      <c r="A165" s="14">
        <v>38954</v>
      </c>
      <c r="B165" s="8">
        <v>993.18943981524592</v>
      </c>
      <c r="F165" s="7"/>
      <c r="G165" s="7"/>
      <c r="M165" s="10"/>
      <c r="P165" s="11"/>
      <c r="Q165" s="12"/>
    </row>
    <row r="166" spans="1:17">
      <c r="A166" s="14">
        <v>38957</v>
      </c>
      <c r="B166" s="8">
        <v>998.73580531177208</v>
      </c>
      <c r="F166" s="7"/>
      <c r="G166" s="7"/>
      <c r="M166" s="10"/>
      <c r="P166" s="11"/>
      <c r="Q166" s="12"/>
    </row>
    <row r="167" spans="1:17">
      <c r="A167" s="14">
        <v>38958</v>
      </c>
      <c r="B167" s="8">
        <v>1002.2440569781801</v>
      </c>
      <c r="F167" s="7"/>
      <c r="G167" s="7"/>
      <c r="M167" s="10"/>
      <c r="P167" s="11"/>
      <c r="Q167" s="12"/>
    </row>
    <row r="168" spans="1:17">
      <c r="A168" s="14">
        <v>38959</v>
      </c>
      <c r="B168" s="8">
        <v>1002.5545590071827</v>
      </c>
      <c r="F168" s="7"/>
      <c r="G168" s="7"/>
      <c r="M168" s="10"/>
      <c r="P168" s="11"/>
      <c r="Q168" s="12"/>
    </row>
    <row r="169" spans="1:17">
      <c r="A169" s="14">
        <v>38960</v>
      </c>
      <c r="B169" s="8">
        <v>1003.3634867188633</v>
      </c>
      <c r="F169" s="7"/>
      <c r="G169" s="7"/>
      <c r="M169" s="10"/>
      <c r="P169" s="11"/>
      <c r="Q169" s="12"/>
    </row>
    <row r="170" spans="1:17">
      <c r="A170" s="14">
        <v>38961</v>
      </c>
      <c r="B170" s="8">
        <v>1005.5222539843305</v>
      </c>
      <c r="F170" s="7"/>
      <c r="G170" s="7"/>
      <c r="M170" s="10"/>
      <c r="P170" s="11"/>
      <c r="Q170" s="12"/>
    </row>
    <row r="171" spans="1:17">
      <c r="A171" s="14">
        <v>38965</v>
      </c>
      <c r="B171" s="8">
        <v>1006.7285021057392</v>
      </c>
      <c r="F171" s="7"/>
      <c r="G171" s="7"/>
      <c r="M171" s="10"/>
      <c r="P171" s="11"/>
      <c r="Q171" s="12"/>
    </row>
    <row r="172" spans="1:17">
      <c r="A172" s="14">
        <v>38966</v>
      </c>
      <c r="B172" s="8">
        <v>996.71331421011712</v>
      </c>
      <c r="F172" s="7"/>
      <c r="G172" s="7"/>
      <c r="M172" s="10"/>
      <c r="P172" s="11"/>
      <c r="Q172" s="12"/>
    </row>
    <row r="173" spans="1:17">
      <c r="A173" s="14">
        <v>38967</v>
      </c>
      <c r="B173" s="8">
        <v>990.90490007589972</v>
      </c>
      <c r="F173" s="7"/>
      <c r="G173" s="7"/>
      <c r="M173" s="10"/>
      <c r="P173" s="11"/>
      <c r="Q173" s="12"/>
    </row>
    <row r="174" spans="1:17">
      <c r="A174" s="14">
        <v>38968</v>
      </c>
      <c r="B174" s="8">
        <v>998.80618394536452</v>
      </c>
      <c r="F174" s="7"/>
      <c r="G174" s="7"/>
      <c r="M174" s="10"/>
      <c r="P174" s="11"/>
      <c r="Q174" s="12"/>
    </row>
    <row r="175" spans="1:17">
      <c r="A175" s="14">
        <v>38971</v>
      </c>
      <c r="B175" s="8">
        <v>997.15418140006796</v>
      </c>
      <c r="F175" s="7"/>
      <c r="G175" s="7"/>
      <c r="M175" s="10"/>
      <c r="P175" s="11"/>
      <c r="Q175" s="12"/>
    </row>
    <row r="176" spans="1:17">
      <c r="A176" s="14">
        <v>38972</v>
      </c>
      <c r="B176" s="8">
        <v>1012.3424491524419</v>
      </c>
      <c r="F176" s="7"/>
      <c r="G176" s="7"/>
      <c r="M176" s="10"/>
      <c r="P176" s="11"/>
      <c r="Q176" s="12"/>
    </row>
    <row r="177" spans="1:17">
      <c r="A177" s="14">
        <v>38973</v>
      </c>
      <c r="B177" s="8">
        <v>1016.6806220560233</v>
      </c>
      <c r="F177" s="7"/>
      <c r="G177" s="7"/>
      <c r="M177" s="10"/>
      <c r="P177" s="11"/>
      <c r="Q177" s="12"/>
    </row>
    <row r="178" spans="1:17">
      <c r="A178" s="14">
        <v>38974</v>
      </c>
      <c r="B178" s="8">
        <v>1012.7039379084204</v>
      </c>
      <c r="F178" s="7"/>
      <c r="G178" s="7"/>
      <c r="M178" s="10"/>
      <c r="P178" s="11"/>
      <c r="Q178" s="12"/>
    </row>
    <row r="179" spans="1:17">
      <c r="A179" s="14">
        <v>38975</v>
      </c>
      <c r="B179" s="8">
        <v>1021.0379264737012</v>
      </c>
      <c r="F179" s="7"/>
      <c r="G179" s="7"/>
      <c r="M179" s="10"/>
      <c r="P179" s="11"/>
      <c r="Q179" s="12"/>
    </row>
    <row r="180" spans="1:17">
      <c r="A180" s="14">
        <v>38978</v>
      </c>
      <c r="B180" s="8">
        <v>1017.7212086428932</v>
      </c>
      <c r="F180" s="7"/>
      <c r="G180" s="7"/>
      <c r="M180" s="10"/>
      <c r="P180" s="11"/>
      <c r="Q180" s="12"/>
    </row>
    <row r="181" spans="1:17">
      <c r="A181" s="14">
        <v>38979</v>
      </c>
      <c r="B181" s="8">
        <v>1013.2987417916494</v>
      </c>
      <c r="F181" s="7"/>
      <c r="G181" s="7"/>
      <c r="M181" s="10"/>
      <c r="P181" s="11"/>
      <c r="Q181" s="12"/>
    </row>
    <row r="182" spans="1:17">
      <c r="A182" s="14">
        <v>38980</v>
      </c>
      <c r="B182" s="8">
        <v>1023.482471441275</v>
      </c>
      <c r="F182" s="7"/>
      <c r="G182" s="7"/>
      <c r="M182" s="10"/>
      <c r="P182" s="11"/>
      <c r="Q182" s="12"/>
    </row>
    <row r="183" spans="1:17">
      <c r="A183" s="14">
        <v>38981</v>
      </c>
      <c r="B183" s="8">
        <v>1019.2359060174226</v>
      </c>
      <c r="F183" s="7"/>
      <c r="G183" s="7"/>
      <c r="M183" s="10"/>
      <c r="P183" s="11"/>
      <c r="Q183" s="12"/>
    </row>
    <row r="184" spans="1:17">
      <c r="A184" s="14">
        <v>38982</v>
      </c>
      <c r="B184" s="8">
        <v>1009.9898682279402</v>
      </c>
      <c r="F184" s="7"/>
      <c r="G184" s="7"/>
      <c r="M184" s="10"/>
      <c r="P184" s="11"/>
      <c r="Q184" s="12"/>
    </row>
    <row r="185" spans="1:17">
      <c r="A185" s="14">
        <v>38985</v>
      </c>
      <c r="B185" s="8">
        <v>1018.6140295349409</v>
      </c>
      <c r="F185" s="7"/>
      <c r="G185" s="7"/>
      <c r="M185" s="10"/>
      <c r="P185" s="11"/>
      <c r="Q185" s="12"/>
    </row>
    <row r="186" spans="1:17">
      <c r="A186" s="14">
        <v>38986</v>
      </c>
      <c r="B186" s="8">
        <v>1032.5093157375463</v>
      </c>
      <c r="F186" s="7"/>
      <c r="G186" s="7"/>
      <c r="M186" s="10"/>
      <c r="P186" s="11"/>
      <c r="Q186" s="12"/>
    </row>
    <row r="187" spans="1:17">
      <c r="A187" s="14">
        <v>38987</v>
      </c>
      <c r="B187" s="8">
        <v>1036.0498434657604</v>
      </c>
      <c r="F187" s="7"/>
      <c r="G187" s="7"/>
      <c r="M187" s="10"/>
      <c r="P187" s="11"/>
      <c r="Q187" s="12"/>
    </row>
    <row r="188" spans="1:17">
      <c r="A188" s="14">
        <v>38988</v>
      </c>
      <c r="B188" s="8">
        <v>1036.6226845466706</v>
      </c>
      <c r="F188" s="7"/>
      <c r="G188" s="7"/>
      <c r="M188" s="10"/>
      <c r="P188" s="11"/>
      <c r="Q188" s="12"/>
    </row>
    <row r="189" spans="1:17">
      <c r="A189" s="14">
        <v>38989</v>
      </c>
      <c r="B189" s="8">
        <v>1035.6482652504083</v>
      </c>
      <c r="F189" s="7"/>
      <c r="G189" s="7"/>
      <c r="M189" s="10"/>
      <c r="P189" s="11"/>
      <c r="Q189" s="12"/>
    </row>
    <row r="190" spans="1:17">
      <c r="A190" s="14">
        <v>38992</v>
      </c>
      <c r="B190" s="8">
        <v>1029.8954775532723</v>
      </c>
      <c r="F190" s="7"/>
      <c r="G190" s="7"/>
      <c r="M190" s="10"/>
      <c r="P190" s="11"/>
      <c r="Q190" s="12"/>
    </row>
    <row r="191" spans="1:17">
      <c r="A191" s="14">
        <v>38993</v>
      </c>
      <c r="B191" s="8">
        <v>1029.4053245487546</v>
      </c>
      <c r="F191" s="7"/>
      <c r="G191" s="7"/>
      <c r="M191" s="10"/>
      <c r="P191" s="11"/>
      <c r="Q191" s="12"/>
    </row>
    <row r="192" spans="1:17">
      <c r="A192" s="14">
        <v>38994</v>
      </c>
      <c r="B192" s="8">
        <v>1043.3885955014532</v>
      </c>
      <c r="F192" s="7"/>
      <c r="G192" s="7"/>
      <c r="M192" s="10"/>
      <c r="P192" s="11"/>
      <c r="Q192" s="12"/>
    </row>
    <row r="193" spans="1:17">
      <c r="A193" s="14">
        <v>38995</v>
      </c>
      <c r="B193" s="8">
        <v>1049.0090342264164</v>
      </c>
      <c r="F193" s="7"/>
      <c r="G193" s="7"/>
      <c r="M193" s="10"/>
      <c r="P193" s="11"/>
      <c r="Q193" s="12"/>
    </row>
    <row r="194" spans="1:17">
      <c r="A194" s="14">
        <v>38996</v>
      </c>
      <c r="B194" s="8">
        <v>1050.1166168308005</v>
      </c>
      <c r="F194" s="7"/>
      <c r="G194" s="7"/>
      <c r="M194" s="10"/>
      <c r="P194" s="11"/>
      <c r="Q194" s="12"/>
    </row>
    <row r="195" spans="1:17">
      <c r="A195" s="14">
        <v>38999</v>
      </c>
      <c r="B195" s="8">
        <v>1051.1221143050989</v>
      </c>
      <c r="F195" s="7"/>
      <c r="G195" s="7"/>
      <c r="M195" s="10"/>
      <c r="P195" s="11"/>
      <c r="Q195" s="12"/>
    </row>
    <row r="196" spans="1:17">
      <c r="A196" s="14">
        <v>39000</v>
      </c>
      <c r="B196" s="8">
        <v>1057.7991610851111</v>
      </c>
      <c r="F196" s="7"/>
      <c r="G196" s="7"/>
      <c r="M196" s="10"/>
      <c r="P196" s="11"/>
      <c r="Q196" s="12"/>
    </row>
    <row r="197" spans="1:17">
      <c r="A197" s="14">
        <v>39001</v>
      </c>
      <c r="B197" s="8">
        <v>1057.1021652294201</v>
      </c>
      <c r="F197" s="7"/>
      <c r="G197" s="7"/>
      <c r="M197" s="10"/>
      <c r="P197" s="11"/>
      <c r="Q197" s="12"/>
    </row>
    <row r="198" spans="1:17">
      <c r="A198" s="14">
        <v>39002</v>
      </c>
      <c r="B198" s="8">
        <v>1067.2741925358177</v>
      </c>
      <c r="F198" s="7"/>
      <c r="G198" s="7"/>
      <c r="M198" s="10"/>
      <c r="P198" s="11"/>
      <c r="Q198" s="12"/>
    </row>
    <row r="199" spans="1:17">
      <c r="A199" s="14">
        <v>39003</v>
      </c>
      <c r="B199" s="8">
        <v>1069.5880970611015</v>
      </c>
      <c r="F199" s="7"/>
      <c r="G199" s="7"/>
      <c r="M199" s="10"/>
      <c r="P199" s="11"/>
      <c r="Q199" s="12"/>
    </row>
    <row r="200" spans="1:17">
      <c r="A200" s="14">
        <v>39006</v>
      </c>
      <c r="B200" s="8">
        <v>1072.0995329003579</v>
      </c>
      <c r="F200" s="7"/>
      <c r="G200" s="7"/>
      <c r="M200" s="10"/>
      <c r="P200" s="11"/>
      <c r="Q200" s="12"/>
    </row>
    <row r="201" spans="1:17">
      <c r="A201" s="14">
        <v>39007</v>
      </c>
      <c r="B201" s="8">
        <v>1059.261250158685</v>
      </c>
      <c r="F201" s="7"/>
      <c r="G201" s="7"/>
      <c r="M201" s="10"/>
      <c r="P201" s="11"/>
      <c r="Q201" s="12"/>
    </row>
    <row r="202" spans="1:17">
      <c r="A202" s="14">
        <v>39008</v>
      </c>
      <c r="B202" s="8">
        <v>1066.8758008048692</v>
      </c>
      <c r="F202" s="7"/>
      <c r="G202" s="7"/>
      <c r="M202" s="10"/>
      <c r="P202" s="11"/>
      <c r="Q202" s="12"/>
    </row>
    <row r="203" spans="1:17">
      <c r="A203" s="14">
        <v>39009</v>
      </c>
      <c r="B203" s="8">
        <v>1062.4063948840151</v>
      </c>
      <c r="F203" s="7"/>
      <c r="G203" s="7"/>
      <c r="M203" s="10"/>
      <c r="P203" s="11"/>
      <c r="Q203" s="12"/>
    </row>
    <row r="204" spans="1:17">
      <c r="A204" s="14">
        <v>39010</v>
      </c>
      <c r="B204" s="8">
        <v>1061.8825365323444</v>
      </c>
      <c r="F204" s="7"/>
      <c r="G204" s="7"/>
      <c r="M204" s="10"/>
      <c r="P204" s="11"/>
      <c r="Q204" s="12"/>
    </row>
    <row r="205" spans="1:17">
      <c r="A205" s="14">
        <v>39013</v>
      </c>
      <c r="B205" s="8">
        <v>1071.17705149279</v>
      </c>
      <c r="F205" s="7"/>
      <c r="G205" s="7"/>
      <c r="M205" s="10"/>
      <c r="P205" s="11"/>
      <c r="Q205" s="12"/>
    </row>
    <row r="206" spans="1:17">
      <c r="A206" s="14">
        <v>39014</v>
      </c>
      <c r="B206" s="8">
        <v>1071.0228130379217</v>
      </c>
      <c r="F206" s="7"/>
      <c r="G206" s="7"/>
      <c r="M206" s="10"/>
      <c r="P206" s="11"/>
      <c r="Q206" s="12"/>
    </row>
    <row r="207" spans="1:17">
      <c r="A207" s="14">
        <v>39015</v>
      </c>
      <c r="B207" s="8">
        <v>1073.3437667989926</v>
      </c>
      <c r="F207" s="7"/>
      <c r="G207" s="7"/>
      <c r="M207" s="10"/>
      <c r="P207" s="11"/>
      <c r="Q207" s="12"/>
    </row>
    <row r="208" spans="1:17">
      <c r="A208" s="14">
        <v>39016</v>
      </c>
      <c r="B208" s="8">
        <v>1072.8770831855577</v>
      </c>
      <c r="F208" s="7"/>
      <c r="G208" s="7"/>
      <c r="M208" s="10"/>
      <c r="P208" s="11"/>
      <c r="Q208" s="12"/>
    </row>
    <row r="209" spans="1:17">
      <c r="A209" s="14">
        <v>39017</v>
      </c>
      <c r="B209" s="8">
        <v>1064.7803726375676</v>
      </c>
      <c r="F209" s="7"/>
      <c r="G209" s="7"/>
      <c r="M209" s="10"/>
      <c r="P209" s="11"/>
      <c r="Q209" s="12"/>
    </row>
    <row r="210" spans="1:17">
      <c r="A210" s="14">
        <v>39020</v>
      </c>
      <c r="B210" s="8">
        <v>1064.6425152583843</v>
      </c>
      <c r="F210" s="7"/>
      <c r="G210" s="7"/>
      <c r="M210" s="10"/>
      <c r="P210" s="11"/>
      <c r="Q210" s="12"/>
    </row>
    <row r="211" spans="1:17">
      <c r="A211" s="14">
        <v>39021</v>
      </c>
      <c r="B211" s="8">
        <v>1062.6910320615075</v>
      </c>
      <c r="F211" s="7"/>
      <c r="G211" s="7"/>
      <c r="M211" s="10"/>
      <c r="P211" s="11"/>
      <c r="Q211" s="12"/>
    </row>
    <row r="212" spans="1:17">
      <c r="A212" s="14">
        <v>39022</v>
      </c>
      <c r="B212" s="8">
        <v>1059.8670583311746</v>
      </c>
      <c r="F212" s="7"/>
      <c r="G212" s="7"/>
      <c r="M212" s="10"/>
      <c r="P212" s="11"/>
      <c r="Q212" s="12"/>
    </row>
    <row r="213" spans="1:17">
      <c r="A213" s="14">
        <v>39023</v>
      </c>
      <c r="B213" s="8">
        <v>1054.4567867560188</v>
      </c>
      <c r="F213" s="7"/>
      <c r="G213" s="7"/>
      <c r="M213" s="10"/>
      <c r="P213" s="11"/>
      <c r="Q213" s="12"/>
    </row>
    <row r="214" spans="1:17">
      <c r="A214" s="14">
        <v>39024</v>
      </c>
      <c r="B214" s="8">
        <v>1058.0223284086201</v>
      </c>
      <c r="F214" s="7"/>
      <c r="G214" s="7"/>
      <c r="M214" s="10"/>
      <c r="P214" s="11"/>
      <c r="Q214" s="12"/>
    </row>
    <row r="215" spans="1:17">
      <c r="A215" s="14">
        <v>39027</v>
      </c>
      <c r="B215" s="8">
        <v>1071.1094095606518</v>
      </c>
      <c r="F215" s="7"/>
      <c r="G215" s="7"/>
      <c r="M215" s="10"/>
      <c r="P215" s="11"/>
      <c r="Q215" s="12"/>
    </row>
    <row r="216" spans="1:17">
      <c r="A216" s="14">
        <v>39028</v>
      </c>
      <c r="B216" s="8">
        <v>1071.6764934104558</v>
      </c>
      <c r="F216" s="7"/>
      <c r="G216" s="7"/>
      <c r="M216" s="10"/>
      <c r="P216" s="11"/>
      <c r="Q216" s="12"/>
    </row>
    <row r="217" spans="1:17">
      <c r="A217" s="14">
        <v>39029</v>
      </c>
      <c r="B217" s="8">
        <v>1075.1722231743934</v>
      </c>
      <c r="F217" s="7"/>
      <c r="G217" s="7"/>
      <c r="M217" s="10"/>
      <c r="P217" s="11"/>
      <c r="Q217" s="12"/>
    </row>
    <row r="218" spans="1:17">
      <c r="A218" s="14">
        <v>39030</v>
      </c>
      <c r="B218" s="8">
        <v>1069.2735970017425</v>
      </c>
      <c r="F218" s="7"/>
      <c r="G218" s="7"/>
      <c r="M218" s="10"/>
      <c r="P218" s="11"/>
      <c r="Q218" s="12"/>
    </row>
    <row r="219" spans="1:17">
      <c r="A219" s="14">
        <v>39031</v>
      </c>
      <c r="B219" s="8">
        <v>1069.1802738620399</v>
      </c>
      <c r="F219" s="7"/>
      <c r="G219" s="7"/>
      <c r="M219" s="10"/>
      <c r="P219" s="11"/>
      <c r="Q219" s="12"/>
    </row>
    <row r="220" spans="1:17">
      <c r="A220" s="14">
        <v>39034</v>
      </c>
      <c r="B220" s="8">
        <v>1076.2617685066637</v>
      </c>
      <c r="F220" s="7"/>
      <c r="G220" s="7"/>
      <c r="M220" s="10"/>
      <c r="P220" s="11"/>
      <c r="Q220" s="12"/>
    </row>
    <row r="221" spans="1:17">
      <c r="A221" s="14">
        <v>39035</v>
      </c>
      <c r="B221" s="8">
        <v>1079.0282765211241</v>
      </c>
      <c r="F221" s="7"/>
      <c r="G221" s="7"/>
      <c r="M221" s="10"/>
      <c r="P221" s="11"/>
      <c r="Q221" s="12"/>
    </row>
    <row r="222" spans="1:17">
      <c r="A222" s="14">
        <v>39036</v>
      </c>
      <c r="B222" s="8">
        <v>1085.2025385139052</v>
      </c>
      <c r="F222" s="7"/>
      <c r="G222" s="7"/>
      <c r="M222" s="10"/>
      <c r="P222" s="11"/>
      <c r="Q222" s="12"/>
    </row>
    <row r="223" spans="1:17">
      <c r="A223" s="14">
        <v>39037</v>
      </c>
      <c r="B223" s="8">
        <v>1087.8630255242379</v>
      </c>
      <c r="F223" s="7"/>
      <c r="G223" s="7"/>
      <c r="M223" s="10"/>
      <c r="P223" s="11"/>
      <c r="Q223" s="12"/>
    </row>
    <row r="224" spans="1:17">
      <c r="A224" s="14">
        <v>39038</v>
      </c>
      <c r="B224" s="8">
        <v>1082.3374195522542</v>
      </c>
      <c r="F224" s="7"/>
      <c r="G224" s="7"/>
      <c r="M224" s="10"/>
      <c r="P224" s="11"/>
      <c r="Q224" s="12"/>
    </row>
    <row r="225" spans="1:17">
      <c r="A225" s="14">
        <v>39041</v>
      </c>
      <c r="B225" s="8">
        <v>1084.0639857041597</v>
      </c>
      <c r="F225" s="7"/>
      <c r="G225" s="7"/>
      <c r="M225" s="10"/>
      <c r="P225" s="11"/>
      <c r="Q225" s="12"/>
    </row>
    <row r="226" spans="1:17">
      <c r="A226" s="14">
        <v>39042</v>
      </c>
      <c r="B226" s="8">
        <v>1085.3655762029562</v>
      </c>
      <c r="F226" s="7"/>
      <c r="G226" s="7"/>
      <c r="M226" s="10"/>
      <c r="P226" s="11"/>
      <c r="Q226" s="12"/>
    </row>
    <row r="227" spans="1:17">
      <c r="A227" s="14">
        <v>39043</v>
      </c>
      <c r="B227" s="8">
        <v>1082.6536942956354</v>
      </c>
      <c r="F227" s="7"/>
      <c r="G227" s="7"/>
      <c r="M227" s="10"/>
      <c r="P227" s="11"/>
      <c r="Q227" s="12"/>
    </row>
    <row r="228" spans="1:17">
      <c r="A228" s="14">
        <v>39045</v>
      </c>
      <c r="B228" s="8">
        <v>1067.1468266802997</v>
      </c>
      <c r="F228" s="7"/>
      <c r="G228" s="7"/>
      <c r="M228" s="10"/>
      <c r="P228" s="11"/>
      <c r="Q228" s="12"/>
    </row>
    <row r="229" spans="1:17">
      <c r="A229" s="14">
        <v>39048</v>
      </c>
      <c r="B229" s="8">
        <v>1046.5829642883623</v>
      </c>
      <c r="F229" s="7"/>
      <c r="G229" s="7"/>
      <c r="M229" s="10"/>
      <c r="P229" s="11"/>
      <c r="Q229" s="12"/>
    </row>
    <row r="230" spans="1:17">
      <c r="A230" s="14">
        <v>39049</v>
      </c>
      <c r="B230" s="8">
        <v>1045.3216021628859</v>
      </c>
      <c r="F230" s="7"/>
      <c r="G230" s="7"/>
      <c r="M230" s="10"/>
      <c r="P230" s="11"/>
      <c r="Q230" s="12"/>
    </row>
    <row r="231" spans="1:17">
      <c r="A231" s="14">
        <v>39050</v>
      </c>
      <c r="B231" s="8">
        <v>1057.9970902326661</v>
      </c>
      <c r="F231" s="7"/>
      <c r="G231" s="7"/>
      <c r="M231" s="10"/>
      <c r="P231" s="11"/>
      <c r="Q231" s="12"/>
    </row>
    <row r="232" spans="1:17">
      <c r="A232" s="14">
        <v>39051</v>
      </c>
      <c r="B232" s="8">
        <v>1049.8317613904674</v>
      </c>
      <c r="F232" s="7"/>
      <c r="G232" s="7"/>
      <c r="M232" s="10"/>
      <c r="P232" s="11"/>
      <c r="Q232" s="12"/>
    </row>
    <row r="233" spans="1:17">
      <c r="A233" s="14">
        <v>39052</v>
      </c>
      <c r="B233" s="8">
        <v>1036.6660409448084</v>
      </c>
      <c r="F233" s="7"/>
      <c r="G233" s="7"/>
      <c r="M233" s="10"/>
      <c r="P233" s="11"/>
      <c r="Q233" s="12"/>
    </row>
    <row r="234" spans="1:17">
      <c r="A234" s="14">
        <v>39055</v>
      </c>
      <c r="B234" s="8">
        <v>1047.2997848939365</v>
      </c>
      <c r="F234" s="7"/>
      <c r="G234" s="7"/>
      <c r="M234" s="10"/>
      <c r="P234" s="11"/>
      <c r="Q234" s="12"/>
    </row>
    <row r="235" spans="1:17">
      <c r="A235" s="14">
        <v>39056</v>
      </c>
      <c r="B235" s="8">
        <v>1055.4756667157469</v>
      </c>
      <c r="F235" s="7"/>
      <c r="G235" s="7"/>
      <c r="M235" s="10"/>
      <c r="P235" s="11"/>
      <c r="Q235" s="12"/>
    </row>
    <row r="236" spans="1:17">
      <c r="A236" s="14">
        <v>39057</v>
      </c>
      <c r="B236" s="8">
        <v>1055.5505740730393</v>
      </c>
      <c r="F236" s="7"/>
      <c r="G236" s="7"/>
      <c r="M236" s="10"/>
      <c r="P236" s="11"/>
      <c r="Q236" s="12"/>
    </row>
    <row r="237" spans="1:17">
      <c r="A237" s="14">
        <v>39058</v>
      </c>
      <c r="B237" s="8">
        <v>1055.2098890391806</v>
      </c>
      <c r="F237" s="7"/>
      <c r="G237" s="7"/>
      <c r="M237" s="10"/>
      <c r="P237" s="11"/>
      <c r="Q237" s="12"/>
    </row>
    <row r="238" spans="1:17">
      <c r="A238" s="14">
        <v>39059</v>
      </c>
      <c r="B238" s="8">
        <v>1058.6170879248948</v>
      </c>
      <c r="F238" s="7"/>
      <c r="G238" s="7"/>
      <c r="M238" s="10"/>
      <c r="P238" s="11"/>
      <c r="Q238" s="12"/>
    </row>
    <row r="239" spans="1:17">
      <c r="A239" s="14">
        <v>39062</v>
      </c>
      <c r="B239" s="8">
        <v>1061.6872413415954</v>
      </c>
      <c r="F239" s="7"/>
      <c r="G239" s="7"/>
      <c r="M239" s="10"/>
      <c r="P239" s="11"/>
      <c r="Q239" s="12"/>
    </row>
    <row r="240" spans="1:17">
      <c r="A240" s="14">
        <v>39063</v>
      </c>
      <c r="B240" s="8">
        <v>1062.741308826794</v>
      </c>
      <c r="F240" s="7"/>
      <c r="G240" s="7"/>
      <c r="M240" s="10"/>
      <c r="P240" s="11"/>
      <c r="Q240" s="12"/>
    </row>
    <row r="241" spans="1:17">
      <c r="A241" s="14">
        <v>39064</v>
      </c>
      <c r="B241" s="8">
        <v>1069.2675042817446</v>
      </c>
      <c r="F241" s="7"/>
      <c r="G241" s="7"/>
      <c r="M241" s="10"/>
      <c r="P241" s="11"/>
      <c r="Q241" s="12"/>
    </row>
    <row r="242" spans="1:17">
      <c r="A242" s="14">
        <v>39065</v>
      </c>
      <c r="B242" s="8">
        <v>1079.2442474745299</v>
      </c>
      <c r="F242" s="7"/>
      <c r="G242" s="7"/>
      <c r="M242" s="10"/>
      <c r="P242" s="11"/>
      <c r="Q242" s="12"/>
    </row>
    <row r="243" spans="1:17">
      <c r="A243" s="14">
        <v>39066</v>
      </c>
      <c r="B243" s="8">
        <v>1085.3242477968972</v>
      </c>
      <c r="F243" s="7"/>
      <c r="G243" s="7"/>
      <c r="M243" s="10"/>
      <c r="P243" s="11"/>
      <c r="Q243" s="12"/>
    </row>
    <row r="244" spans="1:17">
      <c r="A244" s="14">
        <v>39069</v>
      </c>
      <c r="B244" s="8">
        <v>1080.5799864642124</v>
      </c>
      <c r="F244" s="7"/>
      <c r="G244" s="7"/>
      <c r="M244" s="10"/>
      <c r="P244" s="11"/>
      <c r="Q244" s="12"/>
    </row>
    <row r="245" spans="1:17">
      <c r="A245" s="14">
        <v>39070</v>
      </c>
      <c r="B245" s="8">
        <v>1071.4903957426795</v>
      </c>
      <c r="F245" s="7"/>
      <c r="G245" s="7"/>
      <c r="M245" s="10"/>
      <c r="P245" s="11"/>
      <c r="Q245" s="12"/>
    </row>
    <row r="246" spans="1:17">
      <c r="A246" s="14">
        <v>39071</v>
      </c>
      <c r="B246" s="8">
        <v>1075.787107938356</v>
      </c>
      <c r="F246" s="7"/>
      <c r="G246" s="7"/>
      <c r="M246" s="10"/>
      <c r="P246" s="11"/>
      <c r="Q246" s="12"/>
    </row>
    <row r="247" spans="1:17">
      <c r="A247" s="14">
        <v>39072</v>
      </c>
      <c r="B247" s="8">
        <v>1072.43182185354</v>
      </c>
      <c r="F247" s="7"/>
      <c r="G247" s="7"/>
      <c r="M247" s="10"/>
      <c r="P247" s="11"/>
      <c r="Q247" s="12"/>
    </row>
    <row r="248" spans="1:17">
      <c r="A248" s="14">
        <v>39073</v>
      </c>
      <c r="B248" s="8">
        <v>1066.096062972146</v>
      </c>
      <c r="F248" s="7"/>
      <c r="G248" s="7"/>
      <c r="M248" s="10"/>
      <c r="P248" s="11"/>
      <c r="Q248" s="12"/>
    </row>
    <row r="249" spans="1:17">
      <c r="A249" s="14">
        <v>39078</v>
      </c>
      <c r="B249" s="8">
        <v>1079.7671642933876</v>
      </c>
      <c r="F249" s="7"/>
      <c r="G249" s="7"/>
      <c r="M249" s="10"/>
      <c r="P249" s="11"/>
      <c r="Q249" s="12"/>
    </row>
    <row r="250" spans="1:17">
      <c r="A250" s="14">
        <v>39079</v>
      </c>
      <c r="B250" s="8">
        <v>1076.0861343141466</v>
      </c>
      <c r="F250" s="7"/>
      <c r="G250" s="7"/>
      <c r="M250" s="10"/>
      <c r="P250" s="11"/>
      <c r="Q250" s="12"/>
    </row>
    <row r="251" spans="1:17">
      <c r="A251" s="14">
        <v>39080</v>
      </c>
      <c r="B251" s="8">
        <v>1070.7649556396743</v>
      </c>
      <c r="F251" s="7"/>
      <c r="G251" s="7"/>
      <c r="M251" s="10"/>
      <c r="P251" s="11"/>
      <c r="Q251" s="12"/>
    </row>
    <row r="252" spans="1:17">
      <c r="A252" s="14">
        <v>39085</v>
      </c>
      <c r="B252" s="8">
        <v>1080.5548431983261</v>
      </c>
      <c r="F252" s="7"/>
      <c r="G252" s="7"/>
      <c r="M252" s="10"/>
      <c r="P252" s="11"/>
      <c r="Q252" s="12"/>
    </row>
    <row r="253" spans="1:17">
      <c r="A253" s="14">
        <v>39086</v>
      </c>
      <c r="B253" s="8">
        <v>1082.5555502286204</v>
      </c>
      <c r="F253" s="7"/>
      <c r="G253" s="7"/>
      <c r="M253" s="10"/>
      <c r="P253" s="11"/>
      <c r="Q253" s="12"/>
    </row>
    <row r="254" spans="1:17">
      <c r="A254" s="14">
        <v>39087</v>
      </c>
      <c r="B254" s="8">
        <v>1075.9615231422665</v>
      </c>
      <c r="F254" s="7"/>
      <c r="G254" s="7"/>
      <c r="M254" s="10"/>
      <c r="P254" s="11"/>
      <c r="Q254" s="12"/>
    </row>
    <row r="255" spans="1:17">
      <c r="A255" s="14">
        <v>39090</v>
      </c>
      <c r="B255" s="8">
        <v>1075.1145799399894</v>
      </c>
      <c r="F255" s="7"/>
      <c r="G255" s="7"/>
      <c r="M255" s="10"/>
      <c r="P255" s="11"/>
      <c r="Q255" s="12"/>
    </row>
    <row r="256" spans="1:17">
      <c r="A256" s="14">
        <v>39091</v>
      </c>
      <c r="B256" s="8">
        <v>1078.5555281949803</v>
      </c>
      <c r="F256" s="7"/>
      <c r="G256" s="7"/>
      <c r="M256" s="10"/>
      <c r="P256" s="11"/>
      <c r="Q256" s="12"/>
    </row>
    <row r="257" spans="1:17">
      <c r="A257" s="14">
        <v>39092</v>
      </c>
      <c r="B257" s="8">
        <v>1079.1668458019208</v>
      </c>
      <c r="F257" s="7"/>
      <c r="G257" s="7"/>
      <c r="M257" s="10"/>
      <c r="P257" s="11"/>
      <c r="Q257" s="12"/>
    </row>
    <row r="258" spans="1:17">
      <c r="A258" s="14">
        <v>39093</v>
      </c>
      <c r="B258" s="8">
        <v>1095.095830620025</v>
      </c>
      <c r="F258" s="7"/>
      <c r="G258" s="7"/>
      <c r="M258" s="10"/>
      <c r="P258" s="11"/>
      <c r="Q258" s="12"/>
    </row>
    <row r="259" spans="1:17">
      <c r="A259" s="14">
        <v>39094</v>
      </c>
      <c r="B259" s="8">
        <v>1096.8404130326421</v>
      </c>
      <c r="F259" s="7"/>
      <c r="G259" s="7"/>
      <c r="M259" s="10"/>
      <c r="P259" s="11"/>
      <c r="Q259" s="12"/>
    </row>
    <row r="260" spans="1:17">
      <c r="A260" s="14">
        <v>39098</v>
      </c>
      <c r="B260" s="8">
        <v>1095.9450089510296</v>
      </c>
      <c r="F260" s="7"/>
      <c r="G260" s="7"/>
      <c r="M260" s="10"/>
      <c r="P260" s="11"/>
      <c r="Q260" s="12"/>
    </row>
    <row r="261" spans="1:17">
      <c r="A261" s="14">
        <v>39099</v>
      </c>
      <c r="B261" s="8">
        <v>1091.3338402770701</v>
      </c>
      <c r="F261" s="7"/>
      <c r="G261" s="7"/>
      <c r="M261" s="10"/>
      <c r="P261" s="11"/>
      <c r="Q261" s="12"/>
    </row>
    <row r="262" spans="1:17">
      <c r="A262" s="14">
        <v>39100</v>
      </c>
      <c r="B262" s="8">
        <v>1087.5390064362016</v>
      </c>
      <c r="F262" s="7"/>
      <c r="G262" s="7"/>
      <c r="M262" s="10"/>
      <c r="P262" s="11"/>
      <c r="Q262" s="12"/>
    </row>
    <row r="263" spans="1:17">
      <c r="A263" s="14">
        <v>39101</v>
      </c>
      <c r="B263" s="8">
        <v>1094.2231053180935</v>
      </c>
      <c r="F263" s="7"/>
      <c r="G263" s="7"/>
      <c r="M263" s="10"/>
      <c r="P263" s="11"/>
      <c r="Q263" s="12"/>
    </row>
    <row r="264" spans="1:17">
      <c r="A264" s="14">
        <v>39104</v>
      </c>
      <c r="B264" s="8">
        <v>1087.0315093381573</v>
      </c>
      <c r="F264" s="7"/>
      <c r="G264" s="7"/>
      <c r="M264" s="10"/>
      <c r="P264" s="11"/>
      <c r="Q264" s="12"/>
    </row>
    <row r="265" spans="1:17">
      <c r="A265" s="14">
        <v>39105</v>
      </c>
      <c r="B265" s="8">
        <v>1086.4702397059959</v>
      </c>
      <c r="F265" s="7"/>
      <c r="G265" s="7"/>
      <c r="M265" s="10"/>
      <c r="P265" s="11"/>
      <c r="Q265" s="12"/>
    </row>
    <row r="266" spans="1:17">
      <c r="A266" s="14">
        <v>39106</v>
      </c>
      <c r="B266" s="8">
        <v>1099.6172370955478</v>
      </c>
      <c r="F266" s="7"/>
      <c r="G266" s="7"/>
      <c r="M266" s="10"/>
      <c r="P266" s="11"/>
      <c r="Q266" s="12"/>
    </row>
    <row r="267" spans="1:17">
      <c r="A267" s="14">
        <v>39107</v>
      </c>
      <c r="B267" s="8">
        <v>1089.5227142165138</v>
      </c>
      <c r="F267" s="7"/>
      <c r="G267" s="7"/>
      <c r="M267" s="10"/>
      <c r="P267" s="11"/>
      <c r="Q267" s="12"/>
    </row>
    <row r="268" spans="1:17">
      <c r="A268" s="14">
        <v>39108</v>
      </c>
      <c r="B268" s="8">
        <v>1090.3250389596392</v>
      </c>
      <c r="F268" s="7"/>
      <c r="G268" s="7"/>
      <c r="M268" s="10"/>
      <c r="P268" s="11"/>
      <c r="Q268" s="12"/>
    </row>
    <row r="269" spans="1:17">
      <c r="A269" s="14">
        <v>39111</v>
      </c>
      <c r="B269" s="8">
        <v>1090.8149759062508</v>
      </c>
      <c r="F269" s="7"/>
      <c r="G269" s="7"/>
      <c r="M269" s="10"/>
      <c r="P269" s="11"/>
      <c r="Q269" s="12"/>
    </row>
    <row r="270" spans="1:17">
      <c r="A270" s="14">
        <v>39112</v>
      </c>
      <c r="B270" s="8">
        <v>1097.2470931316664</v>
      </c>
      <c r="F270" s="7"/>
      <c r="G270" s="7"/>
      <c r="M270" s="10"/>
      <c r="P270" s="11"/>
      <c r="Q270" s="12"/>
    </row>
    <row r="271" spans="1:17">
      <c r="A271" s="14">
        <v>39113</v>
      </c>
      <c r="B271" s="8">
        <v>1096.3478091374707</v>
      </c>
      <c r="F271" s="7"/>
      <c r="G271" s="7"/>
      <c r="M271" s="10"/>
      <c r="P271" s="11"/>
      <c r="Q271" s="12"/>
    </row>
    <row r="272" spans="1:17">
      <c r="A272" s="14">
        <v>39114</v>
      </c>
      <c r="B272" s="8">
        <v>1104.7806548222165</v>
      </c>
      <c r="F272" s="7"/>
      <c r="G272" s="7"/>
      <c r="M272" s="10"/>
      <c r="P272" s="11"/>
      <c r="Q272" s="12"/>
    </row>
    <row r="273" spans="1:17">
      <c r="A273" s="14">
        <v>39115</v>
      </c>
      <c r="B273" s="8">
        <v>1111.6107257918902</v>
      </c>
      <c r="F273" s="7"/>
      <c r="G273" s="7"/>
      <c r="M273" s="10"/>
      <c r="P273" s="11"/>
      <c r="Q273" s="12"/>
    </row>
    <row r="274" spans="1:17">
      <c r="A274" s="14">
        <v>39118</v>
      </c>
      <c r="B274" s="8">
        <v>1110.9019915982176</v>
      </c>
      <c r="F274" s="7"/>
      <c r="G274" s="7"/>
      <c r="M274" s="10"/>
      <c r="P274" s="11"/>
      <c r="Q274" s="12"/>
    </row>
    <row r="275" spans="1:17">
      <c r="A275" s="14">
        <v>39119</v>
      </c>
      <c r="B275" s="8">
        <v>1111.6681958393606</v>
      </c>
      <c r="F275" s="7"/>
      <c r="G275" s="7"/>
      <c r="M275" s="10"/>
      <c r="P275" s="11"/>
      <c r="Q275" s="12"/>
    </row>
    <row r="276" spans="1:17">
      <c r="A276" s="14">
        <v>39120</v>
      </c>
      <c r="B276" s="8">
        <v>1113.7187472795872</v>
      </c>
      <c r="F276" s="7"/>
      <c r="G276" s="7"/>
      <c r="M276" s="10"/>
      <c r="P276" s="11"/>
      <c r="Q276" s="12"/>
    </row>
    <row r="277" spans="1:17">
      <c r="A277" s="14">
        <v>39121</v>
      </c>
      <c r="B277" s="8">
        <v>1109.2510110630703</v>
      </c>
      <c r="F277" s="7"/>
      <c r="G277" s="7"/>
      <c r="M277" s="10"/>
      <c r="P277" s="11"/>
      <c r="Q277" s="12"/>
    </row>
    <row r="278" spans="1:17">
      <c r="A278" s="14">
        <v>39122</v>
      </c>
      <c r="B278" s="8">
        <v>1109.4684625161804</v>
      </c>
      <c r="F278" s="7"/>
      <c r="G278" s="7"/>
      <c r="M278" s="10"/>
      <c r="P278" s="11"/>
      <c r="Q278" s="12"/>
    </row>
    <row r="279" spans="1:17">
      <c r="A279" s="14">
        <v>39125</v>
      </c>
      <c r="B279" s="8">
        <v>1104.2903476232075</v>
      </c>
      <c r="F279" s="7"/>
      <c r="G279" s="7"/>
      <c r="M279" s="10"/>
      <c r="P279" s="11"/>
      <c r="Q279" s="12"/>
    </row>
    <row r="280" spans="1:17">
      <c r="A280" s="14">
        <v>39126</v>
      </c>
      <c r="B280" s="8">
        <v>1109.7527261663922</v>
      </c>
      <c r="F280" s="7"/>
      <c r="G280" s="7"/>
      <c r="M280" s="10"/>
      <c r="P280" s="11"/>
      <c r="Q280" s="12"/>
    </row>
    <row r="281" spans="1:17">
      <c r="A281" s="14">
        <v>39127</v>
      </c>
      <c r="B281" s="8">
        <v>1114.0875921613554</v>
      </c>
      <c r="F281" s="7"/>
      <c r="G281" s="7"/>
      <c r="M281" s="10"/>
      <c r="P281" s="11"/>
      <c r="Q281" s="12"/>
    </row>
    <row r="282" spans="1:17">
      <c r="A282" s="14">
        <v>39128</v>
      </c>
      <c r="B282" s="8">
        <v>1114.9151808494819</v>
      </c>
      <c r="F282" s="7"/>
      <c r="G282" s="7"/>
      <c r="M282" s="10"/>
      <c r="P282" s="11"/>
      <c r="Q282" s="12"/>
    </row>
    <row r="283" spans="1:17">
      <c r="A283" s="14">
        <v>39129</v>
      </c>
      <c r="B283" s="8">
        <v>1113.0724301504024</v>
      </c>
      <c r="F283" s="7"/>
      <c r="G283" s="7"/>
      <c r="M283" s="10"/>
      <c r="P283" s="11"/>
      <c r="Q283" s="12"/>
    </row>
    <row r="284" spans="1:17">
      <c r="A284" s="14">
        <v>39133</v>
      </c>
      <c r="B284" s="8">
        <v>1115.9903975490508</v>
      </c>
      <c r="F284" s="7"/>
      <c r="G284" s="7"/>
      <c r="M284" s="10"/>
      <c r="P284" s="11"/>
      <c r="Q284" s="12"/>
    </row>
    <row r="285" spans="1:17">
      <c r="A285" s="14">
        <v>39134</v>
      </c>
      <c r="B285" s="8">
        <v>1114.0492651725779</v>
      </c>
      <c r="F285" s="7"/>
      <c r="G285" s="7"/>
      <c r="M285" s="10"/>
      <c r="P285" s="11"/>
      <c r="Q285" s="12"/>
    </row>
    <row r="286" spans="1:17">
      <c r="A286" s="14">
        <v>39135</v>
      </c>
      <c r="B286" s="8">
        <v>1115.4998052265728</v>
      </c>
      <c r="F286" s="7"/>
      <c r="G286" s="7"/>
      <c r="M286" s="10"/>
      <c r="P286" s="11"/>
      <c r="Q286" s="12"/>
    </row>
    <row r="287" spans="1:17">
      <c r="A287" s="14">
        <v>39136</v>
      </c>
      <c r="B287" s="8">
        <v>1112.6406796150281</v>
      </c>
      <c r="F287" s="7"/>
      <c r="G287" s="7"/>
      <c r="M287" s="10"/>
      <c r="P287" s="11"/>
      <c r="Q287" s="12"/>
    </row>
    <row r="288" spans="1:17">
      <c r="A288" s="14">
        <v>39139</v>
      </c>
      <c r="B288" s="8">
        <v>1115.1043112698007</v>
      </c>
      <c r="F288" s="7"/>
      <c r="G288" s="7"/>
      <c r="M288" s="10"/>
      <c r="P288" s="11"/>
      <c r="Q288" s="12"/>
    </row>
    <row r="289" spans="1:17">
      <c r="A289" s="14">
        <v>39140</v>
      </c>
      <c r="B289" s="8">
        <v>1074.8922199155884</v>
      </c>
      <c r="F289" s="7"/>
      <c r="G289" s="7"/>
      <c r="M289" s="10"/>
      <c r="P289" s="11"/>
      <c r="Q289" s="12"/>
    </row>
    <row r="290" spans="1:17">
      <c r="A290" s="14">
        <v>39141</v>
      </c>
      <c r="B290" s="8">
        <v>1069.3069945212121</v>
      </c>
      <c r="F290" s="7"/>
      <c r="G290" s="7"/>
      <c r="M290" s="10"/>
      <c r="P290" s="11"/>
      <c r="Q290" s="12"/>
    </row>
    <row r="291" spans="1:17">
      <c r="A291" s="14">
        <v>39142</v>
      </c>
      <c r="B291" s="8">
        <v>1061.2562720310277</v>
      </c>
      <c r="F291" s="7"/>
      <c r="G291" s="7"/>
      <c r="M291" s="10"/>
      <c r="P291" s="11"/>
      <c r="Q291" s="12"/>
    </row>
    <row r="292" spans="1:17">
      <c r="A292" s="14">
        <v>39143</v>
      </c>
      <c r="B292" s="8">
        <v>1050.7110516084435</v>
      </c>
      <c r="F292" s="7"/>
      <c r="G292" s="7"/>
      <c r="M292" s="10"/>
      <c r="P292" s="11"/>
      <c r="Q292" s="12"/>
    </row>
    <row r="293" spans="1:17">
      <c r="A293" s="14">
        <v>39146</v>
      </c>
      <c r="B293" s="8">
        <v>1043.6779302867737</v>
      </c>
      <c r="F293" s="7"/>
      <c r="G293" s="7"/>
      <c r="M293" s="10"/>
      <c r="P293" s="11"/>
      <c r="Q293" s="12"/>
    </row>
    <row r="294" spans="1:17">
      <c r="A294" s="14">
        <v>39147</v>
      </c>
      <c r="B294" s="8">
        <v>1056.0321089896304</v>
      </c>
      <c r="F294" s="7"/>
      <c r="G294" s="7"/>
      <c r="M294" s="10"/>
      <c r="P294" s="11"/>
      <c r="Q294" s="12"/>
    </row>
    <row r="295" spans="1:17">
      <c r="A295" s="14">
        <v>39148</v>
      </c>
      <c r="B295" s="8">
        <v>1054.9368328918222</v>
      </c>
      <c r="F295" s="7"/>
      <c r="G295" s="7"/>
      <c r="M295" s="10"/>
      <c r="P295" s="11"/>
      <c r="Q295" s="12"/>
    </row>
    <row r="296" spans="1:17">
      <c r="A296" s="14">
        <v>39149</v>
      </c>
      <c r="B296" s="8">
        <v>1068.7215350595777</v>
      </c>
      <c r="F296" s="7"/>
      <c r="G296" s="7"/>
      <c r="M296" s="10"/>
      <c r="P296" s="11"/>
      <c r="Q296" s="12"/>
    </row>
    <row r="297" spans="1:17">
      <c r="A297" s="14">
        <v>39150</v>
      </c>
      <c r="B297" s="8">
        <v>1072.134577852087</v>
      </c>
      <c r="F297" s="7"/>
      <c r="G297" s="7"/>
      <c r="M297" s="10"/>
      <c r="P297" s="11"/>
      <c r="Q297" s="12"/>
    </row>
    <row r="298" spans="1:17">
      <c r="A298" s="14">
        <v>39153</v>
      </c>
      <c r="B298" s="8">
        <v>1067.4922945605795</v>
      </c>
      <c r="F298" s="7"/>
      <c r="G298" s="7"/>
      <c r="M298" s="10"/>
      <c r="P298" s="11"/>
      <c r="Q298" s="12"/>
    </row>
    <row r="299" spans="1:17">
      <c r="A299" s="14">
        <v>39154</v>
      </c>
      <c r="B299" s="8">
        <v>1047.8450270687347</v>
      </c>
      <c r="F299" s="7"/>
      <c r="G299" s="7"/>
      <c r="M299" s="10"/>
      <c r="P299" s="11"/>
      <c r="Q299" s="12"/>
    </row>
    <row r="300" spans="1:17">
      <c r="A300" s="14">
        <v>39155</v>
      </c>
      <c r="B300" s="8">
        <v>1035.8051076566696</v>
      </c>
      <c r="F300" s="7"/>
      <c r="G300" s="7"/>
      <c r="M300" s="10"/>
      <c r="P300" s="11"/>
      <c r="Q300" s="12"/>
    </row>
    <row r="301" spans="1:17">
      <c r="A301" s="14">
        <v>39156</v>
      </c>
      <c r="B301" s="8">
        <v>1050.2038982561789</v>
      </c>
      <c r="F301" s="7"/>
      <c r="G301" s="7"/>
      <c r="M301" s="10"/>
      <c r="P301" s="11"/>
      <c r="Q301" s="12"/>
    </row>
    <row r="302" spans="1:17">
      <c r="A302" s="14">
        <v>39157</v>
      </c>
      <c r="B302" s="8">
        <v>1044.5472382525797</v>
      </c>
      <c r="F302" s="7"/>
      <c r="G302" s="7"/>
      <c r="M302" s="10"/>
      <c r="P302" s="11"/>
      <c r="Q302" s="12"/>
    </row>
    <row r="303" spans="1:17">
      <c r="A303" s="14">
        <v>39160</v>
      </c>
      <c r="B303" s="8">
        <v>1059.8702377104923</v>
      </c>
      <c r="F303" s="7"/>
      <c r="G303" s="7"/>
      <c r="M303" s="10"/>
      <c r="P303" s="11"/>
      <c r="Q303" s="12"/>
    </row>
    <row r="304" spans="1:17">
      <c r="A304" s="14">
        <v>39161</v>
      </c>
      <c r="B304" s="8">
        <v>1065.7025401875769</v>
      </c>
      <c r="F304" s="7"/>
      <c r="G304" s="7"/>
      <c r="M304" s="10"/>
      <c r="P304" s="11"/>
      <c r="Q304" s="12"/>
    </row>
    <row r="305" spans="1:17">
      <c r="A305" s="14">
        <v>39162</v>
      </c>
      <c r="B305" s="8">
        <v>1075.1777271588592</v>
      </c>
      <c r="F305" s="7"/>
      <c r="G305" s="7"/>
      <c r="M305" s="10"/>
      <c r="P305" s="11"/>
      <c r="Q305" s="12"/>
    </row>
    <row r="306" spans="1:17">
      <c r="A306" s="14">
        <v>39163</v>
      </c>
      <c r="B306" s="8">
        <v>1084.7983383337485</v>
      </c>
      <c r="F306" s="7"/>
      <c r="G306" s="7"/>
      <c r="M306" s="10"/>
      <c r="P306" s="11"/>
      <c r="Q306" s="12"/>
    </row>
    <row r="307" spans="1:17">
      <c r="A307" s="14">
        <v>39164</v>
      </c>
      <c r="B307" s="8">
        <v>1090.9034460218227</v>
      </c>
      <c r="F307" s="7"/>
      <c r="G307" s="7"/>
      <c r="M307" s="10"/>
      <c r="P307" s="11"/>
      <c r="Q307" s="12"/>
    </row>
    <row r="308" spans="1:17">
      <c r="A308" s="14">
        <v>39167</v>
      </c>
      <c r="B308" s="8">
        <v>1082.3991559211427</v>
      </c>
      <c r="F308" s="7"/>
      <c r="G308" s="7"/>
      <c r="M308" s="10"/>
      <c r="P308" s="11"/>
      <c r="Q308" s="12"/>
    </row>
    <row r="309" spans="1:17">
      <c r="A309" s="14">
        <v>39168</v>
      </c>
      <c r="B309" s="8">
        <v>1079.4900309605039</v>
      </c>
      <c r="F309" s="7"/>
      <c r="G309" s="7"/>
      <c r="M309" s="10"/>
      <c r="P309" s="11"/>
      <c r="Q309" s="12"/>
    </row>
    <row r="310" spans="1:17">
      <c r="A310" s="14">
        <v>39169</v>
      </c>
      <c r="B310" s="8">
        <v>1071.692024865129</v>
      </c>
      <c r="F310" s="7"/>
      <c r="G310" s="7"/>
      <c r="M310" s="10"/>
      <c r="P310" s="11"/>
      <c r="Q310" s="12"/>
    </row>
    <row r="311" spans="1:17">
      <c r="A311" s="14">
        <v>39170</v>
      </c>
      <c r="B311" s="8">
        <v>1080.0887501436041</v>
      </c>
      <c r="F311" s="7"/>
      <c r="G311" s="7"/>
      <c r="M311" s="10"/>
      <c r="P311" s="11"/>
      <c r="Q311" s="12"/>
    </row>
    <row r="312" spans="1:17">
      <c r="A312" s="14">
        <v>39171</v>
      </c>
      <c r="B312" s="8">
        <v>1078.6553702116291</v>
      </c>
      <c r="F312" s="7"/>
      <c r="G312" s="7"/>
      <c r="M312" s="10"/>
      <c r="P312" s="11"/>
      <c r="Q312" s="12"/>
    </row>
    <row r="313" spans="1:17">
      <c r="A313" s="14">
        <v>39174</v>
      </c>
      <c r="B313" s="8">
        <v>1082.4309704484419</v>
      </c>
      <c r="F313" s="7"/>
      <c r="G313" s="7"/>
      <c r="M313" s="10"/>
      <c r="P313" s="11"/>
      <c r="Q313" s="12"/>
    </row>
    <row r="314" spans="1:17">
      <c r="A314" s="14">
        <v>39175</v>
      </c>
      <c r="B314" s="8">
        <v>1095.9347257881032</v>
      </c>
      <c r="F314" s="7"/>
      <c r="G314" s="7"/>
      <c r="M314" s="10"/>
      <c r="P314" s="11"/>
      <c r="Q314" s="12"/>
    </row>
    <row r="315" spans="1:17">
      <c r="A315" s="14">
        <v>39176</v>
      </c>
      <c r="B315" s="8">
        <v>1098.0940513291632</v>
      </c>
      <c r="F315" s="7"/>
      <c r="G315" s="7"/>
      <c r="M315" s="10"/>
      <c r="P315" s="11"/>
      <c r="Q315" s="12"/>
    </row>
    <row r="316" spans="1:17">
      <c r="A316" s="14">
        <v>39177</v>
      </c>
      <c r="B316" s="8">
        <v>1098.9319029361425</v>
      </c>
      <c r="F316" s="7"/>
      <c r="G316" s="7"/>
      <c r="M316" s="10"/>
      <c r="P316" s="11"/>
      <c r="Q316" s="12"/>
    </row>
    <row r="317" spans="1:17">
      <c r="A317" s="14">
        <v>39182</v>
      </c>
      <c r="B317" s="8">
        <v>1103.4466960275147</v>
      </c>
      <c r="F317" s="7"/>
      <c r="G317" s="7"/>
      <c r="M317" s="10"/>
      <c r="P317" s="11"/>
      <c r="Q317" s="12"/>
    </row>
    <row r="318" spans="1:17">
      <c r="A318" s="14">
        <v>39183</v>
      </c>
      <c r="B318" s="8">
        <v>1098.1797403671774</v>
      </c>
      <c r="F318" s="7"/>
      <c r="G318" s="7"/>
      <c r="M318" s="10"/>
      <c r="P318" s="11"/>
      <c r="Q318" s="12"/>
    </row>
    <row r="319" spans="1:17">
      <c r="A319" s="14">
        <v>39184</v>
      </c>
      <c r="B319" s="8">
        <v>1098.2277851780364</v>
      </c>
      <c r="F319" s="7"/>
      <c r="G319" s="7"/>
      <c r="M319" s="10"/>
      <c r="P319" s="11"/>
      <c r="Q319" s="12"/>
    </row>
    <row r="320" spans="1:17">
      <c r="A320" s="14">
        <v>39185</v>
      </c>
      <c r="B320" s="8">
        <v>1102.6210072188392</v>
      </c>
      <c r="F320" s="7"/>
      <c r="G320" s="7"/>
      <c r="M320" s="10"/>
      <c r="P320" s="11"/>
      <c r="Q320" s="12"/>
    </row>
    <row r="321" spans="1:17">
      <c r="A321" s="14">
        <v>39188</v>
      </c>
      <c r="B321" s="8">
        <v>1115.3119986917839</v>
      </c>
      <c r="F321" s="7"/>
      <c r="G321" s="7"/>
      <c r="M321" s="10"/>
      <c r="P321" s="11"/>
      <c r="Q321" s="12"/>
    </row>
    <row r="322" spans="1:17">
      <c r="A322" s="14">
        <v>39189</v>
      </c>
      <c r="B322" s="8">
        <v>1115.7400666321148</v>
      </c>
      <c r="F322" s="7"/>
      <c r="G322" s="7"/>
      <c r="M322" s="10"/>
      <c r="P322" s="11"/>
      <c r="Q322" s="12"/>
    </row>
    <row r="323" spans="1:17">
      <c r="A323" s="14">
        <v>39190</v>
      </c>
      <c r="B323" s="8">
        <v>1112.1540810759373</v>
      </c>
      <c r="F323" s="7"/>
      <c r="G323" s="7"/>
      <c r="M323" s="10"/>
      <c r="P323" s="11"/>
      <c r="Q323" s="12"/>
    </row>
    <row r="324" spans="1:17">
      <c r="A324" s="14">
        <v>39191</v>
      </c>
      <c r="B324" s="8">
        <v>1108.2603129544821</v>
      </c>
      <c r="F324" s="7"/>
      <c r="G324" s="7"/>
      <c r="M324" s="10"/>
      <c r="P324" s="11"/>
      <c r="Q324" s="12"/>
    </row>
    <row r="325" spans="1:17">
      <c r="A325" s="14">
        <v>39192</v>
      </c>
      <c r="B325" s="8">
        <v>1123.1064760385582</v>
      </c>
      <c r="F325" s="7"/>
      <c r="G325" s="7"/>
      <c r="M325" s="10"/>
      <c r="P325" s="11"/>
      <c r="Q325" s="12"/>
    </row>
    <row r="326" spans="1:17">
      <c r="A326" s="14">
        <v>39195</v>
      </c>
      <c r="B326" s="8">
        <v>1122.4839386306876</v>
      </c>
      <c r="F326" s="7"/>
      <c r="G326" s="7"/>
      <c r="M326" s="10"/>
      <c r="P326" s="11"/>
      <c r="Q326" s="12"/>
    </row>
    <row r="327" spans="1:17">
      <c r="A327" s="14">
        <v>39196</v>
      </c>
      <c r="B327" s="8">
        <v>1117.0054725737054</v>
      </c>
      <c r="F327" s="7"/>
      <c r="G327" s="7"/>
      <c r="M327" s="10"/>
      <c r="P327" s="11"/>
      <c r="Q327" s="12"/>
    </row>
    <row r="328" spans="1:17">
      <c r="A328" s="14">
        <v>39197</v>
      </c>
      <c r="B328" s="8">
        <v>1126.9065001902698</v>
      </c>
      <c r="F328" s="7"/>
      <c r="G328" s="7"/>
      <c r="M328" s="10"/>
      <c r="P328" s="11"/>
      <c r="Q328" s="12"/>
    </row>
    <row r="329" spans="1:17">
      <c r="A329" s="14">
        <v>39198</v>
      </c>
      <c r="B329" s="8">
        <v>1130.3186832999256</v>
      </c>
      <c r="F329" s="7"/>
      <c r="G329" s="7"/>
      <c r="M329" s="10"/>
      <c r="P329" s="11"/>
      <c r="Q329" s="12"/>
    </row>
    <row r="330" spans="1:17">
      <c r="A330" s="14">
        <v>39199</v>
      </c>
      <c r="B330" s="8">
        <v>1124.8453410206751</v>
      </c>
      <c r="F330" s="7"/>
      <c r="G330" s="7"/>
      <c r="M330" s="10"/>
      <c r="P330" s="11"/>
      <c r="Q330" s="12"/>
    </row>
    <row r="331" spans="1:17">
      <c r="A331" s="14">
        <v>39202</v>
      </c>
      <c r="B331" s="8">
        <v>1117.3001796609713</v>
      </c>
      <c r="F331" s="7"/>
      <c r="G331" s="7"/>
      <c r="M331" s="10"/>
      <c r="P331" s="11"/>
      <c r="Q331" s="12"/>
    </row>
    <row r="332" spans="1:17">
      <c r="A332" s="14">
        <v>39203</v>
      </c>
      <c r="B332" s="8">
        <v>1122.0799287233312</v>
      </c>
      <c r="F332" s="7"/>
      <c r="G332" s="7"/>
      <c r="M332" s="10"/>
      <c r="P332" s="11"/>
      <c r="Q332" s="12"/>
    </row>
    <row r="333" spans="1:17">
      <c r="A333" s="14">
        <v>39204</v>
      </c>
      <c r="B333" s="8">
        <v>1129.8702037577984</v>
      </c>
      <c r="F333" s="7"/>
      <c r="G333" s="7"/>
      <c r="M333" s="10"/>
      <c r="P333" s="11"/>
      <c r="Q333" s="12"/>
    </row>
    <row r="334" spans="1:17">
      <c r="A334" s="14">
        <v>39205</v>
      </c>
      <c r="B334" s="8">
        <v>1135.6419492684852</v>
      </c>
      <c r="F334" s="7"/>
      <c r="G334" s="7"/>
      <c r="M334" s="10"/>
      <c r="P334" s="11"/>
      <c r="Q334" s="12"/>
    </row>
    <row r="335" spans="1:17">
      <c r="A335" s="14">
        <v>39206</v>
      </c>
      <c r="B335" s="8">
        <v>1139.3284045720286</v>
      </c>
      <c r="F335" s="7"/>
      <c r="G335" s="7"/>
      <c r="M335" s="10"/>
      <c r="P335" s="11"/>
      <c r="Q335" s="12"/>
    </row>
    <row r="336" spans="1:17">
      <c r="A336" s="14">
        <v>39209</v>
      </c>
      <c r="B336" s="8">
        <v>1139.3290277244098</v>
      </c>
      <c r="F336" s="7"/>
      <c r="G336" s="7"/>
      <c r="M336" s="10"/>
      <c r="P336" s="11"/>
      <c r="Q336" s="12"/>
    </row>
    <row r="337" spans="1:17">
      <c r="A337" s="14">
        <v>39210</v>
      </c>
      <c r="B337" s="8">
        <v>1137.776926732183</v>
      </c>
      <c r="F337" s="7"/>
      <c r="G337" s="7"/>
      <c r="M337" s="10"/>
      <c r="P337" s="11"/>
      <c r="Q337" s="12"/>
    </row>
    <row r="338" spans="1:17">
      <c r="A338" s="14">
        <v>39211</v>
      </c>
      <c r="B338" s="8">
        <v>1141.7512290121444</v>
      </c>
      <c r="F338" s="7"/>
      <c r="G338" s="7"/>
      <c r="M338" s="10"/>
      <c r="P338" s="11"/>
      <c r="Q338" s="12"/>
    </row>
    <row r="339" spans="1:17">
      <c r="A339" s="14">
        <v>39212</v>
      </c>
      <c r="B339" s="8">
        <v>1131.2611402939524</v>
      </c>
      <c r="F339" s="7"/>
      <c r="G339" s="7"/>
      <c r="M339" s="10"/>
      <c r="P339" s="11"/>
      <c r="Q339" s="12"/>
    </row>
    <row r="340" spans="1:17">
      <c r="A340" s="14">
        <v>39213</v>
      </c>
      <c r="B340" s="8">
        <v>1140.2464630324778</v>
      </c>
      <c r="F340" s="7"/>
      <c r="G340" s="7"/>
      <c r="M340" s="10"/>
      <c r="P340" s="11"/>
      <c r="Q340" s="12"/>
    </row>
    <row r="341" spans="1:17">
      <c r="A341" s="14">
        <v>39216</v>
      </c>
      <c r="B341" s="8">
        <v>1135.5599549036726</v>
      </c>
      <c r="F341" s="7"/>
      <c r="G341" s="7"/>
      <c r="M341" s="10"/>
      <c r="P341" s="11"/>
      <c r="Q341" s="12"/>
    </row>
    <row r="342" spans="1:17">
      <c r="A342" s="14">
        <v>39217</v>
      </c>
      <c r="B342" s="8">
        <v>1135.0729575840116</v>
      </c>
      <c r="F342" s="7"/>
      <c r="G342" s="7"/>
      <c r="M342" s="10"/>
      <c r="P342" s="11"/>
      <c r="Q342" s="12"/>
    </row>
    <row r="343" spans="1:17">
      <c r="A343" s="14">
        <v>39218</v>
      </c>
      <c r="B343" s="8">
        <v>1140.5662167989324</v>
      </c>
      <c r="F343" s="7"/>
      <c r="G343" s="7"/>
      <c r="M343" s="10"/>
      <c r="P343" s="11"/>
      <c r="Q343" s="12"/>
    </row>
    <row r="344" spans="1:17">
      <c r="A344" s="14">
        <v>39219</v>
      </c>
      <c r="B344" s="8">
        <v>1141.8830719596901</v>
      </c>
      <c r="F344" s="7"/>
      <c r="G344" s="7"/>
      <c r="M344" s="10"/>
      <c r="P344" s="11"/>
      <c r="Q344" s="12"/>
    </row>
    <row r="345" spans="1:17">
      <c r="A345" s="14">
        <v>39220</v>
      </c>
      <c r="B345" s="8">
        <v>1152.1430977564009</v>
      </c>
      <c r="F345" s="7"/>
      <c r="G345" s="7"/>
      <c r="M345" s="10"/>
      <c r="P345" s="11"/>
      <c r="Q345" s="12"/>
    </row>
    <row r="346" spans="1:17">
      <c r="A346" s="14">
        <v>39223</v>
      </c>
      <c r="B346" s="8">
        <v>1156.4319392628101</v>
      </c>
      <c r="F346" s="7"/>
      <c r="G346" s="7"/>
      <c r="M346" s="10"/>
      <c r="P346" s="11"/>
      <c r="Q346" s="12"/>
    </row>
    <row r="347" spans="1:17">
      <c r="A347" s="14">
        <v>39224</v>
      </c>
      <c r="B347" s="8">
        <v>1157.7202524407453</v>
      </c>
      <c r="F347" s="7"/>
      <c r="G347" s="7"/>
      <c r="M347" s="10"/>
      <c r="P347" s="11"/>
      <c r="Q347" s="12"/>
    </row>
    <row r="348" spans="1:17">
      <c r="A348" s="14">
        <v>39225</v>
      </c>
      <c r="B348" s="8">
        <v>1159.1720076531624</v>
      </c>
      <c r="F348" s="7"/>
      <c r="G348" s="7"/>
      <c r="M348" s="10"/>
      <c r="P348" s="11"/>
      <c r="Q348" s="12"/>
    </row>
    <row r="349" spans="1:17">
      <c r="A349" s="14">
        <v>39226</v>
      </c>
      <c r="B349" s="8">
        <v>1147.6041376717287</v>
      </c>
      <c r="F349" s="7"/>
      <c r="G349" s="7"/>
      <c r="M349" s="10"/>
      <c r="P349" s="11"/>
      <c r="Q349" s="12"/>
    </row>
    <row r="350" spans="1:17">
      <c r="A350" s="14">
        <v>39227</v>
      </c>
      <c r="B350" s="8">
        <v>1152.1818909630229</v>
      </c>
      <c r="F350" s="7"/>
      <c r="G350" s="7"/>
      <c r="M350" s="10"/>
      <c r="P350" s="11"/>
      <c r="Q350" s="12"/>
    </row>
    <row r="351" spans="1:17">
      <c r="A351" s="14">
        <v>39231</v>
      </c>
      <c r="B351" s="8">
        <v>1154.5820296278189</v>
      </c>
      <c r="F351" s="7"/>
      <c r="G351" s="7"/>
      <c r="M351" s="10"/>
      <c r="P351" s="11"/>
      <c r="Q351" s="12"/>
    </row>
    <row r="352" spans="1:17">
      <c r="A352" s="14">
        <v>39232</v>
      </c>
      <c r="B352" s="8">
        <v>1161.162999283519</v>
      </c>
      <c r="F352" s="7"/>
      <c r="G352" s="7"/>
      <c r="M352" s="10"/>
      <c r="P352" s="11"/>
      <c r="Q352" s="12"/>
    </row>
    <row r="353" spans="1:17">
      <c r="A353" s="14">
        <v>39233</v>
      </c>
      <c r="B353" s="8">
        <v>1167.1434142921864</v>
      </c>
      <c r="F353" s="7"/>
      <c r="G353" s="7"/>
      <c r="M353" s="10"/>
      <c r="P353" s="11"/>
      <c r="Q353" s="12"/>
    </row>
    <row r="354" spans="1:17">
      <c r="A354" s="14">
        <v>39234</v>
      </c>
      <c r="B354" s="8">
        <v>1176.4303984977164</v>
      </c>
      <c r="F354" s="7"/>
      <c r="G354" s="7"/>
      <c r="M354" s="10"/>
      <c r="P354" s="11"/>
      <c r="Q354" s="12"/>
    </row>
    <row r="355" spans="1:17">
      <c r="A355" s="14">
        <v>39237</v>
      </c>
      <c r="B355" s="8">
        <v>1173.5071352455109</v>
      </c>
      <c r="F355" s="7"/>
      <c r="G355" s="7"/>
      <c r="M355" s="10"/>
      <c r="P355" s="11"/>
      <c r="Q355" s="12"/>
    </row>
    <row r="356" spans="1:17">
      <c r="A356" s="14">
        <v>39238</v>
      </c>
      <c r="B356" s="8">
        <v>1164.0847187738625</v>
      </c>
      <c r="F356" s="7"/>
      <c r="G356" s="7"/>
      <c r="M356" s="10"/>
      <c r="P356" s="11"/>
      <c r="Q356" s="12"/>
    </row>
    <row r="357" spans="1:17">
      <c r="A357" s="14">
        <v>39239</v>
      </c>
      <c r="B357" s="8">
        <v>1147.9913383810801</v>
      </c>
      <c r="F357" s="7"/>
      <c r="G357" s="7"/>
      <c r="M357" s="10"/>
      <c r="P357" s="11"/>
      <c r="Q357" s="12"/>
    </row>
    <row r="358" spans="1:17">
      <c r="A358" s="14">
        <v>39240</v>
      </c>
      <c r="B358" s="8">
        <v>1133.5901421650947</v>
      </c>
      <c r="F358" s="7"/>
      <c r="G358" s="7"/>
      <c r="M358" s="10"/>
      <c r="P358" s="11"/>
      <c r="Q358" s="12"/>
    </row>
    <row r="359" spans="1:17">
      <c r="A359" s="14">
        <v>39241</v>
      </c>
      <c r="B359" s="8">
        <v>1142.9306698440917</v>
      </c>
      <c r="F359" s="7"/>
      <c r="G359" s="7"/>
      <c r="M359" s="10"/>
      <c r="P359" s="11"/>
      <c r="Q359" s="12"/>
    </row>
    <row r="360" spans="1:17">
      <c r="A360" s="14">
        <v>39244</v>
      </c>
      <c r="B360" s="8">
        <v>1148.2575110407054</v>
      </c>
      <c r="F360" s="7"/>
      <c r="G360" s="7"/>
      <c r="M360" s="10"/>
      <c r="P360" s="11"/>
      <c r="Q360" s="12"/>
    </row>
    <row r="361" spans="1:17">
      <c r="A361" s="14">
        <v>39245</v>
      </c>
      <c r="B361" s="8">
        <v>1138.8092398081142</v>
      </c>
      <c r="F361" s="7"/>
      <c r="G361" s="7"/>
      <c r="M361" s="10"/>
      <c r="P361" s="11"/>
      <c r="Q361" s="12"/>
    </row>
    <row r="362" spans="1:17">
      <c r="A362" s="14">
        <v>39246</v>
      </c>
      <c r="B362" s="8">
        <v>1152.0979195724785</v>
      </c>
      <c r="F362" s="7"/>
      <c r="G362" s="7"/>
      <c r="M362" s="10"/>
      <c r="P362" s="11"/>
      <c r="Q362" s="12"/>
    </row>
    <row r="363" spans="1:17">
      <c r="A363" s="14">
        <v>39247</v>
      </c>
      <c r="B363" s="8">
        <v>1165.47056549745</v>
      </c>
      <c r="F363" s="7"/>
      <c r="G363" s="7"/>
      <c r="M363" s="10"/>
      <c r="P363" s="11"/>
      <c r="Q363" s="12"/>
    </row>
    <row r="364" spans="1:17">
      <c r="A364" s="14">
        <v>39248</v>
      </c>
      <c r="B364" s="8">
        <v>1175.1477264896084</v>
      </c>
      <c r="F364" s="7"/>
      <c r="G364" s="7"/>
      <c r="M364" s="10"/>
      <c r="P364" s="11"/>
      <c r="Q364" s="12"/>
    </row>
    <row r="365" spans="1:17">
      <c r="A365" s="14">
        <v>39251</v>
      </c>
      <c r="B365" s="8">
        <v>1170.07669935167</v>
      </c>
      <c r="F365" s="7"/>
      <c r="G365" s="7"/>
      <c r="M365" s="10"/>
      <c r="P365" s="11"/>
      <c r="Q365" s="12"/>
    </row>
    <row r="366" spans="1:17">
      <c r="A366" s="14">
        <v>39252</v>
      </c>
      <c r="B366" s="8">
        <v>1169.5079215148814</v>
      </c>
      <c r="F366" s="7"/>
      <c r="G366" s="7"/>
      <c r="M366" s="10"/>
      <c r="P366" s="11"/>
      <c r="Q366" s="12"/>
    </row>
    <row r="367" spans="1:17">
      <c r="A367" s="14">
        <v>39253</v>
      </c>
      <c r="B367" s="8">
        <v>1163.7975656522001</v>
      </c>
      <c r="F367" s="7"/>
      <c r="G367" s="7"/>
      <c r="M367" s="10"/>
      <c r="P367" s="11"/>
      <c r="Q367" s="12"/>
    </row>
    <row r="368" spans="1:17">
      <c r="A368" s="14">
        <v>39254</v>
      </c>
      <c r="B368" s="8">
        <v>1162.5893698583461</v>
      </c>
      <c r="F368" s="7"/>
      <c r="G368" s="7"/>
      <c r="M368" s="10"/>
      <c r="P368" s="11"/>
      <c r="Q368" s="12"/>
    </row>
    <row r="369" spans="1:17">
      <c r="A369" s="14">
        <v>39255</v>
      </c>
      <c r="B369" s="8">
        <v>1151.7828371306532</v>
      </c>
      <c r="F369" s="7"/>
      <c r="G369" s="7"/>
      <c r="M369" s="10"/>
      <c r="P369" s="11"/>
      <c r="Q369" s="12"/>
    </row>
    <row r="370" spans="1:17">
      <c r="A370" s="14">
        <v>39258</v>
      </c>
      <c r="B370" s="8">
        <v>1146.5192105316173</v>
      </c>
      <c r="F370" s="7"/>
      <c r="G370" s="7"/>
      <c r="M370" s="10"/>
      <c r="P370" s="11"/>
      <c r="Q370" s="12"/>
    </row>
    <row r="371" spans="1:17">
      <c r="A371" s="14">
        <v>39259</v>
      </c>
      <c r="B371" s="8">
        <v>1138.2669495073055</v>
      </c>
      <c r="F371" s="7"/>
      <c r="G371" s="7"/>
      <c r="M371" s="10"/>
      <c r="P371" s="11"/>
      <c r="Q371" s="12"/>
    </row>
    <row r="372" spans="1:17">
      <c r="A372" s="14">
        <v>39260</v>
      </c>
      <c r="B372" s="8">
        <v>1143.0431503973321</v>
      </c>
      <c r="F372" s="7"/>
      <c r="G372" s="7"/>
      <c r="M372" s="10"/>
      <c r="P372" s="11"/>
      <c r="Q372" s="12"/>
    </row>
    <row r="373" spans="1:17">
      <c r="A373" s="14">
        <v>39261</v>
      </c>
      <c r="B373" s="8">
        <v>1147.4164799052237</v>
      </c>
      <c r="F373" s="7"/>
      <c r="G373" s="7"/>
      <c r="M373" s="10"/>
      <c r="P373" s="11"/>
      <c r="Q373" s="12"/>
    </row>
    <row r="374" spans="1:17">
      <c r="A374" s="14">
        <v>39262</v>
      </c>
      <c r="B374" s="8">
        <v>1147.0356572998442</v>
      </c>
      <c r="F374" s="7"/>
      <c r="G374" s="7"/>
      <c r="M374" s="10"/>
      <c r="P374" s="11"/>
      <c r="Q374" s="12"/>
    </row>
    <row r="375" spans="1:17">
      <c r="A375" s="14">
        <v>39265</v>
      </c>
      <c r="B375" s="8">
        <v>1146.8652599698321</v>
      </c>
      <c r="F375" s="7"/>
      <c r="G375" s="7"/>
      <c r="M375" s="10"/>
      <c r="P375" s="11"/>
      <c r="Q375" s="12"/>
    </row>
    <row r="376" spans="1:17">
      <c r="A376" s="14">
        <v>39266</v>
      </c>
      <c r="B376" s="8">
        <v>1154.4900565768653</v>
      </c>
      <c r="F376" s="7"/>
      <c r="G376" s="7"/>
      <c r="M376" s="10"/>
      <c r="P376" s="11"/>
      <c r="Q376" s="12"/>
    </row>
    <row r="377" spans="1:17">
      <c r="A377" s="14">
        <v>39268</v>
      </c>
      <c r="B377" s="8">
        <v>1153.2742278114326</v>
      </c>
      <c r="F377" s="7"/>
      <c r="G377" s="7"/>
      <c r="M377" s="10"/>
      <c r="P377" s="11"/>
      <c r="Q377" s="12"/>
    </row>
    <row r="378" spans="1:17">
      <c r="A378" s="14">
        <v>39269</v>
      </c>
      <c r="B378" s="8">
        <v>1158.409722510761</v>
      </c>
      <c r="F378" s="7"/>
      <c r="G378" s="7"/>
      <c r="M378" s="10"/>
      <c r="P378" s="11"/>
      <c r="Q378" s="12"/>
    </row>
    <row r="379" spans="1:17">
      <c r="A379" s="14">
        <v>39272</v>
      </c>
      <c r="B379" s="8">
        <v>1158.0766501992957</v>
      </c>
      <c r="F379" s="7"/>
      <c r="G379" s="7"/>
      <c r="M379" s="10"/>
      <c r="P379" s="11"/>
      <c r="Q379" s="12"/>
    </row>
    <row r="380" spans="1:17">
      <c r="A380" s="14">
        <v>39273</v>
      </c>
      <c r="B380" s="8">
        <v>1137.6410572304508</v>
      </c>
      <c r="F380" s="7"/>
      <c r="G380" s="7"/>
      <c r="M380" s="10"/>
      <c r="P380" s="11"/>
      <c r="Q380" s="12"/>
    </row>
    <row r="381" spans="1:17">
      <c r="A381" s="14">
        <v>39274</v>
      </c>
      <c r="B381" s="8">
        <v>1134.9131039826016</v>
      </c>
      <c r="F381" s="7"/>
      <c r="G381" s="7"/>
      <c r="M381" s="10"/>
      <c r="P381" s="11"/>
      <c r="Q381" s="12"/>
    </row>
    <row r="382" spans="1:17">
      <c r="A382" s="14">
        <v>39275</v>
      </c>
      <c r="B382" s="8">
        <v>1152.2722167449826</v>
      </c>
      <c r="F382" s="7"/>
      <c r="G382" s="7"/>
      <c r="M382" s="10"/>
      <c r="P382" s="11"/>
      <c r="Q382" s="12"/>
    </row>
    <row r="383" spans="1:17">
      <c r="A383" s="14">
        <v>39276</v>
      </c>
      <c r="B383" s="8">
        <v>1155.9134633035683</v>
      </c>
      <c r="F383" s="7"/>
      <c r="G383" s="7"/>
      <c r="M383" s="10"/>
      <c r="P383" s="11"/>
      <c r="Q383" s="12"/>
    </row>
    <row r="384" spans="1:17">
      <c r="A384" s="14">
        <v>39279</v>
      </c>
      <c r="B384" s="8">
        <v>1155.143364344674</v>
      </c>
      <c r="F384" s="7"/>
      <c r="G384" s="7"/>
      <c r="M384" s="10"/>
      <c r="P384" s="11"/>
      <c r="Q384" s="12"/>
    </row>
    <row r="385" spans="1:17">
      <c r="A385" s="14">
        <v>39280</v>
      </c>
      <c r="B385" s="8">
        <v>1152.449225852595</v>
      </c>
      <c r="F385" s="7"/>
      <c r="G385" s="7"/>
      <c r="M385" s="10"/>
      <c r="P385" s="11"/>
      <c r="Q385" s="12"/>
    </row>
    <row r="386" spans="1:17">
      <c r="A386" s="14">
        <v>39281</v>
      </c>
      <c r="B386" s="8">
        <v>1141.1780020983799</v>
      </c>
      <c r="F386" s="7"/>
      <c r="G386" s="7"/>
      <c r="M386" s="10"/>
      <c r="P386" s="11"/>
      <c r="Q386" s="12"/>
    </row>
    <row r="387" spans="1:17">
      <c r="A387" s="14">
        <v>39282</v>
      </c>
      <c r="B387" s="8">
        <v>1150.983186018419</v>
      </c>
      <c r="F387" s="7"/>
      <c r="G387" s="7"/>
      <c r="M387" s="10"/>
      <c r="P387" s="11"/>
      <c r="Q387" s="12"/>
    </row>
    <row r="388" spans="1:17">
      <c r="A388" s="14">
        <v>39283</v>
      </c>
      <c r="B388" s="8">
        <v>1132.7748838092464</v>
      </c>
      <c r="F388" s="7"/>
      <c r="G388" s="7"/>
      <c r="M388" s="10"/>
      <c r="P388" s="11"/>
      <c r="Q388" s="12"/>
    </row>
    <row r="389" spans="1:17">
      <c r="A389" s="14">
        <v>39286</v>
      </c>
      <c r="B389" s="8">
        <v>1138.5314614019589</v>
      </c>
      <c r="F389" s="7"/>
      <c r="G389" s="7"/>
      <c r="M389" s="10"/>
      <c r="P389" s="11"/>
      <c r="Q389" s="12"/>
    </row>
    <row r="390" spans="1:17">
      <c r="A390" s="14">
        <v>39287</v>
      </c>
      <c r="B390" s="8">
        <v>1115.9917893212951</v>
      </c>
      <c r="F390" s="7"/>
      <c r="G390" s="7"/>
      <c r="M390" s="10"/>
      <c r="P390" s="11"/>
      <c r="Q390" s="12"/>
    </row>
    <row r="391" spans="1:17">
      <c r="A391" s="14">
        <v>39288</v>
      </c>
      <c r="B391" s="8">
        <v>1114.8779467731172</v>
      </c>
      <c r="F391" s="7"/>
      <c r="G391" s="7"/>
      <c r="M391" s="10"/>
      <c r="P391" s="11"/>
      <c r="Q391" s="12"/>
    </row>
    <row r="392" spans="1:17">
      <c r="A392" s="14">
        <v>39289</v>
      </c>
      <c r="B392" s="8">
        <v>1083.0024701622563</v>
      </c>
      <c r="F392" s="7"/>
      <c r="G392" s="7"/>
      <c r="M392" s="10"/>
      <c r="P392" s="11"/>
      <c r="Q392" s="12"/>
    </row>
    <row r="393" spans="1:17">
      <c r="A393" s="14">
        <v>39290</v>
      </c>
      <c r="B393" s="8">
        <v>1076.861444056852</v>
      </c>
      <c r="F393" s="7"/>
      <c r="G393" s="7"/>
      <c r="M393" s="10"/>
      <c r="P393" s="11"/>
      <c r="Q393" s="12"/>
    </row>
    <row r="394" spans="1:17">
      <c r="A394" s="14">
        <v>39293</v>
      </c>
      <c r="B394" s="8">
        <v>1080.6791425164236</v>
      </c>
      <c r="F394" s="7"/>
      <c r="G394" s="7"/>
      <c r="M394" s="10"/>
      <c r="P394" s="11"/>
      <c r="Q394" s="12"/>
    </row>
    <row r="395" spans="1:17">
      <c r="A395" s="14">
        <v>39294</v>
      </c>
      <c r="B395" s="8">
        <v>1083.0423454578877</v>
      </c>
      <c r="F395" s="7"/>
      <c r="G395" s="7"/>
      <c r="M395" s="10"/>
      <c r="P395" s="11"/>
      <c r="Q395" s="12"/>
    </row>
    <row r="396" spans="1:17">
      <c r="A396" s="14">
        <v>39295</v>
      </c>
      <c r="B396" s="8">
        <v>1076.1315689054904</v>
      </c>
      <c r="F396" s="7"/>
      <c r="G396" s="7"/>
      <c r="M396" s="10"/>
      <c r="P396" s="11"/>
      <c r="Q396" s="12"/>
    </row>
    <row r="397" spans="1:17">
      <c r="A397" s="14">
        <v>39296</v>
      </c>
      <c r="B397" s="8">
        <v>1084.8736846617169</v>
      </c>
      <c r="F397" s="7"/>
      <c r="G397" s="7"/>
      <c r="M397" s="10"/>
      <c r="P397" s="11"/>
      <c r="Q397" s="12"/>
    </row>
    <row r="398" spans="1:17">
      <c r="A398" s="14">
        <v>39297</v>
      </c>
      <c r="B398" s="8">
        <v>1055.8461953970584</v>
      </c>
      <c r="F398" s="7"/>
      <c r="G398" s="7"/>
      <c r="M398" s="10"/>
      <c r="P398" s="11"/>
      <c r="Q398" s="12"/>
    </row>
    <row r="399" spans="1:17">
      <c r="A399" s="14">
        <v>39300</v>
      </c>
      <c r="B399" s="8">
        <v>1063.5862863247669</v>
      </c>
      <c r="F399" s="7"/>
      <c r="G399" s="7"/>
      <c r="M399" s="10"/>
      <c r="P399" s="11"/>
      <c r="Q399" s="12"/>
    </row>
    <row r="400" spans="1:17">
      <c r="A400" s="14">
        <v>39301</v>
      </c>
      <c r="B400" s="8">
        <v>1077.9556419069092</v>
      </c>
      <c r="F400" s="7"/>
      <c r="G400" s="7"/>
      <c r="M400" s="10"/>
      <c r="P400" s="11"/>
      <c r="Q400" s="12"/>
    </row>
    <row r="401" spans="1:17">
      <c r="A401" s="14">
        <v>39302</v>
      </c>
      <c r="B401" s="8">
        <v>1093.9194329697279</v>
      </c>
      <c r="F401" s="7"/>
      <c r="G401" s="7"/>
      <c r="M401" s="10"/>
      <c r="P401" s="11"/>
      <c r="Q401" s="12"/>
    </row>
    <row r="402" spans="1:17">
      <c r="A402" s="14">
        <v>39303</v>
      </c>
      <c r="B402" s="8">
        <v>1071.1443818189898</v>
      </c>
      <c r="F402" s="7"/>
      <c r="G402" s="7"/>
      <c r="M402" s="10"/>
      <c r="P402" s="11"/>
      <c r="Q402" s="12"/>
    </row>
    <row r="403" spans="1:17">
      <c r="A403" s="14">
        <v>39304</v>
      </c>
      <c r="B403" s="8">
        <v>1058.4072610548567</v>
      </c>
      <c r="F403" s="7"/>
      <c r="G403" s="7"/>
      <c r="M403" s="10"/>
      <c r="P403" s="11"/>
      <c r="Q403" s="12"/>
    </row>
    <row r="404" spans="1:17">
      <c r="A404" s="14">
        <v>39307</v>
      </c>
      <c r="B404" s="8">
        <v>1074.0909081932393</v>
      </c>
      <c r="F404" s="7"/>
      <c r="G404" s="7"/>
      <c r="M404" s="10"/>
      <c r="P404" s="11"/>
      <c r="Q404" s="12"/>
    </row>
    <row r="405" spans="1:17">
      <c r="A405" s="14">
        <v>39308</v>
      </c>
      <c r="B405" s="8">
        <v>1055.5022545932616</v>
      </c>
      <c r="F405" s="7"/>
      <c r="G405" s="7"/>
      <c r="M405" s="10"/>
      <c r="P405" s="11"/>
      <c r="Q405" s="12"/>
    </row>
    <row r="406" spans="1:17">
      <c r="A406" s="14">
        <v>39309</v>
      </c>
      <c r="B406" s="8">
        <v>1048.8110675465132</v>
      </c>
      <c r="F406" s="7"/>
      <c r="G406" s="7"/>
      <c r="M406" s="10"/>
      <c r="P406" s="11"/>
      <c r="Q406" s="12"/>
    </row>
    <row r="407" spans="1:17">
      <c r="A407" s="14">
        <v>39310</v>
      </c>
      <c r="B407" s="8">
        <v>1037.2420329986955</v>
      </c>
      <c r="F407" s="7"/>
      <c r="G407" s="7"/>
      <c r="M407" s="10"/>
      <c r="P407" s="11"/>
      <c r="Q407" s="12"/>
    </row>
    <row r="408" spans="1:17">
      <c r="A408" s="14">
        <v>39311</v>
      </c>
      <c r="B408" s="8">
        <v>1057.4555593334596</v>
      </c>
      <c r="F408" s="7"/>
      <c r="G408" s="7"/>
      <c r="M408" s="10"/>
      <c r="P408" s="11"/>
      <c r="Q408" s="12"/>
    </row>
    <row r="409" spans="1:17">
      <c r="A409" s="14">
        <v>39314</v>
      </c>
      <c r="B409" s="8">
        <v>1061.5516577645426</v>
      </c>
      <c r="F409" s="7"/>
      <c r="G409" s="7"/>
      <c r="M409" s="10"/>
      <c r="P409" s="11"/>
      <c r="Q409" s="12"/>
    </row>
    <row r="410" spans="1:17">
      <c r="A410" s="14">
        <v>39315</v>
      </c>
      <c r="B410" s="8">
        <v>1063.4228585262272</v>
      </c>
      <c r="F410" s="7"/>
      <c r="G410" s="7"/>
      <c r="M410" s="10"/>
      <c r="P410" s="11"/>
      <c r="Q410" s="12"/>
    </row>
    <row r="411" spans="1:17">
      <c r="A411" s="14">
        <v>39316</v>
      </c>
      <c r="B411" s="8">
        <v>1075.8095355739454</v>
      </c>
      <c r="F411" s="7"/>
      <c r="G411" s="7"/>
      <c r="M411" s="10"/>
      <c r="P411" s="11"/>
      <c r="Q411" s="12"/>
    </row>
    <row r="412" spans="1:17">
      <c r="A412" s="14">
        <v>39317</v>
      </c>
      <c r="B412" s="8">
        <v>1072.7892175780842</v>
      </c>
      <c r="F412" s="7"/>
      <c r="G412" s="7"/>
      <c r="M412" s="10"/>
      <c r="P412" s="11"/>
      <c r="Q412" s="12"/>
    </row>
    <row r="413" spans="1:17">
      <c r="A413" s="14">
        <v>39318</v>
      </c>
      <c r="B413" s="8">
        <v>1076.8690428766076</v>
      </c>
      <c r="F413" s="7"/>
      <c r="G413" s="7"/>
      <c r="M413" s="10"/>
      <c r="P413" s="11"/>
      <c r="Q413" s="12"/>
    </row>
    <row r="414" spans="1:17">
      <c r="A414" s="14">
        <v>39321</v>
      </c>
      <c r="B414" s="8">
        <v>1071.4835785811058</v>
      </c>
      <c r="F414" s="7"/>
      <c r="G414" s="7"/>
      <c r="M414" s="10"/>
      <c r="P414" s="11"/>
      <c r="Q414" s="12"/>
    </row>
    <row r="415" spans="1:17">
      <c r="A415" s="14">
        <v>39322</v>
      </c>
      <c r="B415" s="8">
        <v>1048.136846662394</v>
      </c>
      <c r="F415" s="7"/>
      <c r="G415" s="7"/>
      <c r="M415" s="10"/>
      <c r="P415" s="11"/>
      <c r="Q415" s="12"/>
    </row>
    <row r="416" spans="1:17">
      <c r="A416" s="14">
        <v>39323</v>
      </c>
      <c r="B416" s="8">
        <v>1062.5680511982669</v>
      </c>
      <c r="F416" s="7"/>
      <c r="G416" s="7"/>
      <c r="M416" s="10"/>
      <c r="P416" s="11"/>
      <c r="Q416" s="12"/>
    </row>
    <row r="417" spans="1:17">
      <c r="A417" s="14">
        <v>39324</v>
      </c>
      <c r="B417" s="8">
        <v>1067.3571579334955</v>
      </c>
      <c r="F417" s="7"/>
      <c r="G417" s="7"/>
      <c r="M417" s="10"/>
      <c r="P417" s="11"/>
      <c r="Q417" s="12"/>
    </row>
    <row r="418" spans="1:17">
      <c r="A418" s="14">
        <v>39325</v>
      </c>
      <c r="B418" s="8">
        <v>1080.6721861681187</v>
      </c>
      <c r="F418" s="7"/>
      <c r="G418" s="7"/>
      <c r="M418" s="10"/>
      <c r="P418" s="11"/>
      <c r="Q418" s="12"/>
    </row>
    <row r="419" spans="1:17">
      <c r="A419" s="14">
        <v>39329</v>
      </c>
      <c r="B419" s="8">
        <v>1090.2379268747779</v>
      </c>
      <c r="F419" s="7"/>
      <c r="G419" s="7"/>
      <c r="M419" s="10"/>
      <c r="P419" s="11"/>
      <c r="Q419" s="12"/>
    </row>
    <row r="420" spans="1:17">
      <c r="A420" s="14">
        <v>39330</v>
      </c>
      <c r="B420" s="8">
        <v>1067.9337940296925</v>
      </c>
      <c r="F420" s="7"/>
      <c r="G420" s="7"/>
      <c r="M420" s="10"/>
      <c r="P420" s="11"/>
      <c r="Q420" s="12"/>
    </row>
    <row r="421" spans="1:17">
      <c r="A421" s="14">
        <v>39331</v>
      </c>
      <c r="B421" s="8">
        <v>1072.201330968074</v>
      </c>
      <c r="F421" s="7"/>
      <c r="G421" s="7"/>
      <c r="M421" s="10"/>
      <c r="P421" s="11"/>
      <c r="Q421" s="12"/>
    </row>
    <row r="422" spans="1:17">
      <c r="A422" s="14">
        <v>39332</v>
      </c>
      <c r="B422" s="8">
        <v>1045.4097899246542</v>
      </c>
      <c r="F422" s="7"/>
      <c r="G422" s="7"/>
      <c r="M422" s="10"/>
      <c r="P422" s="11"/>
      <c r="Q422" s="12"/>
    </row>
    <row r="423" spans="1:17">
      <c r="A423" s="14">
        <v>39335</v>
      </c>
      <c r="B423" s="8">
        <v>1038.2175333954028</v>
      </c>
      <c r="F423" s="7"/>
      <c r="G423" s="7"/>
      <c r="M423" s="10"/>
      <c r="P423" s="11"/>
      <c r="Q423" s="12"/>
    </row>
    <row r="424" spans="1:17">
      <c r="A424" s="14">
        <v>39336</v>
      </c>
      <c r="B424" s="8">
        <v>1051.8814534610569</v>
      </c>
      <c r="F424" s="7"/>
      <c r="G424" s="7"/>
      <c r="M424" s="10"/>
      <c r="P424" s="11"/>
      <c r="Q424" s="12"/>
    </row>
    <row r="425" spans="1:17">
      <c r="A425" s="14">
        <v>39337</v>
      </c>
      <c r="B425" s="8">
        <v>1050.2169219926629</v>
      </c>
      <c r="F425" s="7"/>
      <c r="G425" s="7"/>
      <c r="M425" s="10"/>
      <c r="P425" s="11"/>
      <c r="Q425" s="12"/>
    </row>
    <row r="426" spans="1:17">
      <c r="A426" s="14">
        <v>39338</v>
      </c>
      <c r="B426" s="8">
        <v>1058.3743784835956</v>
      </c>
      <c r="F426" s="7"/>
      <c r="G426" s="7"/>
      <c r="M426" s="10"/>
      <c r="P426" s="11"/>
      <c r="Q426" s="12"/>
    </row>
    <row r="427" spans="1:17">
      <c r="A427" s="14">
        <v>39339</v>
      </c>
      <c r="B427" s="8">
        <v>1057.4880450475184</v>
      </c>
      <c r="F427" s="7"/>
      <c r="G427" s="7"/>
      <c r="M427" s="10"/>
      <c r="P427" s="11"/>
      <c r="Q427" s="12"/>
    </row>
    <row r="428" spans="1:17">
      <c r="A428" s="14">
        <v>39342</v>
      </c>
      <c r="B428" s="8">
        <v>1047.7952478289612</v>
      </c>
      <c r="F428" s="7"/>
      <c r="G428" s="7"/>
      <c r="M428" s="10"/>
      <c r="P428" s="11"/>
      <c r="Q428" s="12"/>
    </row>
    <row r="429" spans="1:17">
      <c r="A429" s="14">
        <v>39343</v>
      </c>
      <c r="B429" s="8">
        <v>1075.2828521876011</v>
      </c>
      <c r="F429" s="7"/>
      <c r="G429" s="7"/>
      <c r="M429" s="10"/>
      <c r="P429" s="11"/>
      <c r="Q429" s="12"/>
    </row>
    <row r="430" spans="1:17">
      <c r="A430" s="14">
        <v>39344</v>
      </c>
      <c r="B430" s="8">
        <v>1091.782949571372</v>
      </c>
      <c r="F430" s="7"/>
      <c r="G430" s="7"/>
      <c r="M430" s="10"/>
      <c r="P430" s="11"/>
      <c r="Q430" s="12"/>
    </row>
    <row r="431" spans="1:17">
      <c r="A431" s="14">
        <v>39345</v>
      </c>
      <c r="B431" s="8">
        <v>1077.526258976603</v>
      </c>
      <c r="F431" s="7"/>
      <c r="G431" s="7"/>
      <c r="M431" s="10"/>
      <c r="P431" s="11"/>
      <c r="Q431" s="12"/>
    </row>
    <row r="432" spans="1:17">
      <c r="A432" s="14">
        <v>39346</v>
      </c>
      <c r="B432" s="8">
        <v>1079.4040813809593</v>
      </c>
      <c r="F432" s="7"/>
      <c r="G432" s="7"/>
      <c r="M432" s="10"/>
      <c r="P432" s="11"/>
      <c r="Q432" s="12"/>
    </row>
    <row r="433" spans="1:17">
      <c r="A433" s="14">
        <v>39349</v>
      </c>
      <c r="B433" s="8">
        <v>1073.4627194635207</v>
      </c>
      <c r="F433" s="7"/>
      <c r="G433" s="7"/>
      <c r="M433" s="10"/>
      <c r="P433" s="11"/>
      <c r="Q433" s="12"/>
    </row>
    <row r="434" spans="1:17">
      <c r="A434" s="14">
        <v>39350</v>
      </c>
      <c r="B434" s="8">
        <v>1065.8607012356845</v>
      </c>
      <c r="F434" s="7"/>
      <c r="G434" s="7"/>
      <c r="M434" s="10"/>
      <c r="P434" s="11"/>
      <c r="Q434" s="12"/>
    </row>
    <row r="435" spans="1:17">
      <c r="A435" s="14">
        <v>39351</v>
      </c>
      <c r="B435" s="8">
        <v>1074.8145641597466</v>
      </c>
      <c r="F435" s="7"/>
      <c r="G435" s="7"/>
      <c r="M435" s="10"/>
      <c r="P435" s="11"/>
      <c r="Q435" s="12"/>
    </row>
    <row r="436" spans="1:17">
      <c r="A436" s="14">
        <v>39352</v>
      </c>
      <c r="B436" s="8">
        <v>1079.11312784443</v>
      </c>
      <c r="F436" s="7"/>
      <c r="G436" s="7"/>
      <c r="M436" s="10"/>
      <c r="P436" s="11"/>
      <c r="Q436" s="12"/>
    </row>
    <row r="437" spans="1:17">
      <c r="A437" s="14">
        <v>39353</v>
      </c>
      <c r="B437" s="8">
        <v>1073.1810346024633</v>
      </c>
      <c r="F437" s="7"/>
      <c r="G437" s="7"/>
      <c r="M437" s="10"/>
      <c r="P437" s="11"/>
      <c r="Q437" s="12"/>
    </row>
    <row r="438" spans="1:17">
      <c r="A438" s="14">
        <v>39356</v>
      </c>
      <c r="B438" s="8">
        <v>1085.7493939568956</v>
      </c>
      <c r="F438" s="7"/>
      <c r="G438" s="7"/>
      <c r="M438" s="10"/>
      <c r="P438" s="11"/>
      <c r="Q438" s="12"/>
    </row>
    <row r="439" spans="1:17">
      <c r="A439" s="14">
        <v>39357</v>
      </c>
      <c r="B439" s="8">
        <v>1091.8389799536772</v>
      </c>
      <c r="F439" s="7"/>
      <c r="G439" s="7"/>
      <c r="M439" s="10"/>
      <c r="P439" s="11"/>
      <c r="Q439" s="12"/>
    </row>
    <row r="440" spans="1:17">
      <c r="A440" s="14">
        <v>39358</v>
      </c>
      <c r="B440" s="8">
        <v>1091.6687418271997</v>
      </c>
      <c r="F440" s="7"/>
      <c r="G440" s="7"/>
      <c r="M440" s="10"/>
      <c r="P440" s="11"/>
      <c r="Q440" s="12"/>
    </row>
    <row r="441" spans="1:17">
      <c r="A441" s="14">
        <v>39359</v>
      </c>
      <c r="B441" s="8">
        <v>1091.2772797523464</v>
      </c>
      <c r="F441" s="7"/>
      <c r="G441" s="7"/>
      <c r="M441" s="10"/>
      <c r="P441" s="11"/>
      <c r="Q441" s="12"/>
    </row>
    <row r="442" spans="1:17">
      <c r="A442" s="14">
        <v>39360</v>
      </c>
      <c r="B442" s="8">
        <v>1103.203945759743</v>
      </c>
      <c r="F442" s="7"/>
      <c r="G442" s="7"/>
      <c r="M442" s="10"/>
      <c r="P442" s="11"/>
      <c r="Q442" s="12"/>
    </row>
    <row r="443" spans="1:17">
      <c r="A443" s="14">
        <v>39363</v>
      </c>
      <c r="B443" s="8">
        <v>1100.8662899687656</v>
      </c>
      <c r="F443" s="7"/>
      <c r="G443" s="7"/>
      <c r="M443" s="10"/>
      <c r="P443" s="11"/>
      <c r="Q443" s="12"/>
    </row>
    <row r="444" spans="1:17">
      <c r="A444" s="14">
        <v>39364</v>
      </c>
      <c r="B444" s="8">
        <v>1105.0015088155246</v>
      </c>
      <c r="F444" s="7"/>
      <c r="G444" s="7"/>
      <c r="M444" s="10"/>
      <c r="P444" s="11"/>
      <c r="Q444" s="12"/>
    </row>
    <row r="445" spans="1:17">
      <c r="A445" s="14">
        <v>39365</v>
      </c>
      <c r="B445" s="8">
        <v>1100.4383694713158</v>
      </c>
      <c r="F445" s="7"/>
      <c r="G445" s="7"/>
      <c r="M445" s="10"/>
      <c r="P445" s="11"/>
      <c r="Q445" s="12"/>
    </row>
    <row r="446" spans="1:17">
      <c r="A446" s="14">
        <v>39366</v>
      </c>
      <c r="B446" s="8">
        <v>1096.7928656944703</v>
      </c>
      <c r="F446" s="7"/>
      <c r="G446" s="7"/>
      <c r="M446" s="10"/>
      <c r="P446" s="11"/>
      <c r="Q446" s="12"/>
    </row>
    <row r="447" spans="1:17">
      <c r="A447" s="14">
        <v>39367</v>
      </c>
      <c r="B447" s="8">
        <v>1100.7913975486488</v>
      </c>
      <c r="F447" s="7"/>
      <c r="G447" s="7"/>
      <c r="M447" s="10"/>
      <c r="P447" s="11"/>
      <c r="Q447" s="12"/>
    </row>
    <row r="448" spans="1:17">
      <c r="A448" s="14">
        <v>39370</v>
      </c>
      <c r="B448" s="8">
        <v>1087.607825769408</v>
      </c>
      <c r="F448" s="7"/>
      <c r="G448" s="7"/>
      <c r="M448" s="10"/>
      <c r="P448" s="11"/>
      <c r="Q448" s="12"/>
    </row>
    <row r="449" spans="1:17">
      <c r="A449" s="14">
        <v>39371</v>
      </c>
      <c r="B449" s="8">
        <v>1082.0090184310882</v>
      </c>
      <c r="F449" s="7"/>
      <c r="G449" s="7"/>
      <c r="M449" s="10"/>
      <c r="P449" s="11"/>
      <c r="Q449" s="12"/>
    </row>
    <row r="450" spans="1:17">
      <c r="A450" s="14">
        <v>39372</v>
      </c>
      <c r="B450" s="8">
        <v>1083.6254733077558</v>
      </c>
      <c r="F450" s="7"/>
      <c r="G450" s="7"/>
      <c r="M450" s="10"/>
      <c r="P450" s="11"/>
      <c r="Q450" s="12"/>
    </row>
    <row r="451" spans="1:17">
      <c r="A451" s="14">
        <v>39373</v>
      </c>
      <c r="B451" s="8">
        <v>1076.3452837465588</v>
      </c>
      <c r="F451" s="7"/>
      <c r="G451" s="7"/>
      <c r="M451" s="10"/>
      <c r="P451" s="11"/>
      <c r="Q451" s="12"/>
    </row>
    <row r="452" spans="1:17">
      <c r="A452" s="14">
        <v>39374</v>
      </c>
      <c r="B452" s="8">
        <v>1061.6139341946753</v>
      </c>
      <c r="F452" s="7"/>
      <c r="G452" s="7"/>
      <c r="M452" s="10"/>
      <c r="P452" s="11"/>
      <c r="Q452" s="12"/>
    </row>
    <row r="453" spans="1:17">
      <c r="A453" s="14">
        <v>39377</v>
      </c>
      <c r="B453" s="8">
        <v>1063.3120757490076</v>
      </c>
      <c r="F453" s="7"/>
      <c r="G453" s="7"/>
      <c r="M453" s="10"/>
      <c r="P453" s="11"/>
      <c r="Q453" s="12"/>
    </row>
    <row r="454" spans="1:17">
      <c r="A454" s="14">
        <v>39378</v>
      </c>
      <c r="B454" s="8">
        <v>1066.0485020367876</v>
      </c>
      <c r="F454" s="7"/>
      <c r="G454" s="7"/>
      <c r="M454" s="10"/>
      <c r="P454" s="11"/>
      <c r="Q454" s="12"/>
    </row>
    <row r="455" spans="1:17">
      <c r="A455" s="14">
        <v>39379</v>
      </c>
      <c r="B455" s="8">
        <v>1062.5460605217429</v>
      </c>
      <c r="F455" s="7"/>
      <c r="G455" s="7"/>
      <c r="M455" s="10"/>
      <c r="P455" s="11"/>
      <c r="Q455" s="12"/>
    </row>
    <row r="456" spans="1:17">
      <c r="A456" s="14">
        <v>39380</v>
      </c>
      <c r="B456" s="8">
        <v>1067.052727308537</v>
      </c>
      <c r="F456" s="7"/>
      <c r="G456" s="7"/>
      <c r="M456" s="10"/>
      <c r="P456" s="11"/>
      <c r="Q456" s="12"/>
    </row>
    <row r="457" spans="1:17">
      <c r="A457" s="14">
        <v>39381</v>
      </c>
      <c r="B457" s="8">
        <v>1073.8431180063139</v>
      </c>
      <c r="F457" s="7"/>
      <c r="G457" s="7"/>
      <c r="M457" s="10"/>
      <c r="P457" s="11"/>
      <c r="Q457" s="12"/>
    </row>
    <row r="458" spans="1:17">
      <c r="A458" s="14">
        <v>39384</v>
      </c>
      <c r="B458" s="8">
        <v>1078.3165357244181</v>
      </c>
      <c r="F458" s="7"/>
      <c r="G458" s="7"/>
      <c r="M458" s="10"/>
      <c r="P458" s="11"/>
      <c r="Q458" s="12"/>
    </row>
    <row r="459" spans="1:17">
      <c r="A459" s="14">
        <v>39385</v>
      </c>
      <c r="B459" s="8">
        <v>1073.4033240162346</v>
      </c>
      <c r="F459" s="7"/>
      <c r="G459" s="7"/>
      <c r="M459" s="10"/>
      <c r="P459" s="11"/>
      <c r="Q459" s="12"/>
    </row>
    <row r="460" spans="1:17">
      <c r="A460" s="14">
        <v>39386</v>
      </c>
      <c r="B460" s="8">
        <v>1082.0733846740948</v>
      </c>
      <c r="F460" s="7"/>
      <c r="G460" s="7"/>
      <c r="M460" s="10"/>
      <c r="P460" s="11"/>
      <c r="Q460" s="12"/>
    </row>
    <row r="461" spans="1:17">
      <c r="A461" s="14">
        <v>39387</v>
      </c>
      <c r="B461" s="8">
        <v>1058.6561576195122</v>
      </c>
      <c r="F461" s="7"/>
      <c r="G461" s="7"/>
      <c r="M461" s="10"/>
      <c r="P461" s="11"/>
      <c r="Q461" s="12"/>
    </row>
    <row r="462" spans="1:17">
      <c r="A462" s="14">
        <v>39388</v>
      </c>
      <c r="B462" s="8">
        <v>1055.3341590845962</v>
      </c>
      <c r="F462" s="7"/>
      <c r="G462" s="7"/>
      <c r="M462" s="10"/>
      <c r="P462" s="11"/>
      <c r="Q462" s="12"/>
    </row>
    <row r="463" spans="1:17">
      <c r="A463" s="14">
        <v>39391</v>
      </c>
      <c r="B463" s="8">
        <v>1050.7418384353557</v>
      </c>
      <c r="F463" s="7"/>
      <c r="G463" s="7"/>
      <c r="M463" s="10"/>
      <c r="P463" s="11"/>
      <c r="Q463" s="12"/>
    </row>
    <row r="464" spans="1:17">
      <c r="A464" s="14">
        <v>39392</v>
      </c>
      <c r="B464" s="8">
        <v>1055.4068162435126</v>
      </c>
      <c r="F464" s="7"/>
      <c r="G464" s="7"/>
      <c r="M464" s="10"/>
      <c r="P464" s="11"/>
      <c r="Q464" s="12"/>
    </row>
    <row r="465" spans="1:17">
      <c r="A465" s="14">
        <v>39393</v>
      </c>
      <c r="B465" s="8">
        <v>1031.85175308475</v>
      </c>
      <c r="F465" s="7"/>
      <c r="G465" s="7"/>
      <c r="M465" s="10"/>
      <c r="P465" s="11"/>
      <c r="Q465" s="12"/>
    </row>
    <row r="466" spans="1:17">
      <c r="A466" s="14">
        <v>39394</v>
      </c>
      <c r="B466" s="8">
        <v>1027.4067689647106</v>
      </c>
      <c r="F466" s="7"/>
      <c r="G466" s="7"/>
      <c r="M466" s="10"/>
      <c r="P466" s="11"/>
      <c r="Q466" s="12"/>
    </row>
    <row r="467" spans="1:17">
      <c r="A467" s="14">
        <v>39395</v>
      </c>
      <c r="B467" s="8">
        <v>1012.5358606465727</v>
      </c>
      <c r="F467" s="7"/>
      <c r="G467" s="7"/>
      <c r="M467" s="10"/>
      <c r="P467" s="11"/>
      <c r="Q467" s="12"/>
    </row>
    <row r="468" spans="1:17">
      <c r="A468" s="14">
        <v>39398</v>
      </c>
      <c r="B468" s="8">
        <v>1010.6533566056744</v>
      </c>
      <c r="F468" s="7"/>
      <c r="G468" s="7"/>
      <c r="M468" s="10"/>
      <c r="P468" s="11"/>
      <c r="Q468" s="12"/>
    </row>
    <row r="469" spans="1:17">
      <c r="A469" s="14">
        <v>39399</v>
      </c>
      <c r="B469" s="8">
        <v>1025.1001586558534</v>
      </c>
      <c r="F469" s="7"/>
      <c r="G469" s="7"/>
      <c r="M469" s="10"/>
      <c r="P469" s="11"/>
      <c r="Q469" s="12"/>
    </row>
    <row r="470" spans="1:17">
      <c r="A470" s="14">
        <v>39400</v>
      </c>
      <c r="B470" s="8">
        <v>1021.63388692555</v>
      </c>
      <c r="F470" s="7"/>
      <c r="G470" s="7"/>
      <c r="M470" s="10"/>
      <c r="P470" s="11"/>
      <c r="Q470" s="12"/>
    </row>
    <row r="471" spans="1:17">
      <c r="A471" s="14">
        <v>39401</v>
      </c>
      <c r="B471" s="8">
        <v>1011.1244873508335</v>
      </c>
      <c r="F471" s="7"/>
      <c r="G471" s="7"/>
      <c r="M471" s="10"/>
      <c r="P471" s="11"/>
      <c r="Q471" s="12"/>
    </row>
    <row r="472" spans="1:17">
      <c r="A472" s="14">
        <v>39402</v>
      </c>
      <c r="B472" s="8">
        <v>1008.7666080859318</v>
      </c>
      <c r="F472" s="7"/>
      <c r="G472" s="7"/>
      <c r="M472" s="10"/>
      <c r="P472" s="11"/>
      <c r="Q472" s="12"/>
    </row>
    <row r="473" spans="1:17">
      <c r="A473" s="14">
        <v>39405</v>
      </c>
      <c r="B473" s="8">
        <v>990.4307845703247</v>
      </c>
      <c r="F473" s="7"/>
      <c r="G473" s="7"/>
      <c r="M473" s="10"/>
      <c r="P473" s="11"/>
      <c r="Q473" s="12"/>
    </row>
    <row r="474" spans="1:17">
      <c r="A474" s="14">
        <v>39406</v>
      </c>
      <c r="B474" s="8">
        <v>993.00040971864973</v>
      </c>
      <c r="F474" s="7"/>
      <c r="G474" s="7"/>
      <c r="M474" s="10"/>
      <c r="P474" s="11"/>
      <c r="Q474" s="12"/>
    </row>
    <row r="475" spans="1:17">
      <c r="A475" s="14">
        <v>39407</v>
      </c>
      <c r="B475" s="8">
        <v>971.90623570720095</v>
      </c>
      <c r="F475" s="7"/>
      <c r="G475" s="7"/>
      <c r="M475" s="10"/>
      <c r="P475" s="11"/>
      <c r="Q475" s="12"/>
    </row>
    <row r="476" spans="1:17">
      <c r="A476" s="14">
        <v>39409</v>
      </c>
      <c r="B476" s="8">
        <v>990.9321168107125</v>
      </c>
      <c r="F476" s="7"/>
      <c r="G476" s="7"/>
      <c r="M476" s="10"/>
      <c r="P476" s="11"/>
      <c r="Q476" s="12"/>
    </row>
    <row r="477" spans="1:17">
      <c r="A477" s="14">
        <v>39412</v>
      </c>
      <c r="B477" s="8">
        <v>973.84835684764596</v>
      </c>
      <c r="F477" s="7"/>
      <c r="G477" s="7"/>
      <c r="M477" s="10"/>
      <c r="P477" s="11"/>
      <c r="Q477" s="12"/>
    </row>
    <row r="478" spans="1:17">
      <c r="A478" s="14">
        <v>39413</v>
      </c>
      <c r="B478" s="8">
        <v>981.00911584460243</v>
      </c>
      <c r="F478" s="7"/>
      <c r="G478" s="7"/>
      <c r="M478" s="10"/>
      <c r="P478" s="11"/>
      <c r="Q478" s="12"/>
    </row>
    <row r="479" spans="1:17">
      <c r="A479" s="14">
        <v>39414</v>
      </c>
      <c r="B479" s="8">
        <v>1010.7652541482938</v>
      </c>
      <c r="F479" s="7"/>
      <c r="G479" s="7"/>
      <c r="M479" s="10"/>
      <c r="P479" s="11"/>
      <c r="Q479" s="12"/>
    </row>
    <row r="480" spans="1:17">
      <c r="A480" s="14">
        <v>39415</v>
      </c>
      <c r="B480" s="8">
        <v>1012.7257722174901</v>
      </c>
      <c r="F480" s="7"/>
      <c r="G480" s="7"/>
      <c r="M480" s="10"/>
      <c r="P480" s="11"/>
      <c r="Q480" s="12"/>
    </row>
    <row r="481" spans="1:17">
      <c r="A481" s="14">
        <v>39416</v>
      </c>
      <c r="B481" s="8">
        <v>1026.0840935840911</v>
      </c>
      <c r="F481" s="7"/>
      <c r="G481" s="7"/>
      <c r="M481" s="10"/>
      <c r="P481" s="11"/>
      <c r="Q481" s="12"/>
    </row>
    <row r="482" spans="1:17">
      <c r="A482" s="14">
        <v>39419</v>
      </c>
      <c r="B482" s="8">
        <v>1020.9412809258679</v>
      </c>
      <c r="F482" s="7"/>
      <c r="G482" s="7"/>
      <c r="M482" s="10"/>
      <c r="P482" s="11"/>
      <c r="Q482" s="12"/>
    </row>
    <row r="483" spans="1:17">
      <c r="A483" s="14">
        <v>39420</v>
      </c>
      <c r="B483" s="8">
        <v>1009.8821287220853</v>
      </c>
      <c r="F483" s="7"/>
      <c r="G483" s="7"/>
      <c r="M483" s="10"/>
      <c r="P483" s="11"/>
      <c r="Q483" s="12"/>
    </row>
    <row r="484" spans="1:17">
      <c r="A484" s="14">
        <v>39421</v>
      </c>
      <c r="B484" s="8">
        <v>1030.2241345354062</v>
      </c>
      <c r="F484" s="7"/>
      <c r="G484" s="7"/>
      <c r="M484" s="10"/>
      <c r="P484" s="11"/>
      <c r="Q484" s="12"/>
    </row>
    <row r="485" spans="1:17">
      <c r="A485" s="14">
        <v>39422</v>
      </c>
      <c r="B485" s="8">
        <v>1040.3264137397005</v>
      </c>
      <c r="F485" s="7"/>
      <c r="G485" s="7"/>
      <c r="M485" s="10"/>
      <c r="P485" s="11"/>
      <c r="Q485" s="12"/>
    </row>
    <row r="486" spans="1:17">
      <c r="A486" s="14">
        <v>39423</v>
      </c>
      <c r="B486" s="8">
        <v>1044.2078833418823</v>
      </c>
      <c r="F486" s="7"/>
      <c r="G486" s="7"/>
      <c r="M486" s="10"/>
      <c r="P486" s="11"/>
      <c r="Q486" s="12"/>
    </row>
    <row r="487" spans="1:17">
      <c r="A487" s="14">
        <v>39426</v>
      </c>
      <c r="B487" s="8">
        <v>1049.1326528077338</v>
      </c>
      <c r="F487" s="7"/>
      <c r="G487" s="7"/>
      <c r="M487" s="10"/>
      <c r="P487" s="11"/>
      <c r="Q487" s="12"/>
    </row>
    <row r="488" spans="1:17">
      <c r="A488" s="14">
        <v>39427</v>
      </c>
      <c r="B488" s="8">
        <v>1029.2781926805856</v>
      </c>
      <c r="F488" s="7"/>
      <c r="G488" s="7"/>
      <c r="M488" s="10"/>
      <c r="P488" s="11"/>
      <c r="Q488" s="12"/>
    </row>
    <row r="489" spans="1:17">
      <c r="A489" s="14">
        <v>39428</v>
      </c>
      <c r="B489" s="8">
        <v>1035.584644840281</v>
      </c>
      <c r="F489" s="7"/>
      <c r="G489" s="7"/>
      <c r="M489" s="10"/>
      <c r="P489" s="11"/>
      <c r="Q489" s="12"/>
    </row>
    <row r="490" spans="1:17">
      <c r="A490" s="14">
        <v>39429</v>
      </c>
      <c r="B490" s="8">
        <v>1025.965572417055</v>
      </c>
      <c r="F490" s="7"/>
      <c r="G490" s="7"/>
      <c r="M490" s="10"/>
      <c r="P490" s="11"/>
      <c r="Q490" s="12"/>
    </row>
    <row r="491" spans="1:17">
      <c r="A491" s="14">
        <v>39430</v>
      </c>
      <c r="B491" s="8">
        <v>1024.8690012057702</v>
      </c>
      <c r="F491" s="7"/>
      <c r="G491" s="7"/>
      <c r="M491" s="10"/>
      <c r="P491" s="11"/>
      <c r="Q491" s="12"/>
    </row>
    <row r="492" spans="1:17">
      <c r="A492" s="14">
        <v>39433</v>
      </c>
      <c r="B492" s="8">
        <v>1010.5232975851635</v>
      </c>
      <c r="F492" s="7"/>
      <c r="G492" s="7"/>
      <c r="M492" s="10"/>
      <c r="P492" s="11"/>
      <c r="Q492" s="12"/>
    </row>
    <row r="493" spans="1:17">
      <c r="A493" s="14">
        <v>39434</v>
      </c>
      <c r="B493" s="8">
        <v>1012.6837276952091</v>
      </c>
      <c r="F493" s="7"/>
      <c r="G493" s="7"/>
      <c r="M493" s="10"/>
      <c r="P493" s="11"/>
      <c r="Q493" s="12"/>
    </row>
    <row r="494" spans="1:17">
      <c r="A494" s="14">
        <v>39435</v>
      </c>
      <c r="B494" s="8">
        <v>1012.3447342788419</v>
      </c>
      <c r="F494" s="7"/>
      <c r="G494" s="7"/>
      <c r="M494" s="10"/>
      <c r="P494" s="11"/>
      <c r="Q494" s="12"/>
    </row>
    <row r="495" spans="1:17">
      <c r="A495" s="14">
        <v>39436</v>
      </c>
      <c r="B495" s="8">
        <v>1016.4155753246931</v>
      </c>
      <c r="F495" s="7"/>
      <c r="G495" s="7"/>
      <c r="M495" s="10"/>
      <c r="P495" s="11"/>
      <c r="Q495" s="12"/>
    </row>
    <row r="496" spans="1:17">
      <c r="A496" s="14">
        <v>39437</v>
      </c>
      <c r="B496" s="8">
        <v>1032.6274733909315</v>
      </c>
      <c r="F496" s="7"/>
      <c r="G496" s="7"/>
      <c r="M496" s="10"/>
      <c r="P496" s="11"/>
      <c r="Q496" s="12"/>
    </row>
    <row r="497" spans="1:17">
      <c r="A497" s="14">
        <v>39440</v>
      </c>
      <c r="B497" s="8">
        <v>1035.9323158720642</v>
      </c>
      <c r="F497" s="7"/>
      <c r="G497" s="7"/>
      <c r="M497" s="10"/>
      <c r="P497" s="11"/>
      <c r="Q497" s="12"/>
    </row>
    <row r="498" spans="1:17">
      <c r="A498" s="14">
        <v>39443</v>
      </c>
      <c r="B498" s="8">
        <v>1020.0001702708432</v>
      </c>
      <c r="F498" s="7"/>
      <c r="G498" s="7"/>
      <c r="M498" s="10"/>
      <c r="P498" s="11"/>
      <c r="Q498" s="12"/>
    </row>
    <row r="499" spans="1:17">
      <c r="A499" s="14">
        <v>39444</v>
      </c>
      <c r="B499" s="8">
        <v>1016.375920697809</v>
      </c>
      <c r="F499" s="7"/>
      <c r="G499" s="7"/>
      <c r="M499" s="10"/>
      <c r="P499" s="11"/>
      <c r="Q499" s="12"/>
    </row>
    <row r="500" spans="1:17">
      <c r="A500" s="14">
        <v>39447</v>
      </c>
      <c r="B500" s="8">
        <v>1017.783058061583</v>
      </c>
      <c r="F500" s="7"/>
      <c r="G500" s="7"/>
      <c r="M500" s="10"/>
      <c r="P500" s="11"/>
      <c r="Q500" s="12"/>
    </row>
    <row r="501" spans="1:17">
      <c r="A501" s="14">
        <v>39449</v>
      </c>
      <c r="B501" s="8">
        <v>995.54270198395841</v>
      </c>
      <c r="F501" s="7"/>
      <c r="G501" s="7"/>
      <c r="M501" s="10"/>
      <c r="P501" s="11"/>
      <c r="Q501" s="12"/>
    </row>
    <row r="502" spans="1:17">
      <c r="A502" s="14">
        <v>39450</v>
      </c>
      <c r="B502" s="8">
        <v>989.87991350845152</v>
      </c>
      <c r="F502" s="7"/>
      <c r="G502" s="7"/>
      <c r="M502" s="10"/>
      <c r="P502" s="11"/>
      <c r="Q502" s="12"/>
    </row>
    <row r="503" spans="1:17">
      <c r="A503" s="14">
        <v>39451</v>
      </c>
      <c r="B503" s="8">
        <v>965.21769709573925</v>
      </c>
      <c r="F503" s="7"/>
      <c r="G503" s="7"/>
      <c r="M503" s="10"/>
      <c r="P503" s="11"/>
      <c r="Q503" s="12"/>
    </row>
    <row r="504" spans="1:17">
      <c r="A504" s="14">
        <v>39454</v>
      </c>
      <c r="B504" s="8">
        <v>969.16203888333655</v>
      </c>
      <c r="F504" s="7"/>
      <c r="G504" s="7"/>
      <c r="M504" s="10"/>
      <c r="P504" s="11"/>
      <c r="Q504" s="12"/>
    </row>
    <row r="505" spans="1:17">
      <c r="A505" s="14">
        <v>39455</v>
      </c>
      <c r="B505" s="8">
        <v>958.06717947389643</v>
      </c>
      <c r="F505" s="7"/>
      <c r="G505" s="7"/>
      <c r="M505" s="10"/>
      <c r="P505" s="11"/>
      <c r="Q505" s="12"/>
    </row>
    <row r="506" spans="1:17">
      <c r="A506" s="14">
        <v>39456</v>
      </c>
      <c r="B506" s="8">
        <v>960.04264133636923</v>
      </c>
      <c r="F506" s="7"/>
      <c r="G506" s="7"/>
      <c r="M506" s="10"/>
      <c r="P506" s="11"/>
      <c r="Q506" s="12"/>
    </row>
    <row r="507" spans="1:17">
      <c r="A507" s="14">
        <v>39457</v>
      </c>
      <c r="B507" s="8">
        <v>958.92195513617173</v>
      </c>
      <c r="F507" s="7"/>
      <c r="G507" s="7"/>
      <c r="M507" s="10"/>
      <c r="P507" s="11"/>
      <c r="Q507" s="12"/>
    </row>
    <row r="508" spans="1:17">
      <c r="A508" s="14">
        <v>39458</v>
      </c>
      <c r="B508" s="8">
        <v>950.10495454819795</v>
      </c>
      <c r="F508" s="7"/>
      <c r="G508" s="7"/>
      <c r="M508" s="10"/>
      <c r="P508" s="11"/>
      <c r="Q508" s="12"/>
    </row>
    <row r="509" spans="1:17">
      <c r="A509" s="14">
        <v>39461</v>
      </c>
      <c r="B509" s="8">
        <v>954.72063101788763</v>
      </c>
      <c r="F509" s="7"/>
      <c r="G509" s="7"/>
      <c r="M509" s="10"/>
      <c r="P509" s="11"/>
      <c r="Q509" s="12"/>
    </row>
    <row r="510" spans="1:17">
      <c r="A510" s="14">
        <v>39462</v>
      </c>
      <c r="B510" s="8">
        <v>929.63691250219654</v>
      </c>
      <c r="F510" s="7"/>
      <c r="G510" s="7"/>
      <c r="M510" s="10"/>
      <c r="P510" s="11"/>
      <c r="Q510" s="12"/>
    </row>
    <row r="511" spans="1:17">
      <c r="A511" s="14">
        <v>39463</v>
      </c>
      <c r="B511" s="8">
        <v>933.67889296806663</v>
      </c>
      <c r="F511" s="7"/>
      <c r="G511" s="7"/>
      <c r="M511" s="10"/>
      <c r="P511" s="11"/>
      <c r="Q511" s="12"/>
    </row>
    <row r="512" spans="1:17">
      <c r="A512" s="14">
        <v>39464</v>
      </c>
      <c r="B512" s="8">
        <v>912.56649152639886</v>
      </c>
      <c r="F512" s="7"/>
      <c r="G512" s="7"/>
      <c r="M512" s="10"/>
      <c r="P512" s="11"/>
      <c r="Q512" s="12"/>
    </row>
    <row r="513" spans="1:17">
      <c r="A513" s="14">
        <v>39465</v>
      </c>
      <c r="B513" s="8">
        <v>904.57498308238587</v>
      </c>
      <c r="F513" s="7"/>
      <c r="G513" s="7"/>
      <c r="M513" s="10"/>
      <c r="P513" s="11"/>
      <c r="Q513" s="12"/>
    </row>
    <row r="514" spans="1:17">
      <c r="A514" s="14">
        <v>39469</v>
      </c>
      <c r="B514" s="8">
        <v>875.67563088698182</v>
      </c>
      <c r="F514" s="7"/>
      <c r="G514" s="7"/>
      <c r="M514" s="10"/>
      <c r="P514" s="11"/>
      <c r="Q514" s="12"/>
    </row>
    <row r="515" spans="1:17">
      <c r="A515" s="14">
        <v>39470</v>
      </c>
      <c r="B515" s="8">
        <v>870.87275039731765</v>
      </c>
      <c r="F515" s="7"/>
      <c r="G515" s="7"/>
      <c r="M515" s="10"/>
      <c r="P515" s="11"/>
      <c r="Q515" s="12"/>
    </row>
    <row r="516" spans="1:17">
      <c r="A516" s="14">
        <v>39471</v>
      </c>
      <c r="B516" s="8">
        <v>898.66350157201009</v>
      </c>
      <c r="F516" s="7"/>
      <c r="G516" s="7"/>
      <c r="M516" s="10"/>
      <c r="P516" s="11"/>
      <c r="Q516" s="12"/>
    </row>
    <row r="517" spans="1:17">
      <c r="A517" s="14">
        <v>39472</v>
      </c>
      <c r="B517" s="8">
        <v>890.52591854897275</v>
      </c>
      <c r="F517" s="7"/>
      <c r="G517" s="7"/>
      <c r="M517" s="10"/>
      <c r="P517" s="11"/>
      <c r="Q517" s="12"/>
    </row>
    <row r="518" spans="1:17">
      <c r="A518" s="14">
        <v>39475</v>
      </c>
      <c r="B518" s="8">
        <v>895.5696596899445</v>
      </c>
      <c r="F518" s="7"/>
      <c r="G518" s="7"/>
      <c r="M518" s="10"/>
      <c r="P518" s="11"/>
      <c r="Q518" s="12"/>
    </row>
    <row r="519" spans="1:17">
      <c r="A519" s="14">
        <v>39476</v>
      </c>
      <c r="B519" s="8">
        <v>906.76442502542091</v>
      </c>
      <c r="F519" s="7"/>
      <c r="G519" s="7"/>
      <c r="M519" s="10"/>
      <c r="P519" s="11"/>
      <c r="Q519" s="12"/>
    </row>
    <row r="520" spans="1:17">
      <c r="A520" s="14">
        <v>39477</v>
      </c>
      <c r="B520" s="8">
        <v>900.61863899938271</v>
      </c>
      <c r="F520" s="7"/>
      <c r="G520" s="7"/>
      <c r="M520" s="10"/>
      <c r="P520" s="11"/>
      <c r="Q520" s="12"/>
    </row>
    <row r="521" spans="1:17">
      <c r="A521" s="14">
        <v>39478</v>
      </c>
      <c r="B521" s="8">
        <v>908.79797747441694</v>
      </c>
      <c r="F521" s="7"/>
      <c r="G521" s="7"/>
      <c r="M521" s="10"/>
      <c r="P521" s="11"/>
      <c r="Q521" s="12"/>
    </row>
    <row r="522" spans="1:17">
      <c r="A522" s="14">
        <v>39479</v>
      </c>
      <c r="B522" s="8">
        <v>929.75317201913288</v>
      </c>
      <c r="F522" s="7"/>
      <c r="G522" s="7"/>
      <c r="M522" s="10"/>
      <c r="P522" s="11"/>
      <c r="Q522" s="12"/>
    </row>
    <row r="523" spans="1:17">
      <c r="A523" s="14">
        <v>39482</v>
      </c>
      <c r="B523" s="8">
        <v>921.77481433625246</v>
      </c>
      <c r="F523" s="7"/>
      <c r="G523" s="7"/>
      <c r="M523" s="10"/>
      <c r="P523" s="11"/>
      <c r="Q523" s="12"/>
    </row>
    <row r="524" spans="1:17">
      <c r="A524" s="14">
        <v>39483</v>
      </c>
      <c r="B524" s="8">
        <v>892.7279590245505</v>
      </c>
      <c r="F524" s="7"/>
      <c r="G524" s="7"/>
      <c r="M524" s="10"/>
      <c r="P524" s="11"/>
      <c r="Q524" s="12"/>
    </row>
    <row r="525" spans="1:17">
      <c r="A525" s="14">
        <v>39484</v>
      </c>
      <c r="B525" s="8">
        <v>894.73750217102452</v>
      </c>
      <c r="F525" s="7"/>
      <c r="G525" s="7"/>
      <c r="M525" s="10"/>
      <c r="P525" s="11"/>
      <c r="Q525" s="12"/>
    </row>
    <row r="526" spans="1:17">
      <c r="A526" s="14">
        <v>39485</v>
      </c>
      <c r="B526" s="8">
        <v>896.29142266515146</v>
      </c>
      <c r="F526" s="7"/>
      <c r="G526" s="7"/>
      <c r="M526" s="10"/>
      <c r="P526" s="11"/>
      <c r="Q526" s="12"/>
    </row>
    <row r="527" spans="1:17">
      <c r="A527" s="14">
        <v>39486</v>
      </c>
      <c r="B527" s="8">
        <v>892.53203861307907</v>
      </c>
      <c r="F527" s="7"/>
      <c r="G527" s="7"/>
      <c r="M527" s="10"/>
      <c r="P527" s="11"/>
      <c r="Q527" s="12"/>
    </row>
    <row r="528" spans="1:17">
      <c r="A528" s="14">
        <v>39489</v>
      </c>
      <c r="B528" s="8">
        <v>892.48569208417268</v>
      </c>
      <c r="F528" s="7"/>
      <c r="G528" s="7"/>
      <c r="M528" s="10"/>
      <c r="P528" s="11"/>
      <c r="Q528" s="12"/>
    </row>
    <row r="529" spans="1:17">
      <c r="A529" s="14">
        <v>39490</v>
      </c>
      <c r="B529" s="8">
        <v>907.95403540638165</v>
      </c>
      <c r="F529" s="7"/>
      <c r="G529" s="7"/>
      <c r="M529" s="10"/>
      <c r="P529" s="11"/>
      <c r="Q529" s="12"/>
    </row>
    <row r="530" spans="1:17">
      <c r="A530" s="14">
        <v>39491</v>
      </c>
      <c r="B530" s="8">
        <v>914.65691277303176</v>
      </c>
      <c r="F530" s="7"/>
      <c r="G530" s="7"/>
      <c r="M530" s="10"/>
      <c r="P530" s="11"/>
      <c r="Q530" s="12"/>
    </row>
    <row r="531" spans="1:17">
      <c r="A531" s="14">
        <v>39492</v>
      </c>
      <c r="B531" s="8">
        <v>903.95826728333168</v>
      </c>
      <c r="F531" s="7"/>
      <c r="G531" s="7"/>
      <c r="M531" s="10"/>
      <c r="P531" s="11"/>
      <c r="Q531" s="12"/>
    </row>
    <row r="532" spans="1:17">
      <c r="A532" s="14">
        <v>39493</v>
      </c>
      <c r="B532" s="8">
        <v>893.2911227518274</v>
      </c>
      <c r="F532" s="7"/>
      <c r="G532" s="7"/>
      <c r="M532" s="10"/>
      <c r="P532" s="11"/>
      <c r="Q532" s="12"/>
    </row>
    <row r="533" spans="1:17">
      <c r="A533" s="14">
        <v>39497</v>
      </c>
      <c r="B533" s="8">
        <v>900.36719877359155</v>
      </c>
      <c r="F533" s="7"/>
      <c r="G533" s="7"/>
      <c r="M533" s="10"/>
      <c r="P533" s="11"/>
      <c r="Q533" s="12"/>
    </row>
    <row r="534" spans="1:17">
      <c r="A534" s="14">
        <v>39498</v>
      </c>
      <c r="B534" s="8">
        <v>901.23459496957207</v>
      </c>
      <c r="F534" s="7"/>
      <c r="G534" s="7"/>
      <c r="M534" s="10"/>
      <c r="P534" s="11"/>
      <c r="Q534" s="12"/>
    </row>
    <row r="535" spans="1:17">
      <c r="A535" s="14">
        <v>39499</v>
      </c>
      <c r="B535" s="8">
        <v>893.08709670841677</v>
      </c>
      <c r="F535" s="7"/>
      <c r="G535" s="7"/>
      <c r="M535" s="10"/>
      <c r="P535" s="11"/>
      <c r="Q535" s="12"/>
    </row>
    <row r="536" spans="1:17">
      <c r="A536" s="14">
        <v>39500</v>
      </c>
      <c r="B536" s="8">
        <v>891.70077374359187</v>
      </c>
      <c r="F536" s="7"/>
      <c r="G536" s="7"/>
      <c r="M536" s="10"/>
      <c r="P536" s="11"/>
      <c r="Q536" s="12"/>
    </row>
    <row r="537" spans="1:17">
      <c r="A537" s="14">
        <v>39503</v>
      </c>
      <c r="B537" s="8">
        <v>907.29950592588159</v>
      </c>
      <c r="F537" s="7"/>
      <c r="G537" s="7"/>
      <c r="M537" s="10"/>
      <c r="P537" s="11"/>
      <c r="Q537" s="12"/>
    </row>
    <row r="538" spans="1:17">
      <c r="A538" s="14">
        <v>39504</v>
      </c>
      <c r="B538" s="8">
        <v>915.98213718199997</v>
      </c>
      <c r="F538" s="7"/>
      <c r="G538" s="7"/>
      <c r="M538" s="10"/>
      <c r="P538" s="11"/>
      <c r="Q538" s="12"/>
    </row>
    <row r="539" spans="1:17">
      <c r="A539" s="14">
        <v>39505</v>
      </c>
      <c r="B539" s="8">
        <v>907.48906159303283</v>
      </c>
      <c r="F539" s="7"/>
      <c r="G539" s="7"/>
      <c r="M539" s="10"/>
      <c r="P539" s="11"/>
      <c r="Q539" s="12"/>
    </row>
    <row r="540" spans="1:17">
      <c r="A540" s="14">
        <v>39506</v>
      </c>
      <c r="B540" s="8">
        <v>888.27332324121744</v>
      </c>
      <c r="F540" s="7"/>
      <c r="G540" s="7"/>
      <c r="M540" s="10"/>
      <c r="P540" s="11"/>
      <c r="Q540" s="12"/>
    </row>
    <row r="541" spans="1:17">
      <c r="A541" s="14">
        <v>39507</v>
      </c>
      <c r="B541" s="8">
        <v>867.32157173744145</v>
      </c>
      <c r="F541" s="7"/>
      <c r="G541" s="7"/>
      <c r="M541" s="10"/>
      <c r="P541" s="11"/>
      <c r="Q541" s="12"/>
    </row>
    <row r="542" spans="1:17">
      <c r="A542" s="14">
        <v>39510</v>
      </c>
      <c r="B542" s="8">
        <v>861.3639438429102</v>
      </c>
      <c r="F542" s="7"/>
      <c r="G542" s="7"/>
      <c r="M542" s="10"/>
      <c r="P542" s="11"/>
      <c r="Q542" s="12"/>
    </row>
    <row r="543" spans="1:17">
      <c r="A543" s="14">
        <v>39511</v>
      </c>
      <c r="B543" s="8">
        <v>851.12520014353504</v>
      </c>
      <c r="F543" s="7"/>
      <c r="G543" s="7"/>
      <c r="M543" s="10"/>
      <c r="P543" s="11"/>
      <c r="Q543" s="12"/>
    </row>
    <row r="544" spans="1:17">
      <c r="A544" s="14">
        <v>39512</v>
      </c>
      <c r="B544" s="8">
        <v>861.29700823116434</v>
      </c>
      <c r="F544" s="7"/>
      <c r="G544" s="7"/>
      <c r="M544" s="10"/>
      <c r="P544" s="11"/>
      <c r="Q544" s="12"/>
    </row>
    <row r="545" spans="1:17">
      <c r="A545" s="14">
        <v>39513</v>
      </c>
      <c r="B545" s="8">
        <v>837.51428366248433</v>
      </c>
      <c r="F545" s="7"/>
      <c r="G545" s="7"/>
      <c r="M545" s="10"/>
      <c r="P545" s="11"/>
      <c r="Q545" s="12"/>
    </row>
    <row r="546" spans="1:17">
      <c r="A546" s="14">
        <v>39514</v>
      </c>
      <c r="B546" s="8">
        <v>830.1046654580598</v>
      </c>
      <c r="F546" s="7"/>
      <c r="G546" s="7"/>
      <c r="M546" s="10"/>
      <c r="P546" s="11"/>
      <c r="Q546" s="12"/>
    </row>
    <row r="547" spans="1:17">
      <c r="A547" s="14">
        <v>39517</v>
      </c>
      <c r="B547" s="8">
        <v>817.6984018558378</v>
      </c>
      <c r="F547" s="7"/>
      <c r="G547" s="7"/>
      <c r="M547" s="10"/>
      <c r="P547" s="11"/>
      <c r="Q547" s="12"/>
    </row>
    <row r="548" spans="1:17">
      <c r="A548" s="14">
        <v>39518</v>
      </c>
      <c r="B548" s="8">
        <v>842.76221208905906</v>
      </c>
      <c r="F548" s="7"/>
      <c r="G548" s="7"/>
      <c r="M548" s="10"/>
      <c r="P548" s="11"/>
      <c r="Q548" s="12"/>
    </row>
    <row r="549" spans="1:17">
      <c r="A549" s="14">
        <v>39519</v>
      </c>
      <c r="B549" s="8">
        <v>838.14001943966912</v>
      </c>
      <c r="F549" s="7"/>
      <c r="G549" s="7"/>
      <c r="M549" s="10"/>
      <c r="P549" s="11"/>
      <c r="Q549" s="12"/>
    </row>
    <row r="550" spans="1:17">
      <c r="A550" s="14">
        <v>39520</v>
      </c>
      <c r="B550" s="8">
        <v>834.2333940832533</v>
      </c>
      <c r="F550" s="7"/>
      <c r="G550" s="7"/>
      <c r="M550" s="10"/>
      <c r="P550" s="11"/>
      <c r="Q550" s="12"/>
    </row>
    <row r="551" spans="1:17">
      <c r="A551" s="14">
        <v>39521</v>
      </c>
      <c r="B551" s="8">
        <v>818.72520861180158</v>
      </c>
      <c r="F551" s="7"/>
      <c r="G551" s="7"/>
      <c r="M551" s="10"/>
      <c r="P551" s="11"/>
      <c r="Q551" s="12"/>
    </row>
    <row r="552" spans="1:17">
      <c r="A552" s="14">
        <v>39524</v>
      </c>
      <c r="B552" s="8">
        <v>793.19307196354509</v>
      </c>
      <c r="F552" s="7"/>
      <c r="G552" s="7"/>
      <c r="M552" s="10"/>
      <c r="P552" s="11"/>
      <c r="Q552" s="12"/>
    </row>
    <row r="553" spans="1:17">
      <c r="A553" s="14">
        <v>39525</v>
      </c>
      <c r="B553" s="8">
        <v>825.35169282351592</v>
      </c>
      <c r="F553" s="7"/>
      <c r="G553" s="7"/>
      <c r="M553" s="10"/>
      <c r="P553" s="11"/>
      <c r="Q553" s="12"/>
    </row>
    <row r="554" spans="1:17">
      <c r="A554" s="14">
        <v>39526</v>
      </c>
      <c r="B554" s="8">
        <v>816.08274007915327</v>
      </c>
      <c r="F554" s="7"/>
      <c r="G554" s="7"/>
      <c r="M554" s="10"/>
      <c r="P554" s="11"/>
      <c r="Q554" s="12"/>
    </row>
    <row r="555" spans="1:17">
      <c r="A555" s="14">
        <v>39527</v>
      </c>
      <c r="B555" s="8">
        <v>831.05830400456693</v>
      </c>
      <c r="F555" s="7"/>
      <c r="G555" s="7"/>
      <c r="M555" s="10"/>
      <c r="P555" s="11"/>
      <c r="Q555" s="12"/>
    </row>
    <row r="556" spans="1:17">
      <c r="A556" s="14">
        <v>39532</v>
      </c>
      <c r="B556" s="8">
        <v>855.61140752017809</v>
      </c>
      <c r="F556" s="7"/>
      <c r="G556" s="7"/>
      <c r="M556" s="10"/>
      <c r="P556" s="11"/>
      <c r="Q556" s="12"/>
    </row>
    <row r="557" spans="1:17">
      <c r="A557" s="14">
        <v>39533</v>
      </c>
      <c r="B557" s="8">
        <v>840.81974730455693</v>
      </c>
      <c r="F557" s="7"/>
      <c r="G557" s="7"/>
      <c r="M557" s="10"/>
      <c r="P557" s="11"/>
      <c r="Q557" s="12"/>
    </row>
    <row r="558" spans="1:17">
      <c r="A558" s="14">
        <v>39534</v>
      </c>
      <c r="B558" s="8">
        <v>839.6786770347162</v>
      </c>
      <c r="F558" s="7"/>
      <c r="G558" s="7"/>
      <c r="M558" s="10"/>
      <c r="P558" s="11"/>
      <c r="Q558" s="12"/>
    </row>
    <row r="559" spans="1:17">
      <c r="A559" s="14">
        <v>39535</v>
      </c>
      <c r="B559" s="8">
        <v>834.07663354692409</v>
      </c>
      <c r="F559" s="7"/>
      <c r="G559" s="7"/>
      <c r="M559" s="10"/>
      <c r="P559" s="11"/>
      <c r="Q559" s="12"/>
    </row>
    <row r="560" spans="1:17">
      <c r="A560" s="14">
        <v>39538</v>
      </c>
      <c r="B560" s="8">
        <v>834.94606264855793</v>
      </c>
      <c r="F560" s="7"/>
      <c r="G560" s="7"/>
      <c r="M560" s="10"/>
      <c r="P560" s="11"/>
      <c r="Q560" s="12"/>
    </row>
    <row r="561" spans="1:17">
      <c r="A561" s="14">
        <v>39539</v>
      </c>
      <c r="B561" s="8">
        <v>873.50160877488759</v>
      </c>
      <c r="F561" s="7"/>
      <c r="G561" s="7"/>
      <c r="M561" s="10"/>
      <c r="P561" s="11"/>
      <c r="Q561" s="12"/>
    </row>
    <row r="562" spans="1:17">
      <c r="A562" s="14">
        <v>39540</v>
      </c>
      <c r="B562" s="8">
        <v>878.48839575808654</v>
      </c>
      <c r="F562" s="7"/>
      <c r="G562" s="7"/>
      <c r="M562" s="10"/>
      <c r="P562" s="11"/>
      <c r="Q562" s="12"/>
    </row>
    <row r="563" spans="1:17">
      <c r="A563" s="14">
        <v>39541</v>
      </c>
      <c r="B563" s="8">
        <v>875.76744163293836</v>
      </c>
      <c r="F563" s="7"/>
      <c r="G563" s="7"/>
      <c r="M563" s="10"/>
      <c r="P563" s="11"/>
      <c r="Q563" s="12"/>
    </row>
    <row r="564" spans="1:17">
      <c r="A564" s="14">
        <v>39542</v>
      </c>
      <c r="B564" s="8">
        <v>877.35720016088692</v>
      </c>
      <c r="F564" s="7"/>
      <c r="G564" s="7"/>
      <c r="M564" s="10"/>
      <c r="P564" s="11"/>
      <c r="Q564" s="12"/>
    </row>
    <row r="565" spans="1:17">
      <c r="A565" s="14">
        <v>39545</v>
      </c>
      <c r="B565" s="8">
        <v>881.79241655584906</v>
      </c>
      <c r="F565" s="7"/>
      <c r="G565" s="7"/>
      <c r="M565" s="10"/>
      <c r="P565" s="11"/>
      <c r="Q565" s="12"/>
    </row>
    <row r="566" spans="1:17">
      <c r="A566" s="14">
        <v>39546</v>
      </c>
      <c r="B566" s="8">
        <v>875.50444984104433</v>
      </c>
      <c r="F566" s="7"/>
      <c r="G566" s="7"/>
      <c r="M566" s="10"/>
      <c r="P566" s="11"/>
      <c r="Q566" s="12"/>
    </row>
    <row r="567" spans="1:17">
      <c r="A567" s="14">
        <v>39547</v>
      </c>
      <c r="B567" s="8">
        <v>860.23938852734034</v>
      </c>
      <c r="F567" s="7"/>
      <c r="G567" s="7"/>
      <c r="M567" s="10"/>
      <c r="P567" s="11"/>
      <c r="Q567" s="12"/>
    </row>
    <row r="568" spans="1:17">
      <c r="A568" s="14">
        <v>39548</v>
      </c>
      <c r="B568" s="8">
        <v>863.09414138147315</v>
      </c>
      <c r="F568" s="7"/>
      <c r="G568" s="7"/>
      <c r="M568" s="10"/>
      <c r="P568" s="11"/>
      <c r="Q568" s="12"/>
    </row>
    <row r="569" spans="1:17">
      <c r="A569" s="14">
        <v>39549</v>
      </c>
      <c r="B569" s="8">
        <v>846.10912836534521</v>
      </c>
      <c r="F569" s="7"/>
      <c r="G569" s="7"/>
      <c r="M569" s="10"/>
      <c r="P569" s="11"/>
      <c r="Q569" s="12"/>
    </row>
    <row r="570" spans="1:17">
      <c r="A570" s="14">
        <v>39552</v>
      </c>
      <c r="B570" s="8">
        <v>839.6677137906803</v>
      </c>
      <c r="F570" s="7"/>
      <c r="G570" s="7"/>
      <c r="M570" s="10"/>
      <c r="P570" s="11"/>
      <c r="Q570" s="12"/>
    </row>
    <row r="571" spans="1:17">
      <c r="A571" s="14">
        <v>39553</v>
      </c>
      <c r="B571" s="8">
        <v>844.60961896407332</v>
      </c>
      <c r="F571" s="7"/>
      <c r="G571" s="7"/>
      <c r="M571" s="10"/>
      <c r="P571" s="11"/>
      <c r="Q571" s="12"/>
    </row>
    <row r="572" spans="1:17">
      <c r="A572" s="14">
        <v>39554</v>
      </c>
      <c r="B572" s="8">
        <v>857.42291940510495</v>
      </c>
      <c r="F572" s="7"/>
      <c r="G572" s="7"/>
      <c r="M572" s="10"/>
      <c r="P572" s="11"/>
      <c r="Q572" s="12"/>
    </row>
    <row r="573" spans="1:17">
      <c r="A573" s="14">
        <v>39555</v>
      </c>
      <c r="B573" s="8">
        <v>858.48610923553315</v>
      </c>
      <c r="F573" s="7"/>
      <c r="G573" s="7"/>
      <c r="M573" s="10"/>
      <c r="P573" s="11"/>
      <c r="Q573" s="12"/>
    </row>
    <row r="574" spans="1:17">
      <c r="A574" s="14">
        <v>39556</v>
      </c>
      <c r="B574" s="8">
        <v>882.80798180947943</v>
      </c>
      <c r="F574" s="7"/>
      <c r="G574" s="7"/>
      <c r="M574" s="10"/>
      <c r="P574" s="11"/>
      <c r="Q574" s="12"/>
    </row>
    <row r="575" spans="1:17">
      <c r="A575" s="14">
        <v>39559</v>
      </c>
      <c r="B575" s="8">
        <v>871.36095997186032</v>
      </c>
      <c r="F575" s="7"/>
      <c r="G575" s="7"/>
      <c r="M575" s="10"/>
      <c r="P575" s="11"/>
      <c r="Q575" s="12"/>
    </row>
    <row r="576" spans="1:17">
      <c r="A576" s="14">
        <v>39560</v>
      </c>
      <c r="B576" s="8">
        <v>857.04215810095809</v>
      </c>
      <c r="F576" s="7"/>
      <c r="G576" s="7"/>
      <c r="M576" s="10"/>
      <c r="P576" s="11"/>
      <c r="Q576" s="12"/>
    </row>
    <row r="577" spans="1:17">
      <c r="A577" s="14">
        <v>39561</v>
      </c>
      <c r="B577" s="8">
        <v>864.34031348306996</v>
      </c>
      <c r="F577" s="7"/>
      <c r="G577" s="7"/>
      <c r="M577" s="10"/>
      <c r="P577" s="11"/>
      <c r="Q577" s="12"/>
    </row>
    <row r="578" spans="1:17">
      <c r="A578" s="14">
        <v>39562</v>
      </c>
      <c r="B578" s="8">
        <v>876.22133864363093</v>
      </c>
      <c r="F578" s="7"/>
      <c r="G578" s="7"/>
      <c r="M578" s="10"/>
      <c r="P578" s="11"/>
      <c r="Q578" s="12"/>
    </row>
    <row r="579" spans="1:17">
      <c r="A579" s="14">
        <v>39563</v>
      </c>
      <c r="B579" s="8">
        <v>887.89485833399272</v>
      </c>
      <c r="F579" s="7"/>
      <c r="G579" s="7"/>
      <c r="M579" s="10"/>
      <c r="P579" s="11"/>
      <c r="Q579" s="12"/>
    </row>
    <row r="580" spans="1:17">
      <c r="A580" s="14">
        <v>39566</v>
      </c>
      <c r="B580" s="8">
        <v>889.67858051041105</v>
      </c>
      <c r="F580" s="7"/>
      <c r="G580" s="7"/>
      <c r="M580" s="10"/>
      <c r="P580" s="11"/>
      <c r="Q580" s="12"/>
    </row>
    <row r="581" spans="1:17">
      <c r="A581" s="14">
        <v>39567</v>
      </c>
      <c r="B581" s="8">
        <v>886.73007542338098</v>
      </c>
      <c r="F581" s="7"/>
      <c r="G581" s="7"/>
      <c r="M581" s="10"/>
      <c r="P581" s="11"/>
      <c r="Q581" s="12"/>
    </row>
    <row r="582" spans="1:17">
      <c r="A582" s="14">
        <v>39568</v>
      </c>
      <c r="B582" s="8">
        <v>886.86838299141107</v>
      </c>
      <c r="F582" s="7"/>
      <c r="G582" s="7"/>
      <c r="M582" s="10"/>
      <c r="P582" s="11"/>
      <c r="Q582" s="12"/>
    </row>
    <row r="583" spans="1:17">
      <c r="A583" s="14">
        <v>39570</v>
      </c>
      <c r="B583" s="8">
        <v>911.56713854718487</v>
      </c>
      <c r="F583" s="7"/>
      <c r="G583" s="7"/>
      <c r="M583" s="10"/>
      <c r="P583" s="11"/>
      <c r="Q583" s="12"/>
    </row>
    <row r="584" spans="1:17">
      <c r="A584" s="14">
        <v>39573</v>
      </c>
      <c r="B584" s="8">
        <v>905.55092616450486</v>
      </c>
      <c r="F584" s="7"/>
      <c r="G584" s="7"/>
      <c r="M584" s="10"/>
      <c r="P584" s="11"/>
      <c r="Q584" s="12"/>
    </row>
    <row r="585" spans="1:17">
      <c r="A585" s="14">
        <v>39574</v>
      </c>
      <c r="B585" s="8">
        <v>904.98146946309157</v>
      </c>
      <c r="F585" s="7"/>
      <c r="G585" s="7"/>
      <c r="M585" s="10"/>
      <c r="P585" s="11"/>
      <c r="Q585" s="12"/>
    </row>
    <row r="586" spans="1:17">
      <c r="A586" s="14">
        <v>39575</v>
      </c>
      <c r="B586" s="8">
        <v>904.16025551810981</v>
      </c>
      <c r="F586" s="7"/>
      <c r="G586" s="7"/>
      <c r="M586" s="10"/>
      <c r="P586" s="11"/>
      <c r="Q586" s="12"/>
    </row>
    <row r="587" spans="1:17">
      <c r="A587" s="14">
        <v>39576</v>
      </c>
      <c r="B587" s="8">
        <v>902.38180470640441</v>
      </c>
      <c r="F587" s="7"/>
      <c r="G587" s="7"/>
      <c r="M587" s="10"/>
      <c r="P587" s="11"/>
      <c r="Q587" s="12"/>
    </row>
    <row r="588" spans="1:17">
      <c r="A588" s="14">
        <v>39577</v>
      </c>
      <c r="B588" s="8">
        <v>893.17741224973099</v>
      </c>
      <c r="F588" s="7"/>
      <c r="G588" s="7"/>
      <c r="M588" s="10"/>
      <c r="P588" s="11"/>
      <c r="Q588" s="12"/>
    </row>
    <row r="589" spans="1:17">
      <c r="A589" s="14">
        <v>39580</v>
      </c>
      <c r="B589" s="8">
        <v>898.34665987911171</v>
      </c>
      <c r="F589" s="7"/>
      <c r="G589" s="7"/>
      <c r="M589" s="10"/>
      <c r="P589" s="11"/>
      <c r="Q589" s="12"/>
    </row>
    <row r="590" spans="1:17">
      <c r="A590" s="14">
        <v>39581</v>
      </c>
      <c r="B590" s="8">
        <v>901.357760154056</v>
      </c>
      <c r="F590" s="7"/>
      <c r="G590" s="7"/>
      <c r="M590" s="10"/>
      <c r="P590" s="11"/>
      <c r="Q590" s="12"/>
    </row>
    <row r="591" spans="1:17">
      <c r="A591" s="14">
        <v>39582</v>
      </c>
      <c r="B591" s="8">
        <v>910.99067225707847</v>
      </c>
      <c r="F591" s="7"/>
      <c r="G591" s="7"/>
      <c r="M591" s="10"/>
      <c r="P591" s="11"/>
      <c r="Q591" s="12"/>
    </row>
    <row r="592" spans="1:17">
      <c r="A592" s="14">
        <v>39583</v>
      </c>
      <c r="B592" s="8">
        <v>918.15018576006958</v>
      </c>
      <c r="F592" s="7"/>
      <c r="G592" s="7"/>
      <c r="M592" s="10"/>
      <c r="P592" s="11"/>
      <c r="Q592" s="12"/>
    </row>
    <row r="593" spans="1:17">
      <c r="A593" s="14">
        <v>39584</v>
      </c>
      <c r="B593" s="8">
        <v>915.22197468349691</v>
      </c>
      <c r="F593" s="7"/>
      <c r="G593" s="7"/>
      <c r="M593" s="10"/>
      <c r="P593" s="11"/>
      <c r="Q593" s="12"/>
    </row>
    <row r="594" spans="1:17">
      <c r="A594" s="14">
        <v>39587</v>
      </c>
      <c r="B594" s="8">
        <v>920.33021805181602</v>
      </c>
      <c r="F594" s="7"/>
      <c r="G594" s="7"/>
      <c r="M594" s="10"/>
      <c r="P594" s="11"/>
      <c r="Q594" s="12"/>
    </row>
    <row r="595" spans="1:17">
      <c r="A595" s="14">
        <v>39588</v>
      </c>
      <c r="B595" s="8">
        <v>903.21263257944292</v>
      </c>
      <c r="F595" s="7"/>
      <c r="G595" s="7"/>
      <c r="M595" s="10"/>
      <c r="P595" s="11"/>
      <c r="Q595" s="12"/>
    </row>
    <row r="596" spans="1:17">
      <c r="A596" s="14">
        <v>39589</v>
      </c>
      <c r="B596" s="8">
        <v>888.55769307156436</v>
      </c>
      <c r="F596" s="7"/>
      <c r="G596" s="7"/>
      <c r="M596" s="10"/>
      <c r="P596" s="11"/>
      <c r="Q596" s="12"/>
    </row>
    <row r="597" spans="1:17">
      <c r="A597" s="14">
        <v>39590</v>
      </c>
      <c r="B597" s="8">
        <v>891.72284738444671</v>
      </c>
      <c r="F597" s="7"/>
      <c r="G597" s="7"/>
      <c r="M597" s="10"/>
      <c r="P597" s="11"/>
      <c r="Q597" s="12"/>
    </row>
    <row r="598" spans="1:17">
      <c r="A598" s="14">
        <v>39591</v>
      </c>
      <c r="B598" s="8">
        <v>874.26746983501505</v>
      </c>
      <c r="F598" s="7"/>
      <c r="G598" s="7"/>
      <c r="M598" s="10"/>
      <c r="P598" s="11"/>
      <c r="Q598" s="12"/>
    </row>
    <row r="599" spans="1:17">
      <c r="A599" s="14">
        <v>39595</v>
      </c>
      <c r="B599" s="8">
        <v>879.53304671063961</v>
      </c>
      <c r="F599" s="7"/>
      <c r="G599" s="7"/>
      <c r="M599" s="10"/>
      <c r="P599" s="11"/>
      <c r="Q599" s="12"/>
    </row>
    <row r="600" spans="1:17">
      <c r="A600" s="14">
        <v>39596</v>
      </c>
      <c r="B600" s="8">
        <v>889.88207985945348</v>
      </c>
      <c r="F600" s="7"/>
      <c r="G600" s="7"/>
      <c r="M600" s="10"/>
      <c r="P600" s="11"/>
      <c r="Q600" s="12"/>
    </row>
    <row r="601" spans="1:17">
      <c r="A601" s="14">
        <v>39597</v>
      </c>
      <c r="B601" s="8">
        <v>897.81760148208309</v>
      </c>
      <c r="F601" s="7"/>
      <c r="G601" s="7"/>
      <c r="M601" s="10"/>
      <c r="P601" s="11"/>
      <c r="Q601" s="12"/>
    </row>
    <row r="602" spans="1:17">
      <c r="A602" s="14">
        <v>39598</v>
      </c>
      <c r="B602" s="8">
        <v>901.24761426836301</v>
      </c>
      <c r="F602" s="7"/>
      <c r="G602" s="7"/>
      <c r="M602" s="10"/>
      <c r="P602" s="11"/>
      <c r="Q602" s="12"/>
    </row>
    <row r="603" spans="1:17">
      <c r="A603" s="14">
        <v>39601</v>
      </c>
      <c r="B603" s="8">
        <v>887.72888127041153</v>
      </c>
      <c r="F603" s="7"/>
      <c r="G603" s="7"/>
      <c r="M603" s="10"/>
      <c r="P603" s="11"/>
      <c r="Q603" s="12"/>
    </row>
    <row r="604" spans="1:17">
      <c r="A604" s="14">
        <v>39602</v>
      </c>
      <c r="B604" s="8">
        <v>892.67825037910791</v>
      </c>
      <c r="F604" s="7"/>
      <c r="G604" s="7"/>
      <c r="M604" s="10"/>
      <c r="P604" s="11"/>
      <c r="Q604" s="12"/>
    </row>
    <row r="605" spans="1:17">
      <c r="A605" s="14">
        <v>39603</v>
      </c>
      <c r="B605" s="8">
        <v>888.73123078318122</v>
      </c>
      <c r="F605" s="7"/>
      <c r="G605" s="7"/>
      <c r="M605" s="10"/>
      <c r="P605" s="11"/>
      <c r="Q605" s="12"/>
    </row>
    <row r="606" spans="1:17">
      <c r="A606" s="14">
        <v>39604</v>
      </c>
      <c r="B606" s="8">
        <v>891.10289584228167</v>
      </c>
      <c r="F606" s="7"/>
      <c r="G606" s="7"/>
      <c r="M606" s="10"/>
      <c r="P606" s="11"/>
      <c r="Q606" s="12"/>
    </row>
    <row r="607" spans="1:17">
      <c r="A607" s="14">
        <v>39605</v>
      </c>
      <c r="B607" s="8">
        <v>859.09241496081358</v>
      </c>
      <c r="F607" s="7"/>
      <c r="G607" s="7"/>
      <c r="M607" s="10"/>
      <c r="P607" s="11"/>
      <c r="Q607" s="12"/>
    </row>
    <row r="608" spans="1:17">
      <c r="A608" s="14">
        <v>39608</v>
      </c>
      <c r="B608" s="8">
        <v>859.09384828339216</v>
      </c>
      <c r="F608" s="7"/>
      <c r="G608" s="7"/>
      <c r="M608" s="10"/>
      <c r="P608" s="11"/>
      <c r="Q608" s="12"/>
    </row>
    <row r="609" spans="1:17">
      <c r="A609" s="14">
        <v>39609</v>
      </c>
      <c r="B609" s="8">
        <v>859.86670494827661</v>
      </c>
      <c r="F609" s="7"/>
      <c r="G609" s="7"/>
      <c r="M609" s="10"/>
      <c r="P609" s="11"/>
      <c r="Q609" s="12"/>
    </row>
    <row r="610" spans="1:17">
      <c r="A610" s="14">
        <v>39610</v>
      </c>
      <c r="B610" s="8">
        <v>839.0929256638567</v>
      </c>
      <c r="F610" s="7"/>
      <c r="G610" s="7"/>
      <c r="M610" s="10"/>
      <c r="P610" s="11"/>
      <c r="Q610" s="12"/>
    </row>
    <row r="611" spans="1:17">
      <c r="A611" s="14">
        <v>39611</v>
      </c>
      <c r="B611" s="8">
        <v>850.80991411548882</v>
      </c>
      <c r="F611" s="7"/>
      <c r="G611" s="7"/>
      <c r="M611" s="10"/>
      <c r="P611" s="11"/>
      <c r="Q611" s="12"/>
    </row>
    <row r="612" spans="1:17">
      <c r="A612" s="14">
        <v>39612</v>
      </c>
      <c r="B612" s="8">
        <v>861.9070021880957</v>
      </c>
      <c r="F612" s="7"/>
      <c r="G612" s="7"/>
      <c r="M612" s="10"/>
      <c r="P612" s="11"/>
      <c r="Q612" s="12"/>
    </row>
    <row r="613" spans="1:17">
      <c r="A613" s="14">
        <v>39615</v>
      </c>
      <c r="B613" s="8">
        <v>856.08520365370475</v>
      </c>
      <c r="F613" s="7"/>
      <c r="G613" s="7"/>
      <c r="M613" s="10"/>
      <c r="P613" s="11"/>
      <c r="Q613" s="12"/>
    </row>
    <row r="614" spans="1:17">
      <c r="A614" s="14">
        <v>39616</v>
      </c>
      <c r="B614" s="8">
        <v>853.60090143080322</v>
      </c>
      <c r="F614" s="7"/>
      <c r="G614" s="7"/>
      <c r="M614" s="10"/>
      <c r="P614" s="11"/>
      <c r="Q614" s="12"/>
    </row>
    <row r="615" spans="1:17">
      <c r="A615" s="14">
        <v>39617</v>
      </c>
      <c r="B615" s="8">
        <v>841.51113110463643</v>
      </c>
      <c r="F615" s="7"/>
      <c r="G615" s="7"/>
      <c r="M615" s="10"/>
      <c r="P615" s="11"/>
      <c r="Q615" s="12"/>
    </row>
    <row r="616" spans="1:17">
      <c r="A616" s="14">
        <v>39618</v>
      </c>
      <c r="B616" s="8">
        <v>842.30999758682208</v>
      </c>
      <c r="F616" s="7"/>
      <c r="G616" s="7"/>
      <c r="M616" s="10"/>
      <c r="P616" s="11"/>
      <c r="Q616" s="12"/>
    </row>
    <row r="617" spans="1:17">
      <c r="A617" s="14">
        <v>39619</v>
      </c>
      <c r="B617" s="8">
        <v>820.81318631772012</v>
      </c>
      <c r="F617" s="7"/>
      <c r="G617" s="7"/>
      <c r="M617" s="10"/>
      <c r="P617" s="11"/>
      <c r="Q617" s="12"/>
    </row>
    <row r="618" spans="1:17">
      <c r="A618" s="14">
        <v>39622</v>
      </c>
      <c r="B618" s="8">
        <v>819.75674837784106</v>
      </c>
      <c r="F618" s="7"/>
      <c r="G618" s="7"/>
      <c r="M618" s="10"/>
      <c r="P618" s="11"/>
      <c r="Q618" s="12"/>
    </row>
    <row r="619" spans="1:17">
      <c r="A619" s="14">
        <v>39623</v>
      </c>
      <c r="B619" s="8">
        <v>813.12042394082368</v>
      </c>
      <c r="F619" s="7"/>
      <c r="G619" s="7"/>
      <c r="M619" s="10"/>
      <c r="P619" s="11"/>
      <c r="Q619" s="12"/>
    </row>
    <row r="620" spans="1:17">
      <c r="A620" s="14">
        <v>39624</v>
      </c>
      <c r="B620" s="8">
        <v>825.93640222655222</v>
      </c>
      <c r="F620" s="7"/>
      <c r="G620" s="7"/>
      <c r="M620" s="10"/>
      <c r="P620" s="11"/>
      <c r="Q620" s="12"/>
    </row>
    <row r="621" spans="1:17">
      <c r="A621" s="14">
        <v>39625</v>
      </c>
      <c r="B621" s="8">
        <v>793.99587424159597</v>
      </c>
      <c r="F621" s="7"/>
      <c r="G621" s="7"/>
      <c r="M621" s="10"/>
      <c r="P621" s="11"/>
      <c r="Q621" s="12"/>
    </row>
    <row r="622" spans="1:17">
      <c r="A622" s="14">
        <v>39626</v>
      </c>
      <c r="B622" s="8">
        <v>787.42858496173983</v>
      </c>
      <c r="F622" s="7"/>
      <c r="G622" s="7"/>
      <c r="M622" s="10"/>
      <c r="P622" s="11"/>
      <c r="Q622" s="12"/>
    </row>
    <row r="623" spans="1:17">
      <c r="A623" s="14">
        <v>39629</v>
      </c>
      <c r="B623" s="8">
        <v>787.58551049803896</v>
      </c>
      <c r="F623" s="7"/>
      <c r="G623" s="7"/>
      <c r="M623" s="10"/>
      <c r="P623" s="11"/>
      <c r="Q623" s="12"/>
    </row>
    <row r="624" spans="1:17">
      <c r="A624" s="14">
        <v>39630</v>
      </c>
      <c r="B624" s="8">
        <v>778.75261106078187</v>
      </c>
      <c r="F624" s="7"/>
      <c r="G624" s="7"/>
      <c r="M624" s="10"/>
      <c r="P624" s="11"/>
      <c r="Q624" s="12"/>
    </row>
    <row r="625" spans="1:17">
      <c r="A625" s="14">
        <v>39631</v>
      </c>
      <c r="B625" s="8">
        <v>767.82185175530492</v>
      </c>
      <c r="F625" s="7"/>
      <c r="G625" s="7"/>
      <c r="M625" s="10"/>
      <c r="P625" s="11"/>
      <c r="Q625" s="12"/>
    </row>
    <row r="626" spans="1:17">
      <c r="A626" s="14">
        <v>39632</v>
      </c>
      <c r="B626" s="8">
        <v>777.41375983615058</v>
      </c>
      <c r="F626" s="7"/>
      <c r="G626" s="7"/>
      <c r="M626" s="10"/>
      <c r="P626" s="11"/>
      <c r="Q626" s="12"/>
    </row>
    <row r="627" spans="1:17">
      <c r="A627" s="14">
        <v>39636</v>
      </c>
      <c r="B627" s="8">
        <v>771.2310025857214</v>
      </c>
      <c r="F627" s="7"/>
      <c r="G627" s="7"/>
      <c r="M627" s="10"/>
      <c r="P627" s="11"/>
      <c r="Q627" s="12"/>
    </row>
    <row r="628" spans="1:17">
      <c r="A628" s="14">
        <v>39637</v>
      </c>
      <c r="B628" s="8">
        <v>776.63270038352312</v>
      </c>
      <c r="F628" s="7"/>
      <c r="G628" s="7"/>
      <c r="M628" s="10"/>
      <c r="P628" s="11"/>
      <c r="Q628" s="12"/>
    </row>
    <row r="629" spans="1:17">
      <c r="A629" s="14">
        <v>39638</v>
      </c>
      <c r="B629" s="8">
        <v>771.86970663429554</v>
      </c>
      <c r="F629" s="7"/>
      <c r="G629" s="7"/>
      <c r="M629" s="10"/>
      <c r="P629" s="11"/>
      <c r="Q629" s="12"/>
    </row>
    <row r="630" spans="1:17">
      <c r="A630" s="14">
        <v>39639</v>
      </c>
      <c r="B630" s="8">
        <v>763.23784184783426</v>
      </c>
      <c r="F630" s="7"/>
      <c r="G630" s="7"/>
      <c r="M630" s="10"/>
      <c r="P630" s="11"/>
      <c r="Q630" s="12"/>
    </row>
    <row r="631" spans="1:17">
      <c r="A631" s="14">
        <v>39640</v>
      </c>
      <c r="B631" s="8">
        <v>742.26979140631772</v>
      </c>
      <c r="F631" s="7"/>
      <c r="G631" s="7"/>
      <c r="M631" s="10"/>
      <c r="P631" s="11"/>
      <c r="Q631" s="12"/>
    </row>
    <row r="632" spans="1:17">
      <c r="A632" s="14">
        <v>39643</v>
      </c>
      <c r="B632" s="8">
        <v>738.75518087912519</v>
      </c>
      <c r="F632" s="7"/>
      <c r="G632" s="7"/>
      <c r="M632" s="10"/>
      <c r="P632" s="11"/>
      <c r="Q632" s="12"/>
    </row>
    <row r="633" spans="1:17">
      <c r="A633" s="14">
        <v>39644</v>
      </c>
      <c r="B633" s="8">
        <v>726.87301981620999</v>
      </c>
      <c r="F633" s="7"/>
      <c r="G633" s="7"/>
      <c r="M633" s="10"/>
      <c r="P633" s="11"/>
      <c r="Q633" s="12"/>
    </row>
    <row r="634" spans="1:17">
      <c r="A634" s="14">
        <v>39645</v>
      </c>
      <c r="B634" s="8">
        <v>748.56975926773555</v>
      </c>
      <c r="F634" s="7"/>
      <c r="G634" s="7"/>
      <c r="M634" s="10"/>
      <c r="P634" s="11"/>
      <c r="Q634" s="12"/>
    </row>
    <row r="635" spans="1:17">
      <c r="A635" s="14">
        <v>39646</v>
      </c>
      <c r="B635" s="8">
        <v>767.261834050782</v>
      </c>
      <c r="F635" s="7"/>
      <c r="G635" s="7"/>
      <c r="M635" s="10"/>
      <c r="P635" s="11"/>
      <c r="Q635" s="12"/>
    </row>
    <row r="636" spans="1:17">
      <c r="A636" s="14">
        <v>39647</v>
      </c>
      <c r="B636" s="8">
        <v>776.77172674516487</v>
      </c>
      <c r="F636" s="7"/>
      <c r="G636" s="7"/>
      <c r="M636" s="10"/>
      <c r="P636" s="11"/>
      <c r="Q636" s="12"/>
    </row>
    <row r="637" spans="1:17">
      <c r="A637" s="14">
        <v>39650</v>
      </c>
      <c r="B637" s="8">
        <v>776.9333540225075</v>
      </c>
      <c r="F637" s="7"/>
      <c r="G637" s="7"/>
      <c r="M637" s="10"/>
      <c r="P637" s="11"/>
      <c r="Q637" s="12"/>
    </row>
    <row r="638" spans="1:17">
      <c r="A638" s="14">
        <v>39651</v>
      </c>
      <c r="B638" s="8">
        <v>785.3160747828947</v>
      </c>
      <c r="F638" s="7"/>
      <c r="G638" s="7"/>
      <c r="M638" s="10"/>
      <c r="P638" s="11"/>
      <c r="Q638" s="12"/>
    </row>
    <row r="639" spans="1:17">
      <c r="A639" s="14">
        <v>39652</v>
      </c>
      <c r="B639" s="8">
        <v>799.47864076688052</v>
      </c>
      <c r="F639" s="7"/>
      <c r="G639" s="7"/>
      <c r="M639" s="10"/>
      <c r="P639" s="11"/>
      <c r="Q639" s="12"/>
    </row>
    <row r="640" spans="1:17">
      <c r="A640" s="14">
        <v>39653</v>
      </c>
      <c r="B640" s="8">
        <v>783.9003536425281</v>
      </c>
      <c r="F640" s="7"/>
      <c r="G640" s="7"/>
      <c r="M640" s="10"/>
      <c r="P640" s="11"/>
      <c r="Q640" s="12"/>
    </row>
    <row r="641" spans="1:17">
      <c r="A641" s="14">
        <v>39654</v>
      </c>
      <c r="B641" s="8">
        <v>782.36777531900714</v>
      </c>
      <c r="F641" s="7"/>
      <c r="G641" s="7"/>
      <c r="M641" s="10"/>
      <c r="P641" s="11"/>
      <c r="Q641" s="12"/>
    </row>
    <row r="642" spans="1:17">
      <c r="A642" s="14">
        <v>39657</v>
      </c>
      <c r="B642" s="8">
        <v>767.01474768899368</v>
      </c>
      <c r="F642" s="7"/>
      <c r="G642" s="7"/>
      <c r="M642" s="10"/>
      <c r="P642" s="11"/>
      <c r="Q642" s="12"/>
    </row>
    <row r="643" spans="1:17">
      <c r="A643" s="14">
        <v>39658</v>
      </c>
      <c r="B643" s="8">
        <v>784.23977714501973</v>
      </c>
      <c r="F643" s="7"/>
      <c r="G643" s="7"/>
      <c r="M643" s="10"/>
      <c r="P643" s="11"/>
      <c r="Q643" s="12"/>
    </row>
    <row r="644" spans="1:17">
      <c r="A644" s="14">
        <v>39659</v>
      </c>
      <c r="B644" s="8">
        <v>794.24917737294879</v>
      </c>
      <c r="F644" s="7"/>
      <c r="G644" s="7"/>
      <c r="M644" s="10"/>
      <c r="P644" s="11"/>
      <c r="Q644" s="12"/>
    </row>
    <row r="645" spans="1:17">
      <c r="A645" s="14">
        <v>39660</v>
      </c>
      <c r="B645" s="8">
        <v>789.6623595094062</v>
      </c>
      <c r="F645" s="7"/>
      <c r="G645" s="7"/>
      <c r="M645" s="10"/>
      <c r="P645" s="11"/>
      <c r="Q645" s="12"/>
    </row>
    <row r="646" spans="1:17">
      <c r="A646" s="14">
        <v>39661</v>
      </c>
      <c r="B646" s="8">
        <v>781.44271383248736</v>
      </c>
      <c r="F646" s="7"/>
      <c r="G646" s="7"/>
      <c r="M646" s="10"/>
      <c r="P646" s="11"/>
      <c r="Q646" s="12"/>
    </row>
    <row r="647" spans="1:17">
      <c r="A647" s="14">
        <v>39664</v>
      </c>
      <c r="B647" s="8">
        <v>774.31462910459027</v>
      </c>
      <c r="F647" s="7"/>
      <c r="G647" s="7"/>
      <c r="M647" s="10"/>
      <c r="P647" s="11"/>
      <c r="Q647" s="12"/>
    </row>
    <row r="648" spans="1:17">
      <c r="A648" s="14">
        <v>39665</v>
      </c>
      <c r="B648" s="8">
        <v>804.72155186165389</v>
      </c>
      <c r="F648" s="7"/>
      <c r="G648" s="7"/>
      <c r="M648" s="10"/>
      <c r="P648" s="11"/>
      <c r="Q648" s="12"/>
    </row>
    <row r="649" spans="1:17">
      <c r="A649" s="14">
        <v>39666</v>
      </c>
      <c r="B649" s="8">
        <v>811.76221539821358</v>
      </c>
      <c r="F649" s="7"/>
      <c r="G649" s="7"/>
      <c r="M649" s="10"/>
      <c r="P649" s="11"/>
      <c r="Q649" s="12"/>
    </row>
    <row r="650" spans="1:17">
      <c r="A650" s="14">
        <v>39667</v>
      </c>
      <c r="B650" s="8">
        <v>803.60635121769769</v>
      </c>
      <c r="F650" s="7"/>
      <c r="G650" s="7"/>
      <c r="M650" s="10"/>
      <c r="P650" s="11"/>
      <c r="Q650" s="12"/>
    </row>
    <row r="651" spans="1:17">
      <c r="A651" s="14">
        <v>39668</v>
      </c>
      <c r="B651" s="8">
        <v>828.00182073364556</v>
      </c>
      <c r="F651" s="7"/>
      <c r="G651" s="7"/>
      <c r="M651" s="10"/>
      <c r="P651" s="11"/>
      <c r="Q651" s="12"/>
    </row>
    <row r="652" spans="1:17">
      <c r="A652" s="14">
        <v>39671</v>
      </c>
      <c r="B652" s="8">
        <v>842.50133281983699</v>
      </c>
      <c r="F652" s="7"/>
      <c r="G652" s="7"/>
      <c r="M652" s="10"/>
      <c r="P652" s="11"/>
      <c r="Q652" s="12"/>
    </row>
    <row r="653" spans="1:17">
      <c r="A653" s="14">
        <v>39672</v>
      </c>
      <c r="B653" s="8">
        <v>836.93643430581676</v>
      </c>
      <c r="F653" s="7"/>
      <c r="G653" s="7"/>
      <c r="M653" s="10"/>
      <c r="P653" s="11"/>
      <c r="Q653" s="12"/>
    </row>
    <row r="654" spans="1:17">
      <c r="A654" s="14">
        <v>39673</v>
      </c>
      <c r="B654" s="8">
        <v>821.37941736430719</v>
      </c>
      <c r="F654" s="7"/>
      <c r="G654" s="7"/>
      <c r="M654" s="10"/>
      <c r="P654" s="11"/>
      <c r="Q654" s="12"/>
    </row>
    <row r="655" spans="1:17">
      <c r="A655" s="14">
        <v>39674</v>
      </c>
      <c r="B655" s="8">
        <v>829.99225198606064</v>
      </c>
      <c r="F655" s="7"/>
      <c r="G655" s="7"/>
      <c r="M655" s="10"/>
      <c r="P655" s="11"/>
      <c r="Q655" s="12"/>
    </row>
    <row r="656" spans="1:17">
      <c r="A656" s="14">
        <v>39675</v>
      </c>
      <c r="B656" s="8">
        <v>839.65099864233491</v>
      </c>
      <c r="F656" s="7"/>
      <c r="G656" s="7"/>
      <c r="M656" s="10"/>
      <c r="P656" s="11"/>
      <c r="Q656" s="12"/>
    </row>
    <row r="657" spans="1:17">
      <c r="A657" s="14">
        <v>39678</v>
      </c>
      <c r="B657" s="8">
        <v>828.76505638428932</v>
      </c>
      <c r="F657" s="7"/>
      <c r="G657" s="7"/>
      <c r="M657" s="10"/>
      <c r="P657" s="11"/>
      <c r="Q657" s="12"/>
    </row>
    <row r="658" spans="1:17">
      <c r="A658" s="14">
        <v>39679</v>
      </c>
      <c r="B658" s="8">
        <v>808.4543312334348</v>
      </c>
      <c r="F658" s="7"/>
      <c r="G658" s="7"/>
      <c r="M658" s="10"/>
      <c r="P658" s="11"/>
      <c r="Q658" s="12"/>
    </row>
    <row r="659" spans="1:17">
      <c r="A659" s="14">
        <v>39680</v>
      </c>
      <c r="B659" s="8">
        <v>813.16986168435653</v>
      </c>
      <c r="F659" s="7"/>
      <c r="G659" s="7"/>
      <c r="M659" s="10"/>
      <c r="P659" s="11"/>
      <c r="Q659" s="12"/>
    </row>
    <row r="660" spans="1:17">
      <c r="A660" s="14">
        <v>39681</v>
      </c>
      <c r="B660" s="8">
        <v>800.77139866560628</v>
      </c>
      <c r="F660" s="7"/>
      <c r="G660" s="7"/>
      <c r="M660" s="10"/>
      <c r="P660" s="11"/>
      <c r="Q660" s="12"/>
    </row>
    <row r="661" spans="1:17">
      <c r="A661" s="14">
        <v>39682</v>
      </c>
      <c r="B661" s="8">
        <v>817.85478569895304</v>
      </c>
      <c r="F661" s="7"/>
      <c r="G661" s="7"/>
      <c r="M661" s="10"/>
      <c r="P661" s="11"/>
      <c r="Q661" s="12"/>
    </row>
    <row r="662" spans="1:17">
      <c r="A662" s="14">
        <v>39685</v>
      </c>
      <c r="B662" s="8">
        <v>805.27838192024171</v>
      </c>
      <c r="F662" s="7"/>
      <c r="G662" s="7"/>
      <c r="M662" s="10"/>
      <c r="P662" s="11"/>
      <c r="Q662" s="12"/>
    </row>
    <row r="663" spans="1:17">
      <c r="A663" s="14">
        <v>39686</v>
      </c>
      <c r="B663" s="8">
        <v>812.59580307656415</v>
      </c>
      <c r="F663" s="7"/>
      <c r="G663" s="7"/>
      <c r="M663" s="10"/>
      <c r="P663" s="11"/>
      <c r="Q663" s="12"/>
    </row>
    <row r="664" spans="1:17">
      <c r="A664" s="14">
        <v>39687</v>
      </c>
      <c r="B664" s="8">
        <v>815.50675176302218</v>
      </c>
      <c r="F664" s="7"/>
      <c r="G664" s="7"/>
      <c r="M664" s="10"/>
      <c r="P664" s="11"/>
      <c r="Q664" s="12"/>
    </row>
    <row r="665" spans="1:17">
      <c r="A665" s="14">
        <v>39688</v>
      </c>
      <c r="B665" s="8">
        <v>832.49791026867797</v>
      </c>
      <c r="F665" s="7"/>
      <c r="G665" s="7"/>
      <c r="M665" s="10"/>
      <c r="P665" s="11"/>
      <c r="Q665" s="12"/>
    </row>
    <row r="666" spans="1:17">
      <c r="A666" s="14">
        <v>39689</v>
      </c>
      <c r="B666" s="8">
        <v>830.66283856237078</v>
      </c>
      <c r="F666" s="7"/>
      <c r="G666" s="7"/>
      <c r="M666" s="10"/>
      <c r="P666" s="11"/>
      <c r="Q666" s="12"/>
    </row>
    <row r="667" spans="1:17">
      <c r="A667" s="14">
        <v>39692</v>
      </c>
      <c r="B667" s="8">
        <v>832.43063261464533</v>
      </c>
      <c r="F667" s="7"/>
      <c r="G667" s="7"/>
      <c r="M667" s="10"/>
      <c r="P667" s="11"/>
      <c r="Q667" s="12"/>
    </row>
    <row r="668" spans="1:17">
      <c r="A668" s="14">
        <v>39693</v>
      </c>
      <c r="B668" s="8">
        <v>843.43926483874066</v>
      </c>
      <c r="F668" s="7"/>
      <c r="G668" s="7"/>
      <c r="M668" s="10"/>
      <c r="P668" s="11"/>
      <c r="Q668" s="12"/>
    </row>
    <row r="669" spans="1:17">
      <c r="A669" s="14">
        <v>39694</v>
      </c>
      <c r="B669" s="8">
        <v>838.3863760518318</v>
      </c>
      <c r="F669" s="7"/>
      <c r="G669" s="7"/>
      <c r="M669" s="10"/>
      <c r="P669" s="11"/>
      <c r="Q669" s="12"/>
    </row>
    <row r="670" spans="1:17">
      <c r="A670" s="14">
        <v>39695</v>
      </c>
      <c r="B670" s="8">
        <v>814.60281457934263</v>
      </c>
      <c r="F670" s="7"/>
      <c r="G670" s="7"/>
      <c r="M670" s="10"/>
      <c r="P670" s="11"/>
      <c r="Q670" s="12"/>
    </row>
    <row r="671" spans="1:17">
      <c r="A671" s="14">
        <v>39696</v>
      </c>
      <c r="B671" s="8">
        <v>809.81368819054467</v>
      </c>
      <c r="F671" s="7"/>
      <c r="G671" s="7"/>
      <c r="M671" s="10"/>
      <c r="P671" s="11"/>
      <c r="Q671" s="12"/>
    </row>
    <row r="672" spans="1:17">
      <c r="A672" s="14">
        <v>39699</v>
      </c>
      <c r="B672" s="8">
        <v>838.22284475417644</v>
      </c>
      <c r="F672" s="7"/>
      <c r="G672" s="7"/>
      <c r="M672" s="10"/>
      <c r="P672" s="11"/>
      <c r="Q672" s="12"/>
    </row>
    <row r="673" spans="1:17">
      <c r="A673" s="14">
        <v>39700</v>
      </c>
      <c r="B673" s="8">
        <v>816.76476227312037</v>
      </c>
      <c r="F673" s="7"/>
      <c r="G673" s="7"/>
      <c r="M673" s="10"/>
      <c r="P673" s="11"/>
      <c r="Q673" s="12"/>
    </row>
    <row r="674" spans="1:17">
      <c r="A674" s="14">
        <v>39701</v>
      </c>
      <c r="B674" s="8">
        <v>821.07955268927856</v>
      </c>
      <c r="F674" s="7"/>
      <c r="G674" s="7"/>
      <c r="M674" s="10"/>
      <c r="P674" s="11"/>
      <c r="Q674" s="12"/>
    </row>
    <row r="675" spans="1:17">
      <c r="A675" s="14">
        <v>39702</v>
      </c>
      <c r="B675" s="8">
        <v>826.37746093601413</v>
      </c>
      <c r="F675" s="7"/>
      <c r="G675" s="7"/>
      <c r="M675" s="10"/>
      <c r="P675" s="11"/>
      <c r="Q675" s="12"/>
    </row>
    <row r="676" spans="1:17">
      <c r="A676" s="14">
        <v>39703</v>
      </c>
      <c r="B676" s="8">
        <v>827.06858166612244</v>
      </c>
      <c r="F676" s="7"/>
      <c r="G676" s="7"/>
      <c r="M676" s="10"/>
      <c r="P676" s="11"/>
      <c r="Q676" s="12"/>
    </row>
    <row r="677" spans="1:17">
      <c r="A677" s="14">
        <v>39706</v>
      </c>
      <c r="B677" s="8">
        <v>789.22902580847574</v>
      </c>
      <c r="F677" s="7"/>
      <c r="G677" s="7"/>
      <c r="M677" s="10"/>
      <c r="P677" s="11"/>
      <c r="Q677" s="12"/>
    </row>
    <row r="678" spans="1:17">
      <c r="A678" s="14">
        <v>39707</v>
      </c>
      <c r="B678" s="8">
        <v>788.52623519698977</v>
      </c>
      <c r="F678" s="7"/>
      <c r="G678" s="7"/>
      <c r="M678" s="10"/>
      <c r="P678" s="11"/>
      <c r="Q678" s="12"/>
    </row>
    <row r="679" spans="1:17">
      <c r="A679" s="14">
        <v>39708</v>
      </c>
      <c r="B679" s="8">
        <v>757.70866448771244</v>
      </c>
      <c r="F679" s="7"/>
      <c r="G679" s="7"/>
      <c r="M679" s="10"/>
      <c r="P679" s="11"/>
      <c r="Q679" s="12"/>
    </row>
    <row r="680" spans="1:17">
      <c r="A680" s="14">
        <v>39709</v>
      </c>
      <c r="B680" s="8">
        <v>770.79372129643014</v>
      </c>
      <c r="F680" s="7"/>
      <c r="G680" s="7"/>
      <c r="M680" s="10"/>
      <c r="P680" s="11"/>
      <c r="Q680" s="12"/>
    </row>
    <row r="681" spans="1:17">
      <c r="A681" s="14">
        <v>39710</v>
      </c>
      <c r="B681" s="8">
        <v>819.76699285560062</v>
      </c>
      <c r="F681" s="7"/>
      <c r="G681" s="7"/>
      <c r="M681" s="10"/>
      <c r="P681" s="11"/>
      <c r="Q681" s="12"/>
    </row>
    <row r="682" spans="1:17">
      <c r="A682" s="14">
        <v>39713</v>
      </c>
      <c r="B682" s="8">
        <v>781.6939134589519</v>
      </c>
      <c r="F682" s="7"/>
      <c r="G682" s="7"/>
      <c r="M682" s="10"/>
      <c r="P682" s="11"/>
      <c r="Q682" s="12"/>
    </row>
    <row r="683" spans="1:17">
      <c r="A683" s="14">
        <v>39714</v>
      </c>
      <c r="B683" s="8">
        <v>770.50205148840587</v>
      </c>
      <c r="F683" s="7"/>
      <c r="G683" s="7"/>
      <c r="M683" s="10"/>
      <c r="P683" s="11"/>
      <c r="Q683" s="12"/>
    </row>
    <row r="684" spans="1:17">
      <c r="A684" s="14">
        <v>39715</v>
      </c>
      <c r="B684" s="8">
        <v>767.88714406364238</v>
      </c>
      <c r="F684" s="7"/>
      <c r="G684" s="7"/>
      <c r="M684" s="10"/>
      <c r="P684" s="11"/>
      <c r="Q684" s="12"/>
    </row>
    <row r="685" spans="1:17">
      <c r="A685" s="14">
        <v>39716</v>
      </c>
      <c r="B685" s="8">
        <v>788.34358592971864</v>
      </c>
      <c r="F685" s="7"/>
      <c r="G685" s="7"/>
      <c r="M685" s="10"/>
      <c r="P685" s="11"/>
      <c r="Q685" s="12"/>
    </row>
    <row r="686" spans="1:17">
      <c r="A686" s="14">
        <v>39717</v>
      </c>
      <c r="B686" s="8">
        <v>778.09345021475531</v>
      </c>
      <c r="F686" s="7"/>
      <c r="G686" s="7"/>
      <c r="M686" s="10"/>
      <c r="P686" s="11"/>
      <c r="Q686" s="12"/>
    </row>
    <row r="687" spans="1:17">
      <c r="A687" s="14">
        <v>39720</v>
      </c>
      <c r="B687" s="8">
        <v>723.96600458116029</v>
      </c>
      <c r="F687" s="7"/>
      <c r="G687" s="7"/>
      <c r="M687" s="10"/>
      <c r="P687" s="11"/>
      <c r="Q687" s="12"/>
    </row>
    <row r="688" spans="1:17">
      <c r="A688" s="14">
        <v>39721</v>
      </c>
      <c r="B688" s="8">
        <v>756.60725859091394</v>
      </c>
      <c r="F688" s="7"/>
      <c r="G688" s="7"/>
      <c r="M688" s="10"/>
      <c r="P688" s="11"/>
      <c r="Q688" s="12"/>
    </row>
    <row r="689" spans="1:17">
      <c r="A689" s="14">
        <v>39722</v>
      </c>
      <c r="B689" s="8">
        <v>757.40539490777678</v>
      </c>
      <c r="F689" s="7"/>
      <c r="G689" s="7"/>
      <c r="M689" s="10"/>
      <c r="P689" s="11"/>
      <c r="Q689" s="12"/>
    </row>
    <row r="690" spans="1:17">
      <c r="A690" s="14">
        <v>39723</v>
      </c>
      <c r="B690" s="8">
        <v>735.27443261676024</v>
      </c>
      <c r="F690" s="7"/>
      <c r="G690" s="7"/>
      <c r="M690" s="10"/>
      <c r="P690" s="11"/>
      <c r="Q690" s="12"/>
    </row>
    <row r="691" spans="1:17">
      <c r="A691" s="14">
        <v>39724</v>
      </c>
      <c r="B691" s="8">
        <v>742.22785390468425</v>
      </c>
      <c r="F691" s="7"/>
      <c r="G691" s="7"/>
      <c r="M691" s="10"/>
      <c r="P691" s="11"/>
      <c r="Q691" s="12"/>
    </row>
    <row r="692" spans="1:17">
      <c r="A692" s="14">
        <v>39727</v>
      </c>
      <c r="B692" s="8">
        <v>699.37813208450541</v>
      </c>
      <c r="F692" s="7"/>
      <c r="G692" s="7"/>
      <c r="M692" s="10"/>
      <c r="P692" s="11"/>
      <c r="Q692" s="12"/>
    </row>
    <row r="693" spans="1:17">
      <c r="A693" s="14">
        <v>39728</v>
      </c>
      <c r="B693" s="8">
        <v>674.77406916926873</v>
      </c>
      <c r="F693" s="7"/>
      <c r="G693" s="7"/>
      <c r="M693" s="10"/>
      <c r="P693" s="11"/>
      <c r="Q693" s="12"/>
    </row>
    <row r="694" spans="1:17">
      <c r="A694" s="14">
        <v>39729</v>
      </c>
      <c r="B694" s="8">
        <v>646.71802160008406</v>
      </c>
      <c r="F694" s="7"/>
      <c r="G694" s="7"/>
      <c r="M694" s="10"/>
      <c r="P694" s="11"/>
      <c r="Q694" s="12"/>
    </row>
    <row r="695" spans="1:17">
      <c r="A695" s="14">
        <v>39730</v>
      </c>
      <c r="B695" s="8">
        <v>612.36615899806088</v>
      </c>
      <c r="F695" s="7"/>
      <c r="G695" s="7"/>
      <c r="M695" s="10"/>
      <c r="P695" s="11"/>
      <c r="Q695" s="12"/>
    </row>
    <row r="696" spans="1:17">
      <c r="A696" s="14">
        <v>39731</v>
      </c>
      <c r="B696" s="8">
        <v>588.23178641666277</v>
      </c>
      <c r="F696" s="7"/>
      <c r="G696" s="7"/>
      <c r="M696" s="10"/>
      <c r="P696" s="11"/>
      <c r="Q696" s="12"/>
    </row>
    <row r="697" spans="1:17">
      <c r="A697" s="14">
        <v>39734</v>
      </c>
      <c r="B697" s="8">
        <v>658.21511470412099</v>
      </c>
      <c r="F697" s="7"/>
      <c r="G697" s="7"/>
      <c r="M697" s="10"/>
      <c r="P697" s="11"/>
      <c r="Q697" s="12"/>
    </row>
    <row r="698" spans="1:17">
      <c r="A698" s="14">
        <v>39735</v>
      </c>
      <c r="B698" s="8">
        <v>658.1754647370218</v>
      </c>
      <c r="F698" s="7"/>
      <c r="G698" s="7"/>
      <c r="M698" s="10"/>
      <c r="P698" s="11"/>
      <c r="Q698" s="12"/>
    </row>
    <row r="699" spans="1:17">
      <c r="A699" s="14">
        <v>39736</v>
      </c>
      <c r="B699" s="8">
        <v>601.91530228192016</v>
      </c>
      <c r="F699" s="7"/>
      <c r="G699" s="7"/>
      <c r="M699" s="10"/>
      <c r="P699" s="11"/>
      <c r="Q699" s="12"/>
    </row>
    <row r="700" spans="1:17">
      <c r="A700" s="14">
        <v>39737</v>
      </c>
      <c r="B700" s="8">
        <v>598.63471102565836</v>
      </c>
      <c r="F700" s="7"/>
      <c r="G700" s="7"/>
      <c r="M700" s="10"/>
      <c r="P700" s="11"/>
      <c r="Q700" s="12"/>
    </row>
    <row r="701" spans="1:17">
      <c r="A701" s="14">
        <v>39738</v>
      </c>
      <c r="B701" s="8">
        <v>610.04345278564779</v>
      </c>
      <c r="F701" s="7"/>
      <c r="G701" s="7"/>
      <c r="M701" s="10"/>
      <c r="P701" s="11"/>
      <c r="Q701" s="12"/>
    </row>
    <row r="702" spans="1:17">
      <c r="A702" s="14">
        <v>39741</v>
      </c>
      <c r="B702" s="8">
        <v>638.15096687055131</v>
      </c>
      <c r="F702" s="7"/>
      <c r="G702" s="7"/>
      <c r="M702" s="10"/>
      <c r="P702" s="11"/>
      <c r="Q702" s="12"/>
    </row>
    <row r="703" spans="1:17">
      <c r="A703" s="14">
        <v>39742</v>
      </c>
      <c r="B703" s="8">
        <v>630.72326765396519</v>
      </c>
      <c r="F703" s="7"/>
      <c r="G703" s="7"/>
      <c r="M703" s="10"/>
      <c r="P703" s="11"/>
      <c r="Q703" s="12"/>
    </row>
    <row r="704" spans="1:17">
      <c r="A704" s="14">
        <v>39743</v>
      </c>
      <c r="B704" s="8">
        <v>595.1538334654249</v>
      </c>
      <c r="F704" s="7"/>
      <c r="G704" s="7"/>
      <c r="M704" s="10"/>
      <c r="P704" s="11"/>
      <c r="Q704" s="12"/>
    </row>
    <row r="705" spans="1:17">
      <c r="A705" s="14">
        <v>39744</v>
      </c>
      <c r="B705" s="8">
        <v>594.59246777786575</v>
      </c>
      <c r="F705" s="7"/>
      <c r="G705" s="7"/>
      <c r="M705" s="10"/>
      <c r="P705" s="11"/>
      <c r="Q705" s="12"/>
    </row>
    <row r="706" spans="1:17">
      <c r="A706" s="14">
        <v>39745</v>
      </c>
      <c r="B706" s="8">
        <v>571.17927009978177</v>
      </c>
      <c r="F706" s="7"/>
      <c r="G706" s="7"/>
      <c r="M706" s="10"/>
      <c r="P706" s="11"/>
      <c r="Q706" s="12"/>
    </row>
    <row r="707" spans="1:17">
      <c r="A707" s="14">
        <v>39748</v>
      </c>
      <c r="B707" s="8">
        <v>555.86717232002161</v>
      </c>
      <c r="F707" s="7"/>
      <c r="G707" s="7"/>
      <c r="M707" s="10"/>
      <c r="P707" s="11"/>
      <c r="Q707" s="12"/>
    </row>
    <row r="708" spans="1:17">
      <c r="A708" s="14">
        <v>39749</v>
      </c>
      <c r="B708" s="8">
        <v>599.29426772326701</v>
      </c>
      <c r="F708" s="7"/>
      <c r="G708" s="7"/>
      <c r="M708" s="10"/>
      <c r="P708" s="11"/>
      <c r="Q708" s="12"/>
    </row>
    <row r="709" spans="1:17">
      <c r="A709" s="14">
        <v>39750</v>
      </c>
      <c r="B709" s="8">
        <v>605.15946892387342</v>
      </c>
      <c r="F709" s="7"/>
      <c r="G709" s="7"/>
      <c r="M709" s="10"/>
      <c r="P709" s="11"/>
      <c r="Q709" s="12"/>
    </row>
    <row r="710" spans="1:17">
      <c r="A710" s="14">
        <v>39751</v>
      </c>
      <c r="B710" s="8">
        <v>618.30800585338932</v>
      </c>
      <c r="F710" s="7"/>
      <c r="G710" s="7"/>
      <c r="M710" s="10"/>
      <c r="P710" s="11"/>
      <c r="Q710" s="12"/>
    </row>
    <row r="711" spans="1:17">
      <c r="A711" s="14">
        <v>39752</v>
      </c>
      <c r="B711" s="8">
        <v>638.67310793141928</v>
      </c>
      <c r="F711" s="7"/>
      <c r="G711" s="7"/>
      <c r="M711" s="10"/>
      <c r="P711" s="11"/>
      <c r="Q711" s="12"/>
    </row>
    <row r="712" spans="1:17">
      <c r="A712" s="14">
        <v>39755</v>
      </c>
      <c r="B712" s="8">
        <v>641.45039215481427</v>
      </c>
      <c r="F712" s="7"/>
      <c r="G712" s="7"/>
      <c r="M712" s="10"/>
      <c r="P712" s="11"/>
      <c r="Q712" s="12"/>
    </row>
    <row r="713" spans="1:17">
      <c r="A713" s="14">
        <v>39756</v>
      </c>
      <c r="B713" s="8">
        <v>666.88963839226494</v>
      </c>
      <c r="F713" s="7"/>
      <c r="G713" s="7"/>
      <c r="M713" s="10"/>
      <c r="P713" s="11"/>
      <c r="Q713" s="12"/>
    </row>
    <row r="714" spans="1:17">
      <c r="A714" s="14">
        <v>39757</v>
      </c>
      <c r="B714" s="8">
        <v>642.41502423359873</v>
      </c>
      <c r="F714" s="7"/>
      <c r="G714" s="7"/>
      <c r="M714" s="10"/>
      <c r="P714" s="11"/>
      <c r="Q714" s="12"/>
    </row>
    <row r="715" spans="1:17">
      <c r="A715" s="14">
        <v>39758</v>
      </c>
      <c r="B715" s="8">
        <v>609.26186896874697</v>
      </c>
      <c r="F715" s="7"/>
      <c r="G715" s="7"/>
      <c r="M715" s="10"/>
      <c r="P715" s="11"/>
      <c r="Q715" s="12"/>
    </row>
    <row r="716" spans="1:17">
      <c r="A716" s="14">
        <v>39759</v>
      </c>
      <c r="B716" s="8">
        <v>624.62127755952838</v>
      </c>
      <c r="F716" s="7"/>
      <c r="G716" s="7"/>
      <c r="M716" s="10"/>
      <c r="P716" s="11"/>
      <c r="Q716" s="12"/>
    </row>
    <row r="717" spans="1:17">
      <c r="A717" s="14">
        <v>39762</v>
      </c>
      <c r="B717" s="8">
        <v>621.85551641731467</v>
      </c>
      <c r="F717" s="7"/>
      <c r="G717" s="7"/>
      <c r="M717" s="10"/>
      <c r="P717" s="11"/>
      <c r="Q717" s="12"/>
    </row>
    <row r="718" spans="1:17">
      <c r="A718" s="14">
        <v>39763</v>
      </c>
      <c r="B718" s="8">
        <v>599.90088147508891</v>
      </c>
      <c r="F718" s="7"/>
      <c r="G718" s="7"/>
      <c r="M718" s="10"/>
      <c r="P718" s="11"/>
      <c r="Q718" s="12"/>
    </row>
    <row r="719" spans="1:17">
      <c r="A719" s="14">
        <v>39764</v>
      </c>
      <c r="B719" s="8">
        <v>572.54983464708346</v>
      </c>
      <c r="F719" s="7"/>
      <c r="G719" s="7"/>
      <c r="M719" s="10"/>
      <c r="P719" s="11"/>
      <c r="Q719" s="12"/>
    </row>
    <row r="720" spans="1:17">
      <c r="A720" s="14">
        <v>39765</v>
      </c>
      <c r="B720" s="8">
        <v>600.51507938012628</v>
      </c>
      <c r="F720" s="7"/>
      <c r="G720" s="7"/>
      <c r="M720" s="10"/>
      <c r="P720" s="11"/>
      <c r="Q720" s="12"/>
    </row>
    <row r="721" spans="1:17">
      <c r="A721" s="14">
        <v>39766</v>
      </c>
      <c r="B721" s="8">
        <v>582.45006870467591</v>
      </c>
      <c r="F721" s="7"/>
      <c r="G721" s="7"/>
      <c r="M721" s="10"/>
      <c r="P721" s="11"/>
      <c r="Q721" s="12"/>
    </row>
    <row r="722" spans="1:17">
      <c r="A722" s="14">
        <v>39769</v>
      </c>
      <c r="B722" s="8">
        <v>562.05953497281098</v>
      </c>
      <c r="F722" s="7"/>
      <c r="G722" s="7"/>
      <c r="M722" s="10"/>
      <c r="P722" s="11"/>
      <c r="Q722" s="12"/>
    </row>
    <row r="723" spans="1:17">
      <c r="A723" s="14">
        <v>39770</v>
      </c>
      <c r="B723" s="8">
        <v>566.23633510232185</v>
      </c>
      <c r="F723" s="7"/>
      <c r="G723" s="7"/>
      <c r="M723" s="10"/>
      <c r="P723" s="11"/>
      <c r="Q723" s="12"/>
    </row>
    <row r="724" spans="1:17">
      <c r="A724" s="14">
        <v>39771</v>
      </c>
      <c r="B724" s="8">
        <v>535.64819237862707</v>
      </c>
      <c r="F724" s="7"/>
      <c r="G724" s="7"/>
      <c r="M724" s="10"/>
      <c r="P724" s="11"/>
      <c r="Q724" s="12"/>
    </row>
    <row r="725" spans="1:17">
      <c r="A725" s="14">
        <v>39772</v>
      </c>
      <c r="B725" s="8">
        <v>507.17270804872777</v>
      </c>
      <c r="F725" s="7"/>
      <c r="G725" s="7"/>
      <c r="M725" s="10"/>
      <c r="P725" s="11"/>
      <c r="Q725" s="12"/>
    </row>
    <row r="726" spans="1:17">
      <c r="A726" s="14">
        <v>39773</v>
      </c>
      <c r="B726" s="8">
        <v>518.01259808146551</v>
      </c>
      <c r="F726" s="7"/>
      <c r="G726" s="7"/>
      <c r="M726" s="10"/>
      <c r="P726" s="11"/>
      <c r="Q726" s="12"/>
    </row>
    <row r="727" spans="1:17">
      <c r="A727" s="14">
        <v>39776</v>
      </c>
      <c r="B727" s="8">
        <v>557.89335496643321</v>
      </c>
      <c r="F727" s="7"/>
      <c r="G727" s="7"/>
      <c r="M727" s="10"/>
      <c r="P727" s="11"/>
      <c r="Q727" s="12"/>
    </row>
    <row r="728" spans="1:17">
      <c r="A728" s="14">
        <v>39777</v>
      </c>
      <c r="B728" s="8">
        <v>559.59723795402476</v>
      </c>
      <c r="F728" s="7"/>
      <c r="G728" s="7"/>
      <c r="M728" s="10"/>
      <c r="P728" s="11"/>
      <c r="Q728" s="12"/>
    </row>
    <row r="729" spans="1:17">
      <c r="A729" s="14">
        <v>39778</v>
      </c>
      <c r="B729" s="8">
        <v>574.19322366407107</v>
      </c>
      <c r="F729" s="7"/>
      <c r="G729" s="7"/>
      <c r="M729" s="10"/>
      <c r="P729" s="11"/>
      <c r="Q729" s="12"/>
    </row>
    <row r="730" spans="1:17">
      <c r="A730" s="14">
        <v>39780</v>
      </c>
      <c r="B730" s="8">
        <v>588.55673235991446</v>
      </c>
      <c r="F730" s="7"/>
      <c r="G730" s="7"/>
      <c r="M730" s="10"/>
      <c r="P730" s="11"/>
      <c r="Q730" s="12"/>
    </row>
    <row r="731" spans="1:17">
      <c r="A731" s="14">
        <v>39783</v>
      </c>
      <c r="B731" s="8">
        <v>542.0221988443127</v>
      </c>
      <c r="F731" s="7"/>
      <c r="G731" s="7"/>
      <c r="M731" s="10"/>
      <c r="P731" s="11"/>
      <c r="Q731" s="12"/>
    </row>
    <row r="732" spans="1:17">
      <c r="A732" s="14">
        <v>39784</v>
      </c>
      <c r="B732" s="8">
        <v>559.04670637625179</v>
      </c>
      <c r="F732" s="7"/>
      <c r="G732" s="7"/>
      <c r="M732" s="10"/>
      <c r="P732" s="11"/>
      <c r="Q732" s="12"/>
    </row>
    <row r="733" spans="1:17">
      <c r="A733" s="14">
        <v>39785</v>
      </c>
      <c r="B733" s="8">
        <v>571.33924922890458</v>
      </c>
      <c r="F733" s="7"/>
      <c r="G733" s="7"/>
      <c r="M733" s="10"/>
      <c r="P733" s="11"/>
      <c r="Q733" s="12"/>
    </row>
    <row r="734" spans="1:17">
      <c r="A734" s="14">
        <v>39786</v>
      </c>
      <c r="B734" s="8">
        <v>559.10061541813195</v>
      </c>
      <c r="F734" s="7"/>
      <c r="G734" s="7"/>
      <c r="M734" s="10"/>
      <c r="P734" s="11"/>
      <c r="Q734" s="12"/>
    </row>
    <row r="735" spans="1:17">
      <c r="A735" s="14">
        <v>39787</v>
      </c>
      <c r="B735" s="8">
        <v>561.16783041320048</v>
      </c>
      <c r="F735" s="7"/>
      <c r="G735" s="7"/>
      <c r="M735" s="10"/>
      <c r="P735" s="11"/>
      <c r="Q735" s="12"/>
    </row>
    <row r="736" spans="1:17">
      <c r="A736" s="14">
        <v>39790</v>
      </c>
      <c r="B736" s="8">
        <v>592.17483598759577</v>
      </c>
      <c r="F736" s="7"/>
      <c r="G736" s="7"/>
      <c r="M736" s="10"/>
      <c r="P736" s="11"/>
      <c r="Q736" s="12"/>
    </row>
    <row r="737" spans="1:17">
      <c r="A737" s="14">
        <v>39791</v>
      </c>
      <c r="B737" s="8">
        <v>589.24658786595171</v>
      </c>
      <c r="F737" s="7"/>
      <c r="G737" s="7"/>
      <c r="M737" s="10"/>
      <c r="P737" s="11"/>
      <c r="Q737" s="12"/>
    </row>
    <row r="738" spans="1:17">
      <c r="A738" s="14">
        <v>39792</v>
      </c>
      <c r="B738" s="8">
        <v>595.97045249874236</v>
      </c>
      <c r="F738" s="7"/>
      <c r="G738" s="7"/>
      <c r="M738" s="10"/>
      <c r="P738" s="11"/>
      <c r="Q738" s="12"/>
    </row>
    <row r="739" spans="1:17">
      <c r="A739" s="14">
        <v>39793</v>
      </c>
      <c r="B739" s="8">
        <v>573.91614246498966</v>
      </c>
      <c r="F739" s="7"/>
      <c r="G739" s="7"/>
      <c r="M739" s="10"/>
      <c r="P739" s="11"/>
      <c r="Q739" s="12"/>
    </row>
    <row r="740" spans="1:17">
      <c r="A740" s="14">
        <v>39794</v>
      </c>
      <c r="B740" s="8">
        <v>570.28062899546887</v>
      </c>
      <c r="F740" s="7"/>
      <c r="G740" s="7"/>
      <c r="M740" s="10"/>
      <c r="P740" s="11"/>
      <c r="Q740" s="12"/>
    </row>
    <row r="741" spans="1:17">
      <c r="A741" s="14">
        <v>39797</v>
      </c>
      <c r="B741" s="8">
        <v>556.38808635646524</v>
      </c>
      <c r="F741" s="7"/>
      <c r="G741" s="7"/>
      <c r="M741" s="10"/>
      <c r="P741" s="11"/>
      <c r="Q741" s="12"/>
    </row>
    <row r="742" spans="1:17">
      <c r="A742" s="14">
        <v>39798</v>
      </c>
      <c r="B742" s="8">
        <v>575.02444408221061</v>
      </c>
      <c r="F742" s="7"/>
      <c r="G742" s="7"/>
      <c r="M742" s="10"/>
      <c r="P742" s="11"/>
      <c r="Q742" s="12"/>
    </row>
    <row r="743" spans="1:17">
      <c r="A743" s="14">
        <v>39799</v>
      </c>
      <c r="B743" s="8">
        <v>562.27538764367625</v>
      </c>
      <c r="F743" s="7"/>
      <c r="G743" s="7"/>
      <c r="M743" s="10"/>
      <c r="P743" s="11"/>
      <c r="Q743" s="12"/>
    </row>
    <row r="744" spans="1:17">
      <c r="A744" s="14">
        <v>39800</v>
      </c>
      <c r="B744" s="8">
        <v>558.69459344348616</v>
      </c>
      <c r="F744" s="7"/>
      <c r="G744" s="7"/>
      <c r="M744" s="10"/>
      <c r="P744" s="11"/>
      <c r="Q744" s="12"/>
    </row>
    <row r="745" spans="1:17">
      <c r="A745" s="14">
        <v>39801</v>
      </c>
      <c r="B745" s="8">
        <v>568.74616440762554</v>
      </c>
      <c r="F745" s="7"/>
      <c r="G745" s="7"/>
      <c r="M745" s="10"/>
      <c r="P745" s="11"/>
      <c r="Q745" s="12"/>
    </row>
    <row r="746" spans="1:17">
      <c r="A746" s="14">
        <v>39804</v>
      </c>
      <c r="B746" s="8">
        <v>551.57060842599014</v>
      </c>
      <c r="F746" s="7"/>
      <c r="G746" s="7"/>
      <c r="M746" s="10"/>
      <c r="P746" s="11"/>
      <c r="Q746" s="12"/>
    </row>
    <row r="747" spans="1:17">
      <c r="A747" s="14">
        <v>39805</v>
      </c>
      <c r="B747" s="8">
        <v>545.68008544337545</v>
      </c>
      <c r="F747" s="7"/>
      <c r="G747" s="7"/>
      <c r="M747" s="10"/>
      <c r="P747" s="11"/>
      <c r="Q747" s="12"/>
    </row>
    <row r="748" spans="1:17">
      <c r="A748" s="14">
        <v>39806</v>
      </c>
      <c r="B748" s="8">
        <v>546.48246414040443</v>
      </c>
      <c r="F748" s="7"/>
      <c r="G748" s="7"/>
      <c r="M748" s="10"/>
      <c r="P748" s="11"/>
      <c r="Q748" s="12"/>
    </row>
    <row r="749" spans="1:17">
      <c r="A749" s="14">
        <v>39811</v>
      </c>
      <c r="B749" s="8">
        <v>542.85363234591307</v>
      </c>
      <c r="F749" s="7"/>
      <c r="G749" s="7"/>
      <c r="M749" s="10"/>
      <c r="P749" s="11"/>
      <c r="Q749" s="12"/>
    </row>
    <row r="750" spans="1:17">
      <c r="A750" s="14">
        <v>39812</v>
      </c>
      <c r="B750" s="8">
        <v>561.32981146286363</v>
      </c>
      <c r="F750" s="7"/>
      <c r="G750" s="7"/>
      <c r="M750" s="10"/>
      <c r="P750" s="11"/>
      <c r="Q750" s="12"/>
    </row>
    <row r="751" spans="1:17">
      <c r="A751" s="14">
        <v>39813</v>
      </c>
      <c r="B751" s="8">
        <v>570.53459605745445</v>
      </c>
      <c r="F751" s="7"/>
      <c r="G751" s="7"/>
      <c r="M751" s="10"/>
      <c r="P751" s="11"/>
      <c r="Q751" s="12"/>
    </row>
    <row r="752" spans="1:17">
      <c r="A752" s="14">
        <v>39815</v>
      </c>
      <c r="B752" s="8">
        <v>596.66478962842496</v>
      </c>
      <c r="F752" s="7"/>
      <c r="G752" s="7"/>
      <c r="M752" s="10"/>
      <c r="P752" s="11"/>
      <c r="Q752" s="12"/>
    </row>
    <row r="753" spans="1:17">
      <c r="A753" s="14">
        <v>39818</v>
      </c>
      <c r="B753" s="8">
        <v>606.79633156040381</v>
      </c>
      <c r="F753" s="7"/>
      <c r="G753" s="7"/>
      <c r="M753" s="10"/>
      <c r="P753" s="11"/>
      <c r="Q753" s="12"/>
    </row>
    <row r="754" spans="1:17">
      <c r="A754" s="14">
        <v>39819</v>
      </c>
      <c r="B754" s="8">
        <v>621.44759625347774</v>
      </c>
      <c r="F754" s="7"/>
      <c r="G754" s="7"/>
      <c r="M754" s="10"/>
      <c r="P754" s="11"/>
      <c r="Q754" s="12"/>
    </row>
    <row r="755" spans="1:17">
      <c r="A755" s="14">
        <v>39820</v>
      </c>
      <c r="B755" s="8">
        <v>601.5315349855216</v>
      </c>
      <c r="F755" s="7"/>
      <c r="G755" s="7"/>
      <c r="M755" s="10"/>
      <c r="P755" s="11"/>
      <c r="Q755" s="12"/>
    </row>
    <row r="756" spans="1:17">
      <c r="A756" s="14">
        <v>39821</v>
      </c>
      <c r="B756" s="8">
        <v>599.72511496698235</v>
      </c>
      <c r="F756" s="7"/>
      <c r="G756" s="7"/>
      <c r="M756" s="10"/>
      <c r="P756" s="11"/>
      <c r="Q756" s="12"/>
    </row>
    <row r="757" spans="1:17">
      <c r="A757" s="14">
        <v>39822</v>
      </c>
      <c r="B757" s="8">
        <v>593.23610761153543</v>
      </c>
      <c r="F757" s="7"/>
      <c r="G757" s="7"/>
      <c r="M757" s="10"/>
      <c r="P757" s="11"/>
      <c r="Q757" s="12"/>
    </row>
    <row r="758" spans="1:17">
      <c r="A758" s="14">
        <v>39825</v>
      </c>
      <c r="B758" s="8">
        <v>580.60598659058553</v>
      </c>
      <c r="F758" s="7"/>
      <c r="G758" s="7"/>
      <c r="M758" s="10"/>
      <c r="P758" s="11"/>
      <c r="Q758" s="12"/>
    </row>
    <row r="759" spans="1:17">
      <c r="A759" s="14">
        <v>39826</v>
      </c>
      <c r="B759" s="8">
        <v>581.46319706901966</v>
      </c>
      <c r="F759" s="7"/>
      <c r="G759" s="7"/>
      <c r="M759" s="10"/>
      <c r="P759" s="11"/>
      <c r="Q759" s="12"/>
    </row>
    <row r="760" spans="1:17">
      <c r="A760" s="14">
        <v>39827</v>
      </c>
      <c r="B760" s="8">
        <v>553.00820785138546</v>
      </c>
      <c r="F760" s="7"/>
      <c r="G760" s="7"/>
      <c r="M760" s="10"/>
      <c r="P760" s="11"/>
      <c r="Q760" s="12"/>
    </row>
    <row r="761" spans="1:17">
      <c r="A761" s="14">
        <v>39828</v>
      </c>
      <c r="B761" s="8">
        <v>551.43477692052784</v>
      </c>
      <c r="F761" s="7"/>
      <c r="G761" s="7"/>
      <c r="M761" s="10"/>
      <c r="P761" s="11"/>
      <c r="Q761" s="12"/>
    </row>
    <row r="762" spans="1:17">
      <c r="A762" s="14">
        <v>39829</v>
      </c>
      <c r="B762" s="8">
        <v>554.1846506050648</v>
      </c>
      <c r="F762" s="7"/>
      <c r="G762" s="7"/>
      <c r="M762" s="10"/>
      <c r="P762" s="11"/>
      <c r="Q762" s="12"/>
    </row>
    <row r="763" spans="1:17">
      <c r="A763" s="14">
        <v>39833</v>
      </c>
      <c r="B763" s="8">
        <v>527.83493101006434</v>
      </c>
      <c r="F763" s="7"/>
      <c r="G763" s="7"/>
      <c r="M763" s="10"/>
      <c r="P763" s="11"/>
      <c r="Q763" s="12"/>
    </row>
    <row r="764" spans="1:17">
      <c r="A764" s="14">
        <v>39834</v>
      </c>
      <c r="B764" s="8">
        <v>543.29669892061543</v>
      </c>
      <c r="F764" s="7"/>
      <c r="G764" s="7"/>
      <c r="M764" s="10"/>
      <c r="P764" s="11"/>
      <c r="Q764" s="12"/>
    </row>
    <row r="765" spans="1:17">
      <c r="A765" s="14">
        <v>39835</v>
      </c>
      <c r="B765" s="8">
        <v>530.65653727163044</v>
      </c>
      <c r="F765" s="7"/>
      <c r="G765" s="7"/>
      <c r="M765" s="10"/>
      <c r="P765" s="11"/>
      <c r="Q765" s="12"/>
    </row>
    <row r="766" spans="1:17">
      <c r="A766" s="14">
        <v>39836</v>
      </c>
      <c r="B766" s="8">
        <v>531.26110350221086</v>
      </c>
      <c r="F766" s="7"/>
      <c r="G766" s="7"/>
      <c r="M766" s="10"/>
      <c r="P766" s="11"/>
      <c r="Q766" s="12"/>
    </row>
    <row r="767" spans="1:17">
      <c r="A767" s="14">
        <v>39839</v>
      </c>
      <c r="B767" s="8">
        <v>540.87417597898104</v>
      </c>
      <c r="F767" s="7"/>
      <c r="G767" s="7"/>
      <c r="M767" s="10"/>
      <c r="P767" s="11"/>
      <c r="Q767" s="12"/>
    </row>
    <row r="768" spans="1:17">
      <c r="A768" s="14">
        <v>39840</v>
      </c>
      <c r="B768" s="8">
        <v>543.3765227158267</v>
      </c>
      <c r="F768" s="7"/>
      <c r="G768" s="7"/>
      <c r="M768" s="10"/>
      <c r="P768" s="11"/>
      <c r="Q768" s="12"/>
    </row>
    <row r="769" spans="1:17">
      <c r="A769" s="14">
        <v>39841</v>
      </c>
      <c r="B769" s="8">
        <v>570.19396277350154</v>
      </c>
      <c r="F769" s="7"/>
      <c r="G769" s="7"/>
      <c r="M769" s="10"/>
      <c r="P769" s="11"/>
      <c r="Q769" s="12"/>
    </row>
    <row r="770" spans="1:17">
      <c r="A770" s="14">
        <v>39842</v>
      </c>
      <c r="B770" s="8">
        <v>555.7061916253756</v>
      </c>
      <c r="F770" s="7"/>
      <c r="G770" s="7"/>
      <c r="M770" s="10"/>
      <c r="P770" s="11"/>
      <c r="Q770" s="12"/>
    </row>
    <row r="771" spans="1:17">
      <c r="A771" s="14">
        <v>39843</v>
      </c>
      <c r="B771" s="8">
        <v>545.65821370757067</v>
      </c>
      <c r="F771" s="7"/>
      <c r="G771" s="7"/>
      <c r="M771" s="10"/>
      <c r="P771" s="11"/>
      <c r="Q771" s="12"/>
    </row>
    <row r="772" spans="1:17">
      <c r="A772" s="14">
        <v>39846</v>
      </c>
      <c r="B772" s="8">
        <v>538.411612109982</v>
      </c>
      <c r="F772" s="7"/>
      <c r="G772" s="7"/>
      <c r="M772" s="10"/>
      <c r="P772" s="11"/>
      <c r="Q772" s="12"/>
    </row>
    <row r="773" spans="1:17">
      <c r="A773" s="14">
        <v>39847</v>
      </c>
      <c r="B773" s="8">
        <v>547.13812138530557</v>
      </c>
      <c r="F773" s="7"/>
      <c r="G773" s="7"/>
      <c r="M773" s="10"/>
      <c r="P773" s="11"/>
      <c r="Q773" s="12"/>
    </row>
    <row r="774" spans="1:17">
      <c r="A774" s="14">
        <v>39848</v>
      </c>
      <c r="B774" s="8">
        <v>554.96092736091236</v>
      </c>
      <c r="F774" s="7"/>
      <c r="G774" s="7"/>
      <c r="M774" s="10"/>
      <c r="P774" s="11"/>
      <c r="Q774" s="12"/>
    </row>
    <row r="775" spans="1:17">
      <c r="A775" s="14">
        <v>39849</v>
      </c>
      <c r="B775" s="8">
        <v>559.27706534358595</v>
      </c>
      <c r="F775" s="7"/>
      <c r="G775" s="7"/>
      <c r="M775" s="10"/>
      <c r="P775" s="11"/>
      <c r="Q775" s="12"/>
    </row>
    <row r="776" spans="1:17">
      <c r="A776" s="14">
        <v>39850</v>
      </c>
      <c r="B776" s="8">
        <v>577.60615416212408</v>
      </c>
      <c r="F776" s="7"/>
      <c r="G776" s="7"/>
      <c r="M776" s="10"/>
      <c r="P776" s="11"/>
      <c r="Q776" s="12"/>
    </row>
    <row r="777" spans="1:17">
      <c r="A777" s="14">
        <v>39853</v>
      </c>
      <c r="B777" s="8">
        <v>575.84042225146004</v>
      </c>
      <c r="F777" s="7"/>
      <c r="G777" s="7"/>
      <c r="M777" s="10"/>
      <c r="P777" s="11"/>
      <c r="Q777" s="12"/>
    </row>
    <row r="778" spans="1:17">
      <c r="A778" s="14">
        <v>39854</v>
      </c>
      <c r="B778" s="8">
        <v>548.10481648044833</v>
      </c>
      <c r="F778" s="7"/>
      <c r="G778" s="7"/>
      <c r="M778" s="10"/>
      <c r="P778" s="11"/>
      <c r="Q778" s="12"/>
    </row>
    <row r="779" spans="1:17">
      <c r="A779" s="14">
        <v>39855</v>
      </c>
      <c r="B779" s="8">
        <v>552.76953968678333</v>
      </c>
      <c r="F779" s="7"/>
      <c r="G779" s="7"/>
      <c r="M779" s="10"/>
      <c r="P779" s="11"/>
      <c r="Q779" s="12"/>
    </row>
    <row r="780" spans="1:17">
      <c r="A780" s="14">
        <v>39856</v>
      </c>
      <c r="B780" s="8">
        <v>546.21779126597232</v>
      </c>
      <c r="F780" s="7"/>
      <c r="G780" s="7"/>
      <c r="M780" s="10"/>
      <c r="P780" s="11"/>
      <c r="Q780" s="12"/>
    </row>
    <row r="781" spans="1:17">
      <c r="A781" s="14">
        <v>39857</v>
      </c>
      <c r="B781" s="8">
        <v>544.06018550366809</v>
      </c>
      <c r="F781" s="7"/>
      <c r="G781" s="7"/>
      <c r="M781" s="10"/>
      <c r="P781" s="11"/>
      <c r="Q781" s="12"/>
    </row>
    <row r="782" spans="1:17">
      <c r="A782" s="14">
        <v>39861</v>
      </c>
      <c r="B782" s="8">
        <v>519.23474738614902</v>
      </c>
      <c r="F782" s="7"/>
      <c r="G782" s="7"/>
      <c r="M782" s="10"/>
      <c r="P782" s="11"/>
      <c r="Q782" s="12"/>
    </row>
    <row r="783" spans="1:17">
      <c r="A783" s="14">
        <v>39862</v>
      </c>
      <c r="B783" s="8">
        <v>517.88567868134498</v>
      </c>
      <c r="F783" s="7"/>
      <c r="G783" s="7"/>
      <c r="M783" s="10"/>
      <c r="P783" s="11"/>
      <c r="Q783" s="12"/>
    </row>
    <row r="784" spans="1:17">
      <c r="A784" s="14">
        <v>39863</v>
      </c>
      <c r="B784" s="8">
        <v>511.56487763841091</v>
      </c>
      <c r="F784" s="7"/>
      <c r="G784" s="7"/>
      <c r="M784" s="10"/>
      <c r="P784" s="11"/>
      <c r="Q784" s="12"/>
    </row>
    <row r="785" spans="1:17">
      <c r="A785" s="14">
        <v>39864</v>
      </c>
      <c r="B785" s="8">
        <v>492.24448030994182</v>
      </c>
      <c r="F785" s="7"/>
      <c r="G785" s="7"/>
      <c r="M785" s="10"/>
      <c r="P785" s="11"/>
      <c r="Q785" s="12"/>
    </row>
    <row r="786" spans="1:17">
      <c r="A786" s="14">
        <v>39867</v>
      </c>
      <c r="B786" s="8">
        <v>477.86330174042337</v>
      </c>
      <c r="F786" s="7"/>
      <c r="G786" s="7"/>
      <c r="M786" s="10"/>
      <c r="P786" s="11"/>
      <c r="Q786" s="12"/>
    </row>
    <row r="787" spans="1:17">
      <c r="A787" s="14">
        <v>39868</v>
      </c>
      <c r="B787" s="8">
        <v>487.96793450645453</v>
      </c>
      <c r="F787" s="7"/>
      <c r="G787" s="7"/>
      <c r="M787" s="10"/>
      <c r="P787" s="11"/>
      <c r="Q787" s="12"/>
    </row>
    <row r="788" spans="1:17">
      <c r="A788" s="14">
        <v>39869</v>
      </c>
      <c r="B788" s="8">
        <v>483.80847137743962</v>
      </c>
      <c r="F788" s="7"/>
      <c r="G788" s="7"/>
      <c r="M788" s="10"/>
      <c r="P788" s="11"/>
      <c r="Q788" s="12"/>
    </row>
    <row r="789" spans="1:17">
      <c r="A789" s="14">
        <v>39870</v>
      </c>
      <c r="B789" s="8">
        <v>487.75578000422354</v>
      </c>
      <c r="F789" s="7"/>
      <c r="G789" s="7"/>
      <c r="M789" s="10"/>
      <c r="P789" s="11"/>
      <c r="Q789" s="12"/>
    </row>
    <row r="790" spans="1:17">
      <c r="A790" s="14">
        <v>39871</v>
      </c>
      <c r="B790" s="8">
        <v>477.3758339329753</v>
      </c>
      <c r="F790" s="7"/>
      <c r="G790" s="7"/>
      <c r="M790" s="10"/>
      <c r="P790" s="11"/>
      <c r="Q790" s="12"/>
    </row>
    <row r="791" spans="1:17">
      <c r="A791" s="14">
        <v>39874</v>
      </c>
      <c r="B791" s="8">
        <v>451.32066396584526</v>
      </c>
      <c r="F791" s="7"/>
      <c r="G791" s="7"/>
      <c r="M791" s="10"/>
      <c r="P791" s="11"/>
      <c r="Q791" s="12"/>
    </row>
    <row r="792" spans="1:17">
      <c r="A792" s="14">
        <v>39875</v>
      </c>
      <c r="B792" s="8">
        <v>446.81385787365627</v>
      </c>
      <c r="F792" s="7"/>
      <c r="G792" s="7"/>
      <c r="M792" s="10"/>
      <c r="P792" s="11"/>
      <c r="Q792" s="12"/>
    </row>
    <row r="793" spans="1:17">
      <c r="A793" s="14">
        <v>39876</v>
      </c>
      <c r="B793" s="8">
        <v>464.10160725189996</v>
      </c>
      <c r="F793" s="7"/>
      <c r="G793" s="7"/>
      <c r="M793" s="10"/>
      <c r="P793" s="11"/>
      <c r="Q793" s="12"/>
    </row>
    <row r="794" spans="1:17">
      <c r="A794" s="14">
        <v>39877</v>
      </c>
      <c r="B794" s="8">
        <v>439.57319433002084</v>
      </c>
      <c r="F794" s="7"/>
      <c r="G794" s="7"/>
      <c r="M794" s="10"/>
      <c r="P794" s="11"/>
      <c r="Q794" s="12"/>
    </row>
    <row r="795" spans="1:17">
      <c r="A795" s="14">
        <v>39878</v>
      </c>
      <c r="B795" s="8">
        <v>431.71441793097392</v>
      </c>
      <c r="F795" s="7"/>
      <c r="G795" s="7"/>
      <c r="M795" s="10"/>
      <c r="P795" s="11"/>
      <c r="Q795" s="12"/>
    </row>
    <row r="796" spans="1:17">
      <c r="A796" s="14">
        <v>39881</v>
      </c>
      <c r="B796" s="8">
        <v>429.70019771327225</v>
      </c>
      <c r="F796" s="7"/>
      <c r="G796" s="7"/>
      <c r="M796" s="10"/>
      <c r="P796" s="11"/>
      <c r="Q796" s="12"/>
    </row>
    <row r="797" spans="1:17">
      <c r="A797" s="14">
        <v>39882</v>
      </c>
      <c r="B797" s="8">
        <v>462.37879432253652</v>
      </c>
      <c r="F797" s="7"/>
      <c r="G797" s="7"/>
      <c r="M797" s="10"/>
      <c r="P797" s="11"/>
      <c r="Q797" s="12"/>
    </row>
    <row r="798" spans="1:17">
      <c r="A798" s="14">
        <v>39883</v>
      </c>
      <c r="B798" s="8">
        <v>464.44975161203149</v>
      </c>
      <c r="F798" s="7"/>
      <c r="G798" s="7"/>
      <c r="M798" s="10"/>
      <c r="P798" s="11"/>
      <c r="Q798" s="12"/>
    </row>
    <row r="799" spans="1:17">
      <c r="A799" s="14">
        <v>39884</v>
      </c>
      <c r="B799" s="8">
        <v>478.50367512192304</v>
      </c>
      <c r="F799" s="7"/>
      <c r="G799" s="7"/>
      <c r="M799" s="10"/>
      <c r="P799" s="11"/>
      <c r="Q799" s="12"/>
    </row>
    <row r="800" spans="1:17">
      <c r="A800" s="14">
        <v>39885</v>
      </c>
      <c r="B800" s="8">
        <v>479.84519314466343</v>
      </c>
      <c r="F800" s="7"/>
      <c r="G800" s="7"/>
      <c r="M800" s="10"/>
      <c r="P800" s="11"/>
      <c r="Q800" s="12"/>
    </row>
    <row r="801" spans="1:17">
      <c r="A801" s="14">
        <v>39888</v>
      </c>
      <c r="B801" s="8">
        <v>484.30769886614388</v>
      </c>
      <c r="F801" s="7"/>
      <c r="G801" s="7"/>
      <c r="M801" s="10"/>
      <c r="P801" s="11"/>
      <c r="Q801" s="12"/>
    </row>
    <row r="802" spans="1:17">
      <c r="A802" s="14">
        <v>39889</v>
      </c>
      <c r="B802" s="8">
        <v>490.9843081743806</v>
      </c>
      <c r="F802" s="7"/>
      <c r="G802" s="7"/>
      <c r="M802" s="10"/>
      <c r="P802" s="11"/>
      <c r="Q802" s="12"/>
    </row>
    <row r="803" spans="1:17">
      <c r="A803" s="14">
        <v>39890</v>
      </c>
      <c r="B803" s="8">
        <v>498.38454574646164</v>
      </c>
      <c r="F803" s="7"/>
      <c r="G803" s="7"/>
      <c r="M803" s="10"/>
      <c r="P803" s="11"/>
      <c r="Q803" s="12"/>
    </row>
    <row r="804" spans="1:17">
      <c r="A804" s="14">
        <v>39891</v>
      </c>
      <c r="B804" s="8">
        <v>489.61322797539867</v>
      </c>
      <c r="F804" s="7"/>
      <c r="G804" s="7"/>
      <c r="M804" s="10"/>
      <c r="P804" s="11"/>
      <c r="Q804" s="12"/>
    </row>
    <row r="805" spans="1:17">
      <c r="A805" s="14">
        <v>39892</v>
      </c>
      <c r="B805" s="8">
        <v>486.07699418602294</v>
      </c>
      <c r="F805" s="7"/>
      <c r="G805" s="7"/>
      <c r="M805" s="10"/>
      <c r="P805" s="11"/>
      <c r="Q805" s="12"/>
    </row>
    <row r="806" spans="1:17">
      <c r="A806" s="14">
        <v>39895</v>
      </c>
      <c r="B806" s="8">
        <v>518.01191048291605</v>
      </c>
      <c r="F806" s="7"/>
      <c r="G806" s="7"/>
      <c r="M806" s="10"/>
      <c r="P806" s="11"/>
      <c r="Q806" s="12"/>
    </row>
    <row r="807" spans="1:17">
      <c r="A807" s="14">
        <v>39896</v>
      </c>
      <c r="B807" s="8">
        <v>514.28329662256237</v>
      </c>
      <c r="F807" s="7"/>
      <c r="G807" s="7"/>
      <c r="M807" s="10"/>
      <c r="P807" s="11"/>
      <c r="Q807" s="12"/>
    </row>
    <row r="808" spans="1:17">
      <c r="A808" s="14">
        <v>39897</v>
      </c>
      <c r="B808" s="8">
        <v>518.8333570679473</v>
      </c>
      <c r="F808" s="7"/>
      <c r="G808" s="7"/>
      <c r="M808" s="10"/>
      <c r="P808" s="11"/>
      <c r="Q808" s="12"/>
    </row>
    <row r="809" spans="1:17">
      <c r="A809" s="14">
        <v>39898</v>
      </c>
      <c r="B809" s="8">
        <v>530.35443548411513</v>
      </c>
      <c r="F809" s="7"/>
      <c r="G809" s="7"/>
      <c r="M809" s="10"/>
      <c r="P809" s="11"/>
      <c r="Q809" s="12"/>
    </row>
    <row r="810" spans="1:17">
      <c r="A810" s="14">
        <v>39899</v>
      </c>
      <c r="B810" s="8">
        <v>524.06345958977272</v>
      </c>
      <c r="F810" s="7"/>
      <c r="G810" s="7"/>
      <c r="M810" s="10"/>
      <c r="P810" s="11"/>
      <c r="Q810" s="12"/>
    </row>
    <row r="811" spans="1:17">
      <c r="A811" s="14">
        <v>39902</v>
      </c>
      <c r="B811" s="8">
        <v>496.59950267688714</v>
      </c>
      <c r="F811" s="7"/>
      <c r="G811" s="7"/>
      <c r="M811" s="10"/>
      <c r="P811" s="11"/>
      <c r="Q811" s="12"/>
    </row>
    <row r="812" spans="1:17">
      <c r="A812" s="14">
        <v>39903</v>
      </c>
      <c r="B812" s="8">
        <v>508.38839374559024</v>
      </c>
      <c r="F812" s="7"/>
      <c r="G812" s="7"/>
      <c r="M812" s="10"/>
      <c r="P812" s="11"/>
      <c r="Q812" s="12"/>
    </row>
    <row r="813" spans="1:17">
      <c r="A813" s="14">
        <v>39904</v>
      </c>
      <c r="B813" s="8">
        <v>519.36674132824066</v>
      </c>
      <c r="F813" s="7"/>
      <c r="G813" s="7"/>
      <c r="M813" s="10"/>
      <c r="P813" s="11"/>
      <c r="Q813" s="12"/>
    </row>
    <row r="814" spans="1:17">
      <c r="A814" s="14">
        <v>39905</v>
      </c>
      <c r="B814" s="8">
        <v>543.9735824513067</v>
      </c>
      <c r="F814" s="7"/>
      <c r="G814" s="7"/>
      <c r="M814" s="10"/>
      <c r="P814" s="11"/>
      <c r="Q814" s="12"/>
    </row>
    <row r="815" spans="1:17">
      <c r="A815" s="14">
        <v>39906</v>
      </c>
      <c r="B815" s="8">
        <v>550.0445673468688</v>
      </c>
      <c r="F815" s="7"/>
      <c r="G815" s="7"/>
      <c r="M815" s="10"/>
      <c r="P815" s="11"/>
      <c r="Q815" s="12"/>
    </row>
    <row r="816" spans="1:17">
      <c r="A816" s="14">
        <v>39909</v>
      </c>
      <c r="B816" s="8">
        <v>544.28548588561659</v>
      </c>
      <c r="F816" s="7"/>
      <c r="G816" s="7"/>
      <c r="M816" s="10"/>
      <c r="P816" s="11"/>
      <c r="Q816" s="12"/>
    </row>
    <row r="817" spans="1:17">
      <c r="A817" s="14">
        <v>39910</v>
      </c>
      <c r="B817" s="8">
        <v>533.87329258960813</v>
      </c>
      <c r="F817" s="7"/>
      <c r="G817" s="7"/>
      <c r="M817" s="10"/>
      <c r="P817" s="11"/>
      <c r="Q817" s="12"/>
    </row>
    <row r="818" spans="1:17">
      <c r="A818" s="14">
        <v>39911</v>
      </c>
      <c r="B818" s="8">
        <v>543.0841883541101</v>
      </c>
      <c r="F818" s="7"/>
      <c r="G818" s="7"/>
      <c r="M818" s="10"/>
      <c r="P818" s="11"/>
      <c r="Q818" s="12"/>
    </row>
    <row r="819" spans="1:17">
      <c r="A819" s="14">
        <v>39912</v>
      </c>
      <c r="B819" s="8">
        <v>573.99270322771758</v>
      </c>
      <c r="F819" s="7"/>
      <c r="G819" s="7"/>
      <c r="M819" s="10"/>
      <c r="P819" s="11"/>
      <c r="Q819" s="12"/>
    </row>
    <row r="820" spans="1:17">
      <c r="A820" s="14">
        <v>39917</v>
      </c>
      <c r="B820" s="8">
        <v>571.35659290277636</v>
      </c>
      <c r="F820" s="7"/>
      <c r="G820" s="7"/>
      <c r="M820" s="10"/>
      <c r="P820" s="11"/>
      <c r="Q820" s="12"/>
    </row>
    <row r="821" spans="1:17">
      <c r="A821" s="14">
        <v>39918</v>
      </c>
      <c r="B821" s="8">
        <v>575.48156607463989</v>
      </c>
      <c r="F821" s="7"/>
      <c r="G821" s="7"/>
      <c r="M821" s="10"/>
      <c r="P821" s="11"/>
      <c r="Q821" s="12"/>
    </row>
    <row r="822" spans="1:17">
      <c r="A822" s="14">
        <v>39919</v>
      </c>
      <c r="B822" s="8">
        <v>589.30166454227401</v>
      </c>
      <c r="F822" s="7"/>
      <c r="G822" s="7"/>
      <c r="M822" s="10"/>
      <c r="P822" s="11"/>
      <c r="Q822" s="12"/>
    </row>
    <row r="823" spans="1:17">
      <c r="A823" s="14">
        <v>39920</v>
      </c>
      <c r="B823" s="8">
        <v>604.69544116779866</v>
      </c>
      <c r="F823" s="7"/>
      <c r="G823" s="7"/>
      <c r="M823" s="10"/>
      <c r="P823" s="11"/>
      <c r="Q823" s="12"/>
    </row>
    <row r="824" spans="1:17">
      <c r="A824" s="14">
        <v>39923</v>
      </c>
      <c r="B824" s="8">
        <v>571.8689624743007</v>
      </c>
      <c r="F824" s="7"/>
      <c r="G824" s="7"/>
      <c r="M824" s="10"/>
      <c r="P824" s="11"/>
      <c r="Q824" s="12"/>
    </row>
    <row r="825" spans="1:17">
      <c r="A825" s="14">
        <v>39924</v>
      </c>
      <c r="B825" s="8">
        <v>580.49647876567656</v>
      </c>
      <c r="F825" s="7"/>
      <c r="G825" s="7"/>
      <c r="M825" s="10"/>
      <c r="P825" s="11"/>
      <c r="Q825" s="12"/>
    </row>
    <row r="826" spans="1:17">
      <c r="A826" s="14">
        <v>39925</v>
      </c>
      <c r="B826" s="8">
        <v>587.53830155522871</v>
      </c>
      <c r="F826" s="7"/>
      <c r="G826" s="7"/>
      <c r="M826" s="10"/>
      <c r="P826" s="11"/>
      <c r="Q826" s="12"/>
    </row>
    <row r="827" spans="1:17">
      <c r="A827" s="14">
        <v>39926</v>
      </c>
      <c r="B827" s="8">
        <v>587.21759742206166</v>
      </c>
      <c r="F827" s="7"/>
      <c r="G827" s="7"/>
      <c r="M827" s="10"/>
      <c r="P827" s="11"/>
      <c r="Q827" s="12"/>
    </row>
    <row r="828" spans="1:17">
      <c r="A828" s="14">
        <v>39927</v>
      </c>
      <c r="B828" s="8">
        <v>599.5529406940426</v>
      </c>
      <c r="F828" s="7"/>
      <c r="G828" s="7"/>
      <c r="M828" s="10"/>
      <c r="P828" s="11"/>
      <c r="Q828" s="12"/>
    </row>
    <row r="829" spans="1:17">
      <c r="A829" s="14">
        <v>39930</v>
      </c>
      <c r="B829" s="8">
        <v>595.64015607130318</v>
      </c>
      <c r="F829" s="7"/>
      <c r="G829" s="7"/>
      <c r="M829" s="10"/>
      <c r="P829" s="11"/>
      <c r="Q829" s="12"/>
    </row>
    <row r="830" spans="1:17">
      <c r="A830" s="14">
        <v>39931</v>
      </c>
      <c r="B830" s="8">
        <v>587.91351026752875</v>
      </c>
      <c r="F830" s="7"/>
      <c r="G830" s="7"/>
      <c r="M830" s="10"/>
      <c r="P830" s="11"/>
      <c r="Q830" s="12"/>
    </row>
    <row r="831" spans="1:17">
      <c r="A831" s="14">
        <v>39932</v>
      </c>
      <c r="B831" s="8">
        <v>599.84298013163527</v>
      </c>
      <c r="F831" s="7"/>
      <c r="G831" s="7"/>
      <c r="M831" s="10"/>
      <c r="P831" s="11"/>
      <c r="Q831" s="12"/>
    </row>
    <row r="832" spans="1:17">
      <c r="A832" s="14">
        <v>39933</v>
      </c>
      <c r="B832" s="8">
        <v>613.24128326088533</v>
      </c>
      <c r="F832" s="7"/>
      <c r="G832" s="7"/>
      <c r="M832" s="10"/>
      <c r="P832" s="11"/>
      <c r="Q832" s="12"/>
    </row>
    <row r="833" spans="1:17">
      <c r="A833" s="14">
        <v>39937</v>
      </c>
      <c r="B833" s="8">
        <v>635.72728306812428</v>
      </c>
      <c r="F833" s="7"/>
      <c r="G833" s="7"/>
      <c r="M833" s="10"/>
      <c r="P833" s="11"/>
      <c r="Q833" s="12"/>
    </row>
    <row r="834" spans="1:17">
      <c r="A834" s="14">
        <v>39938</v>
      </c>
      <c r="B834" s="8">
        <v>634.15865460903569</v>
      </c>
      <c r="F834" s="7"/>
      <c r="G834" s="7"/>
      <c r="M834" s="10"/>
      <c r="P834" s="11"/>
      <c r="Q834" s="12"/>
    </row>
    <row r="835" spans="1:17">
      <c r="A835" s="14">
        <v>39939</v>
      </c>
      <c r="B835" s="8">
        <v>646.42234280289688</v>
      </c>
      <c r="F835" s="7"/>
      <c r="G835" s="7"/>
      <c r="M835" s="10"/>
      <c r="P835" s="11"/>
      <c r="Q835" s="12"/>
    </row>
    <row r="836" spans="1:17">
      <c r="A836" s="14">
        <v>39940</v>
      </c>
      <c r="B836" s="8">
        <v>633.37269785385126</v>
      </c>
      <c r="F836" s="7"/>
      <c r="G836" s="7"/>
      <c r="M836" s="10"/>
      <c r="P836" s="11"/>
      <c r="Q836" s="12"/>
    </row>
    <row r="837" spans="1:17">
      <c r="A837" s="14">
        <v>39941</v>
      </c>
      <c r="B837" s="8">
        <v>651.94663264807093</v>
      </c>
      <c r="F837" s="7"/>
      <c r="G837" s="7"/>
      <c r="M837" s="10"/>
      <c r="P837" s="11"/>
      <c r="Q837" s="12"/>
    </row>
    <row r="838" spans="1:17">
      <c r="A838" s="14">
        <v>39944</v>
      </c>
      <c r="B838" s="8">
        <v>634.73184700739773</v>
      </c>
      <c r="F838" s="7"/>
      <c r="G838" s="7"/>
      <c r="M838" s="10"/>
      <c r="P838" s="11"/>
      <c r="Q838" s="12"/>
    </row>
    <row r="839" spans="1:17">
      <c r="A839" s="14">
        <v>39945</v>
      </c>
      <c r="B839" s="8">
        <v>628.942817280535</v>
      </c>
      <c r="F839" s="7"/>
      <c r="G839" s="7"/>
      <c r="M839" s="10"/>
      <c r="P839" s="11"/>
      <c r="Q839" s="12"/>
    </row>
    <row r="840" spans="1:17">
      <c r="A840" s="14">
        <v>39946</v>
      </c>
      <c r="B840" s="8">
        <v>600.60258303684873</v>
      </c>
      <c r="F840" s="7"/>
      <c r="G840" s="7"/>
      <c r="M840" s="10"/>
      <c r="P840" s="11"/>
      <c r="Q840" s="12"/>
    </row>
    <row r="841" spans="1:17">
      <c r="A841" s="14">
        <v>39947</v>
      </c>
      <c r="B841" s="8">
        <v>607.17420547940799</v>
      </c>
      <c r="F841" s="7"/>
      <c r="G841" s="7"/>
      <c r="M841" s="10"/>
      <c r="P841" s="11"/>
      <c r="Q841" s="12"/>
    </row>
    <row r="842" spans="1:17">
      <c r="A842" s="14">
        <v>39948</v>
      </c>
      <c r="B842" s="8">
        <v>608.08352543729563</v>
      </c>
      <c r="F842" s="7"/>
      <c r="G842" s="7"/>
      <c r="M842" s="10"/>
      <c r="P842" s="11"/>
      <c r="Q842" s="12"/>
    </row>
    <row r="843" spans="1:17">
      <c r="A843" s="14">
        <v>39951</v>
      </c>
      <c r="B843" s="8">
        <v>631.56199797330805</v>
      </c>
      <c r="F843" s="7"/>
      <c r="G843" s="7"/>
      <c r="M843" s="10"/>
      <c r="P843" s="11"/>
      <c r="Q843" s="12"/>
    </row>
    <row r="844" spans="1:17">
      <c r="A844" s="14">
        <v>39952</v>
      </c>
      <c r="B844" s="8">
        <v>638.14563396242124</v>
      </c>
      <c r="F844" s="7"/>
      <c r="G844" s="7"/>
      <c r="M844" s="10"/>
      <c r="P844" s="11"/>
      <c r="Q844" s="12"/>
    </row>
    <row r="845" spans="1:17">
      <c r="A845" s="14">
        <v>39953</v>
      </c>
      <c r="B845" s="8">
        <v>636.89946706942385</v>
      </c>
      <c r="F845" s="7"/>
      <c r="G845" s="7"/>
      <c r="M845" s="10"/>
      <c r="P845" s="11"/>
      <c r="Q845" s="12"/>
    </row>
    <row r="846" spans="1:17">
      <c r="A846" s="14">
        <v>39954</v>
      </c>
      <c r="B846" s="8">
        <v>616.82927606805106</v>
      </c>
      <c r="F846" s="7"/>
      <c r="G846" s="7"/>
      <c r="M846" s="10"/>
      <c r="P846" s="11"/>
      <c r="Q846" s="12"/>
    </row>
    <row r="847" spans="1:17">
      <c r="A847" s="14">
        <v>39955</v>
      </c>
      <c r="B847" s="8">
        <v>616.1213336025977</v>
      </c>
      <c r="F847" s="7"/>
      <c r="G847" s="7"/>
      <c r="M847" s="10"/>
      <c r="P847" s="11"/>
      <c r="Q847" s="12"/>
    </row>
    <row r="848" spans="1:17">
      <c r="A848" s="14">
        <v>39958</v>
      </c>
      <c r="B848" s="8">
        <v>616.85915031219884</v>
      </c>
      <c r="F848" s="7"/>
      <c r="G848" s="7"/>
      <c r="M848" s="10"/>
      <c r="P848" s="11"/>
      <c r="Q848" s="12"/>
    </row>
    <row r="849" spans="1:17">
      <c r="A849" s="14">
        <v>39959</v>
      </c>
      <c r="B849" s="8">
        <v>631.55076607011188</v>
      </c>
      <c r="F849" s="7"/>
      <c r="G849" s="7"/>
      <c r="M849" s="10"/>
      <c r="P849" s="11"/>
      <c r="Q849" s="12"/>
    </row>
    <row r="850" spans="1:17">
      <c r="A850" s="14">
        <v>39960</v>
      </c>
      <c r="B850" s="8">
        <v>628.29770142110067</v>
      </c>
      <c r="F850" s="7"/>
      <c r="G850" s="7"/>
      <c r="M850" s="10"/>
      <c r="P850" s="11"/>
      <c r="Q850" s="12"/>
    </row>
    <row r="851" spans="1:17">
      <c r="A851" s="14">
        <v>39961</v>
      </c>
      <c r="B851" s="8">
        <v>628.08481576030704</v>
      </c>
      <c r="F851" s="7"/>
      <c r="G851" s="7"/>
      <c r="M851" s="10"/>
      <c r="P851" s="11"/>
      <c r="Q851" s="12"/>
    </row>
    <row r="852" spans="1:17">
      <c r="A852" s="14">
        <v>39962</v>
      </c>
      <c r="B852" s="8">
        <v>628.77776839223077</v>
      </c>
      <c r="F852" s="7"/>
      <c r="G852" s="7"/>
      <c r="M852" s="10"/>
      <c r="P852" s="11"/>
      <c r="Q852" s="12"/>
    </row>
    <row r="853" spans="1:17">
      <c r="A853" s="14">
        <v>39965</v>
      </c>
      <c r="B853" s="8">
        <v>653.54248171215488</v>
      </c>
      <c r="F853" s="7"/>
      <c r="G853" s="7"/>
      <c r="M853" s="10"/>
      <c r="P853" s="11"/>
      <c r="Q853" s="12"/>
    </row>
    <row r="854" spans="1:17">
      <c r="A854" s="14">
        <v>39966</v>
      </c>
      <c r="B854" s="8">
        <v>650.78394431942752</v>
      </c>
      <c r="F854" s="7"/>
      <c r="G854" s="7"/>
      <c r="M854" s="10"/>
      <c r="P854" s="11"/>
      <c r="Q854" s="12"/>
    </row>
    <row r="855" spans="1:17">
      <c r="A855" s="14">
        <v>39967</v>
      </c>
      <c r="B855" s="8">
        <v>639.96091835360221</v>
      </c>
      <c r="F855" s="7"/>
      <c r="G855" s="7"/>
      <c r="M855" s="10"/>
      <c r="P855" s="11"/>
      <c r="Q855" s="12"/>
    </row>
    <row r="856" spans="1:17">
      <c r="A856" s="14">
        <v>39968</v>
      </c>
      <c r="B856" s="8">
        <v>645.14210036794373</v>
      </c>
      <c r="F856" s="7"/>
      <c r="G856" s="7"/>
      <c r="M856" s="10"/>
      <c r="P856" s="11"/>
      <c r="Q856" s="12"/>
    </row>
    <row r="857" spans="1:17">
      <c r="A857" s="14">
        <v>39969</v>
      </c>
      <c r="B857" s="8">
        <v>650.89296868127076</v>
      </c>
      <c r="F857" s="7"/>
      <c r="G857" s="7"/>
      <c r="M857" s="10"/>
      <c r="P857" s="11"/>
      <c r="Q857" s="12"/>
    </row>
    <row r="858" spans="1:17">
      <c r="A858" s="14">
        <v>39972</v>
      </c>
      <c r="B858" s="8">
        <v>646.05766800235426</v>
      </c>
      <c r="F858" s="7"/>
      <c r="G858" s="7"/>
      <c r="M858" s="10"/>
      <c r="P858" s="11"/>
      <c r="Q858" s="12"/>
    </row>
    <row r="859" spans="1:17">
      <c r="A859" s="14">
        <v>39973</v>
      </c>
      <c r="B859" s="8">
        <v>646.89608993273077</v>
      </c>
      <c r="F859" s="7"/>
      <c r="G859" s="7"/>
      <c r="M859" s="10"/>
      <c r="P859" s="11"/>
      <c r="Q859" s="12"/>
    </row>
    <row r="860" spans="1:17">
      <c r="A860" s="14">
        <v>39974</v>
      </c>
      <c r="B860" s="8">
        <v>650.18075006448066</v>
      </c>
      <c r="F860" s="7"/>
      <c r="G860" s="7"/>
      <c r="M860" s="10"/>
      <c r="P860" s="11"/>
      <c r="Q860" s="12"/>
    </row>
    <row r="861" spans="1:17">
      <c r="A861" s="14">
        <v>39975</v>
      </c>
      <c r="B861" s="8">
        <v>652.73304395400839</v>
      </c>
      <c r="F861" s="7"/>
      <c r="G861" s="7"/>
      <c r="M861" s="10"/>
      <c r="P861" s="11"/>
      <c r="Q861" s="12"/>
    </row>
    <row r="862" spans="1:17">
      <c r="A862" s="14">
        <v>39976</v>
      </c>
      <c r="B862" s="8">
        <v>651.51260132286211</v>
      </c>
      <c r="F862" s="7"/>
      <c r="G862" s="7"/>
      <c r="M862" s="10"/>
      <c r="P862" s="11"/>
      <c r="Q862" s="12"/>
    </row>
    <row r="863" spans="1:17">
      <c r="A863" s="14">
        <v>39979</v>
      </c>
      <c r="B863" s="8">
        <v>634.266541044625</v>
      </c>
      <c r="F863" s="7"/>
      <c r="G863" s="7"/>
      <c r="M863" s="10"/>
      <c r="P863" s="11"/>
      <c r="Q863" s="12"/>
    </row>
    <row r="864" spans="1:17">
      <c r="A864" s="14">
        <v>39980</v>
      </c>
      <c r="B864" s="8">
        <v>624.87371580212857</v>
      </c>
      <c r="F864" s="7"/>
      <c r="G864" s="7"/>
      <c r="M864" s="10"/>
      <c r="P864" s="11"/>
      <c r="Q864" s="12"/>
    </row>
    <row r="865" spans="1:17">
      <c r="A865" s="14">
        <v>39981</v>
      </c>
      <c r="B865" s="8">
        <v>614.1368497043768</v>
      </c>
      <c r="F865" s="7"/>
      <c r="G865" s="7"/>
      <c r="M865" s="10"/>
      <c r="P865" s="11"/>
      <c r="Q865" s="12"/>
    </row>
    <row r="866" spans="1:17">
      <c r="A866" s="14">
        <v>39982</v>
      </c>
      <c r="B866" s="8">
        <v>618.82870302099241</v>
      </c>
      <c r="F866" s="7"/>
      <c r="G866" s="7"/>
      <c r="M866" s="10"/>
      <c r="P866" s="11"/>
      <c r="Q866" s="12"/>
    </row>
    <row r="867" spans="1:17">
      <c r="A867" s="14">
        <v>39983</v>
      </c>
      <c r="B867" s="8">
        <v>623.44508411841309</v>
      </c>
      <c r="F867" s="7"/>
      <c r="G867" s="7"/>
      <c r="M867" s="10"/>
      <c r="P867" s="11"/>
      <c r="Q867" s="12"/>
    </row>
    <row r="868" spans="1:17">
      <c r="A868" s="14">
        <v>39986</v>
      </c>
      <c r="B868" s="8">
        <v>602.35874046418428</v>
      </c>
      <c r="F868" s="7"/>
      <c r="G868" s="7"/>
      <c r="M868" s="10"/>
      <c r="P868" s="11"/>
      <c r="Q868" s="12"/>
    </row>
    <row r="869" spans="1:17">
      <c r="A869" s="14">
        <v>39987</v>
      </c>
      <c r="B869" s="8">
        <v>596.50683267822251</v>
      </c>
      <c r="F869" s="7"/>
      <c r="G869" s="7"/>
      <c r="M869" s="10"/>
      <c r="P869" s="11"/>
      <c r="Q869" s="12"/>
    </row>
    <row r="870" spans="1:17">
      <c r="A870" s="14">
        <v>39988</v>
      </c>
      <c r="B870" s="8">
        <v>612.07162496095145</v>
      </c>
      <c r="F870" s="7"/>
      <c r="G870" s="7"/>
      <c r="M870" s="10"/>
      <c r="P870" s="11"/>
      <c r="Q870" s="12"/>
    </row>
    <row r="871" spans="1:17">
      <c r="A871" s="14">
        <v>39989</v>
      </c>
      <c r="B871" s="8">
        <v>619.30933950994586</v>
      </c>
      <c r="F871" s="7"/>
      <c r="G871" s="7"/>
      <c r="M871" s="10"/>
      <c r="P871" s="11"/>
      <c r="Q871" s="12"/>
    </row>
    <row r="872" spans="1:17">
      <c r="A872" s="14">
        <v>39990</v>
      </c>
      <c r="B872" s="8">
        <v>614.20653044424057</v>
      </c>
      <c r="F872" s="7"/>
      <c r="G872" s="7"/>
      <c r="M872" s="10"/>
      <c r="P872" s="11"/>
      <c r="Q872" s="12"/>
    </row>
    <row r="873" spans="1:17">
      <c r="A873" s="14">
        <v>39993</v>
      </c>
      <c r="B873" s="8">
        <v>623.97629935708017</v>
      </c>
      <c r="F873" s="7"/>
      <c r="G873" s="7"/>
      <c r="M873" s="10"/>
      <c r="P873" s="11"/>
      <c r="Q873" s="12"/>
    </row>
    <row r="874" spans="1:17">
      <c r="A874" s="14">
        <v>39994</v>
      </c>
      <c r="B874" s="8">
        <v>616.44999107629712</v>
      </c>
      <c r="F874" s="7"/>
      <c r="G874" s="7"/>
      <c r="M874" s="10"/>
      <c r="P874" s="11"/>
      <c r="Q874" s="12"/>
    </row>
    <row r="875" spans="1:17">
      <c r="A875" s="14">
        <v>39995</v>
      </c>
      <c r="B875" s="8">
        <v>622.74946316065893</v>
      </c>
      <c r="F875" s="7"/>
      <c r="G875" s="7"/>
      <c r="M875" s="10"/>
      <c r="P875" s="11"/>
      <c r="Q875" s="12"/>
    </row>
    <row r="876" spans="1:17">
      <c r="A876" s="14">
        <v>39996</v>
      </c>
      <c r="B876" s="8">
        <v>603.09335740676181</v>
      </c>
      <c r="F876" s="7"/>
      <c r="G876" s="7"/>
      <c r="M876" s="10"/>
      <c r="P876" s="11"/>
      <c r="Q876" s="12"/>
    </row>
    <row r="877" spans="1:17">
      <c r="A877" s="14">
        <v>40000</v>
      </c>
      <c r="B877" s="8">
        <v>600.82346258683833</v>
      </c>
      <c r="F877" s="7"/>
      <c r="G877" s="7"/>
      <c r="M877" s="10"/>
      <c r="P877" s="11"/>
      <c r="Q877" s="12"/>
    </row>
    <row r="878" spans="1:17">
      <c r="A878" s="14">
        <v>40001</v>
      </c>
      <c r="B878" s="8">
        <v>589.59004790884853</v>
      </c>
      <c r="F878" s="7"/>
      <c r="G878" s="7"/>
      <c r="M878" s="10"/>
      <c r="P878" s="11"/>
      <c r="Q878" s="12"/>
    </row>
    <row r="879" spans="1:17">
      <c r="A879" s="14">
        <v>40002</v>
      </c>
      <c r="B879" s="8">
        <v>585.38771617127941</v>
      </c>
      <c r="F879" s="7"/>
      <c r="G879" s="7"/>
      <c r="M879" s="10"/>
      <c r="P879" s="11"/>
      <c r="Q879" s="12"/>
    </row>
    <row r="880" spans="1:17">
      <c r="A880" s="14">
        <v>40003</v>
      </c>
      <c r="B880" s="8">
        <v>586.63603352074324</v>
      </c>
      <c r="F880" s="7"/>
      <c r="G880" s="7"/>
      <c r="M880" s="10"/>
      <c r="P880" s="11"/>
      <c r="Q880" s="12"/>
    </row>
    <row r="881" spans="1:17">
      <c r="A881" s="14">
        <v>40004</v>
      </c>
      <c r="B881" s="8">
        <v>583.69040627254708</v>
      </c>
      <c r="F881" s="7"/>
      <c r="G881" s="7"/>
      <c r="M881" s="10"/>
      <c r="P881" s="11"/>
      <c r="Q881" s="12"/>
    </row>
    <row r="882" spans="1:17">
      <c r="A882" s="14">
        <v>40007</v>
      </c>
      <c r="B882" s="8">
        <v>600.16194291143324</v>
      </c>
      <c r="F882" s="7"/>
      <c r="G882" s="7"/>
      <c r="M882" s="10"/>
      <c r="P882" s="11"/>
      <c r="Q882" s="12"/>
    </row>
    <row r="883" spans="1:17">
      <c r="A883" s="14">
        <v>40008</v>
      </c>
      <c r="B883" s="8">
        <v>607.34280857121325</v>
      </c>
      <c r="F883" s="7"/>
      <c r="G883" s="7"/>
      <c r="M883" s="10"/>
      <c r="P883" s="11"/>
      <c r="Q883" s="12"/>
    </row>
    <row r="884" spans="1:17">
      <c r="A884" s="14">
        <v>40009</v>
      </c>
      <c r="B884" s="8">
        <v>626.72633231186535</v>
      </c>
      <c r="F884" s="7"/>
      <c r="G884" s="7"/>
      <c r="M884" s="10"/>
      <c r="P884" s="11"/>
      <c r="Q884" s="12"/>
    </row>
    <row r="885" spans="1:17">
      <c r="A885" s="14">
        <v>40010</v>
      </c>
      <c r="B885" s="8">
        <v>631.55434525805333</v>
      </c>
      <c r="F885" s="7"/>
      <c r="G885" s="7"/>
      <c r="M885" s="10"/>
      <c r="P885" s="11"/>
      <c r="Q885" s="12"/>
    </row>
    <row r="886" spans="1:17">
      <c r="A886" s="14">
        <v>40011</v>
      </c>
      <c r="B886" s="8">
        <v>631.43429006934593</v>
      </c>
      <c r="F886" s="7"/>
      <c r="G886" s="7"/>
      <c r="M886" s="10"/>
      <c r="P886" s="11"/>
      <c r="Q886" s="12"/>
    </row>
    <row r="887" spans="1:17">
      <c r="A887" s="14">
        <v>40014</v>
      </c>
      <c r="B887" s="8">
        <v>639.34944444630958</v>
      </c>
      <c r="F887" s="7"/>
      <c r="G887" s="7"/>
      <c r="M887" s="10"/>
      <c r="P887" s="11"/>
      <c r="Q887" s="12"/>
    </row>
    <row r="888" spans="1:17">
      <c r="A888" s="14">
        <v>40015</v>
      </c>
      <c r="B888" s="8">
        <v>643.38243079798769</v>
      </c>
      <c r="F888" s="7"/>
      <c r="G888" s="7"/>
      <c r="M888" s="10"/>
      <c r="P888" s="11"/>
      <c r="Q888" s="12"/>
    </row>
    <row r="889" spans="1:17">
      <c r="A889" s="14">
        <v>40016</v>
      </c>
      <c r="B889" s="8">
        <v>643.82438559545096</v>
      </c>
      <c r="F889" s="7"/>
      <c r="G889" s="7"/>
      <c r="M889" s="10"/>
      <c r="P889" s="11"/>
      <c r="Q889" s="12"/>
    </row>
    <row r="890" spans="1:17">
      <c r="A890" s="14">
        <v>40017</v>
      </c>
      <c r="B890" s="8">
        <v>661.76895819078129</v>
      </c>
      <c r="F890" s="7"/>
      <c r="G890" s="7"/>
      <c r="M890" s="10"/>
      <c r="P890" s="11"/>
      <c r="Q890" s="12"/>
    </row>
    <row r="891" spans="1:17">
      <c r="A891" s="14">
        <v>40018</v>
      </c>
      <c r="B891" s="8">
        <v>664.89234280338508</v>
      </c>
      <c r="F891" s="7"/>
      <c r="G891" s="7"/>
      <c r="M891" s="10"/>
      <c r="P891" s="11"/>
      <c r="Q891" s="12"/>
    </row>
    <row r="892" spans="1:17">
      <c r="A892" s="14">
        <v>40021</v>
      </c>
      <c r="B892" s="8">
        <v>668.14268751280952</v>
      </c>
      <c r="F892" s="7"/>
      <c r="G892" s="7"/>
      <c r="M892" s="10"/>
      <c r="P892" s="11"/>
      <c r="Q892" s="12"/>
    </row>
    <row r="893" spans="1:17">
      <c r="A893" s="14">
        <v>40022</v>
      </c>
      <c r="B893" s="8">
        <v>663.41352534014368</v>
      </c>
      <c r="F893" s="7"/>
      <c r="G893" s="7"/>
      <c r="M893" s="10"/>
      <c r="P893" s="11"/>
      <c r="Q893" s="12"/>
    </row>
    <row r="894" spans="1:17">
      <c r="A894" s="14">
        <v>40023</v>
      </c>
      <c r="B894" s="8">
        <v>668.5440442677118</v>
      </c>
      <c r="F894" s="7"/>
      <c r="G894" s="7"/>
      <c r="M894" s="10"/>
      <c r="P894" s="11"/>
      <c r="Q894" s="12"/>
    </row>
    <row r="895" spans="1:17">
      <c r="A895" s="14">
        <v>40024</v>
      </c>
      <c r="B895" s="8">
        <v>681.42854966112225</v>
      </c>
      <c r="F895" s="7"/>
      <c r="G895" s="7"/>
      <c r="M895" s="10"/>
      <c r="P895" s="11"/>
      <c r="Q895" s="12"/>
    </row>
    <row r="896" spans="1:17">
      <c r="A896" s="14">
        <v>40025</v>
      </c>
      <c r="B896" s="8">
        <v>676.98627146936815</v>
      </c>
      <c r="F896" s="7"/>
      <c r="G896" s="7"/>
      <c r="M896" s="10"/>
      <c r="P896" s="11"/>
      <c r="Q896" s="12"/>
    </row>
    <row r="897" spans="1:17">
      <c r="A897" s="14">
        <v>40028</v>
      </c>
      <c r="B897" s="8">
        <v>686.86834204085335</v>
      </c>
      <c r="F897" s="7"/>
      <c r="G897" s="7"/>
      <c r="M897" s="10"/>
      <c r="P897" s="11"/>
      <c r="Q897" s="12"/>
    </row>
    <row r="898" spans="1:17">
      <c r="A898" s="14">
        <v>40029</v>
      </c>
      <c r="B898" s="8">
        <v>688.35482048229517</v>
      </c>
      <c r="F898" s="7"/>
      <c r="G898" s="7"/>
      <c r="M898" s="10"/>
      <c r="P898" s="11"/>
      <c r="Q898" s="12"/>
    </row>
    <row r="899" spans="1:17">
      <c r="A899" s="14">
        <v>40030</v>
      </c>
      <c r="B899" s="8">
        <v>684.07308599883197</v>
      </c>
      <c r="F899" s="7"/>
      <c r="G899" s="7"/>
      <c r="M899" s="10"/>
      <c r="P899" s="11"/>
      <c r="Q899" s="12"/>
    </row>
    <row r="900" spans="1:17">
      <c r="A900" s="14">
        <v>40031</v>
      </c>
      <c r="B900" s="8">
        <v>686.54479475093183</v>
      </c>
      <c r="F900" s="7"/>
      <c r="G900" s="7"/>
      <c r="M900" s="10"/>
      <c r="P900" s="11"/>
      <c r="Q900" s="12"/>
    </row>
    <row r="901" spans="1:17">
      <c r="A901" s="14">
        <v>40032</v>
      </c>
      <c r="B901" s="8">
        <v>705.03044700527005</v>
      </c>
      <c r="F901" s="7"/>
      <c r="G901" s="7"/>
      <c r="M901" s="10"/>
      <c r="P901" s="11"/>
      <c r="Q901" s="12"/>
    </row>
    <row r="902" spans="1:17">
      <c r="A902" s="14">
        <v>40035</v>
      </c>
      <c r="B902" s="8">
        <v>702.63054363965443</v>
      </c>
      <c r="F902" s="7"/>
      <c r="G902" s="7"/>
      <c r="M902" s="10"/>
      <c r="P902" s="11"/>
      <c r="Q902" s="12"/>
    </row>
    <row r="903" spans="1:17">
      <c r="A903" s="14">
        <v>40036</v>
      </c>
      <c r="B903" s="8">
        <v>689.84108414930301</v>
      </c>
      <c r="F903" s="7"/>
      <c r="G903" s="7"/>
      <c r="M903" s="10"/>
      <c r="P903" s="11"/>
      <c r="Q903" s="12"/>
    </row>
    <row r="904" spans="1:17">
      <c r="A904" s="14">
        <v>40037</v>
      </c>
      <c r="B904" s="8">
        <v>698.54085189871205</v>
      </c>
      <c r="F904" s="7"/>
      <c r="G904" s="7"/>
      <c r="M904" s="10"/>
      <c r="P904" s="11"/>
      <c r="Q904" s="12"/>
    </row>
    <row r="905" spans="1:17">
      <c r="A905" s="14">
        <v>40038</v>
      </c>
      <c r="B905" s="8">
        <v>703.72078141976056</v>
      </c>
      <c r="F905" s="7"/>
      <c r="G905" s="7"/>
      <c r="M905" s="10"/>
      <c r="P905" s="11"/>
      <c r="Q905" s="12"/>
    </row>
    <row r="906" spans="1:17">
      <c r="A906" s="14">
        <v>40039</v>
      </c>
      <c r="B906" s="8">
        <v>694.39505749160332</v>
      </c>
      <c r="F906" s="7"/>
      <c r="G906" s="7"/>
      <c r="M906" s="10"/>
      <c r="P906" s="11"/>
      <c r="Q906" s="12"/>
    </row>
    <row r="907" spans="1:17">
      <c r="A907" s="14">
        <v>40042</v>
      </c>
      <c r="B907" s="8">
        <v>677.30059034631097</v>
      </c>
      <c r="F907" s="7"/>
      <c r="G907" s="7"/>
      <c r="M907" s="10"/>
      <c r="P907" s="11"/>
      <c r="Q907" s="12"/>
    </row>
    <row r="908" spans="1:17">
      <c r="A908" s="14">
        <v>40043</v>
      </c>
      <c r="B908" s="8">
        <v>684.92998720906814</v>
      </c>
      <c r="F908" s="7"/>
      <c r="G908" s="7"/>
      <c r="M908" s="10"/>
      <c r="P908" s="11"/>
      <c r="Q908" s="12"/>
    </row>
    <row r="909" spans="1:17">
      <c r="A909" s="14">
        <v>40044</v>
      </c>
      <c r="B909" s="8">
        <v>681.84152442773382</v>
      </c>
      <c r="F909" s="7"/>
      <c r="G909" s="7"/>
      <c r="M909" s="10"/>
      <c r="P909" s="11"/>
      <c r="Q909" s="12"/>
    </row>
    <row r="910" spans="1:17">
      <c r="A910" s="14">
        <v>40045</v>
      </c>
      <c r="B910" s="8">
        <v>692.52175372271597</v>
      </c>
      <c r="F910" s="7"/>
      <c r="G910" s="7"/>
      <c r="M910" s="10"/>
      <c r="P910" s="11"/>
      <c r="Q910" s="12"/>
    </row>
    <row r="911" spans="1:17">
      <c r="A911" s="14">
        <v>40046</v>
      </c>
      <c r="B911" s="8">
        <v>709.8952246930005</v>
      </c>
      <c r="F911" s="7"/>
      <c r="G911" s="7"/>
      <c r="M911" s="10"/>
      <c r="P911" s="11"/>
      <c r="Q911" s="12"/>
    </row>
    <row r="912" spans="1:17">
      <c r="A912" s="14">
        <v>40049</v>
      </c>
      <c r="B912" s="8">
        <v>713.38367440807508</v>
      </c>
      <c r="F912" s="7"/>
      <c r="G912" s="7"/>
      <c r="M912" s="10"/>
      <c r="P912" s="11"/>
      <c r="Q912" s="12"/>
    </row>
    <row r="913" spans="1:17">
      <c r="A913" s="14">
        <v>40050</v>
      </c>
      <c r="B913" s="8">
        <v>718.71138929910762</v>
      </c>
      <c r="F913" s="7"/>
      <c r="G913" s="7"/>
      <c r="M913" s="10"/>
      <c r="P913" s="11"/>
      <c r="Q913" s="12"/>
    </row>
    <row r="914" spans="1:17">
      <c r="A914" s="14">
        <v>40051</v>
      </c>
      <c r="B914" s="8">
        <v>718.81591525958561</v>
      </c>
      <c r="F914" s="7"/>
      <c r="G914" s="7"/>
      <c r="M914" s="10"/>
      <c r="P914" s="11"/>
      <c r="Q914" s="12"/>
    </row>
    <row r="915" spans="1:17">
      <c r="A915" s="14">
        <v>40052</v>
      </c>
      <c r="B915" s="8">
        <v>717.18371560047331</v>
      </c>
      <c r="F915" s="7"/>
      <c r="G915" s="7"/>
      <c r="M915" s="10"/>
      <c r="P915" s="11"/>
      <c r="Q915" s="12"/>
    </row>
    <row r="916" spans="1:17">
      <c r="A916" s="14">
        <v>40053</v>
      </c>
      <c r="B916" s="8">
        <v>720.67691837465691</v>
      </c>
      <c r="F916" s="7"/>
      <c r="G916" s="7"/>
      <c r="M916" s="10"/>
      <c r="P916" s="11"/>
      <c r="Q916" s="12"/>
    </row>
    <row r="917" spans="1:17">
      <c r="A917" s="14">
        <v>40056</v>
      </c>
      <c r="B917" s="8">
        <v>710.87778801492391</v>
      </c>
      <c r="F917" s="7"/>
      <c r="G917" s="7"/>
      <c r="M917" s="10"/>
      <c r="P917" s="11"/>
      <c r="Q917" s="12"/>
    </row>
    <row r="918" spans="1:17">
      <c r="A918" s="14">
        <v>40057</v>
      </c>
      <c r="B918" s="8">
        <v>695.14225566580296</v>
      </c>
      <c r="F918" s="7"/>
      <c r="G918" s="7"/>
      <c r="M918" s="10"/>
      <c r="P918" s="11"/>
      <c r="Q918" s="12"/>
    </row>
    <row r="919" spans="1:17">
      <c r="A919" s="14">
        <v>40058</v>
      </c>
      <c r="B919" s="8">
        <v>689.40761105409536</v>
      </c>
      <c r="F919" s="7"/>
      <c r="G919" s="7"/>
      <c r="M919" s="10"/>
      <c r="P919" s="11"/>
      <c r="Q919" s="12"/>
    </row>
    <row r="920" spans="1:17">
      <c r="A920" s="14">
        <v>40059</v>
      </c>
      <c r="B920" s="8">
        <v>694.244047797554</v>
      </c>
      <c r="F920" s="7"/>
      <c r="G920" s="7"/>
      <c r="M920" s="10"/>
      <c r="P920" s="11"/>
      <c r="Q920" s="12"/>
    </row>
    <row r="921" spans="1:17">
      <c r="A921" s="14">
        <v>40060</v>
      </c>
      <c r="B921" s="8">
        <v>704.13689435465164</v>
      </c>
      <c r="F921" s="7"/>
      <c r="G921" s="7"/>
      <c r="M921" s="10"/>
      <c r="P921" s="11"/>
      <c r="Q921" s="12"/>
    </row>
    <row r="922" spans="1:17">
      <c r="A922" s="14">
        <v>40064</v>
      </c>
      <c r="B922" s="8">
        <v>709.69234967745285</v>
      </c>
      <c r="F922" s="7"/>
      <c r="G922" s="7"/>
      <c r="M922" s="10"/>
      <c r="P922" s="11"/>
      <c r="Q922" s="12"/>
    </row>
    <row r="923" spans="1:17">
      <c r="A923" s="14">
        <v>40065</v>
      </c>
      <c r="B923" s="8">
        <v>718.15580004374635</v>
      </c>
      <c r="F923" s="7"/>
      <c r="G923" s="7"/>
      <c r="M923" s="10"/>
      <c r="P923" s="11"/>
      <c r="Q923" s="12"/>
    </row>
    <row r="924" spans="1:17">
      <c r="A924" s="14">
        <v>40066</v>
      </c>
      <c r="B924" s="8">
        <v>722.75156775139567</v>
      </c>
      <c r="F924" s="7"/>
      <c r="G924" s="7"/>
      <c r="M924" s="10"/>
      <c r="P924" s="11"/>
      <c r="Q924" s="12"/>
    </row>
    <row r="925" spans="1:17">
      <c r="A925" s="14">
        <v>40067</v>
      </c>
      <c r="B925" s="8">
        <v>724.96579521009983</v>
      </c>
      <c r="F925" s="7"/>
      <c r="G925" s="7"/>
      <c r="M925" s="10"/>
      <c r="P925" s="11"/>
      <c r="Q925" s="12"/>
    </row>
    <row r="926" spans="1:17">
      <c r="A926" s="14">
        <v>40070</v>
      </c>
      <c r="B926" s="8">
        <v>726.28317666041085</v>
      </c>
      <c r="F926" s="7"/>
      <c r="G926" s="7"/>
      <c r="M926" s="10"/>
      <c r="P926" s="11"/>
      <c r="Q926" s="12"/>
    </row>
    <row r="927" spans="1:17">
      <c r="A927" s="14">
        <v>40071</v>
      </c>
      <c r="B927" s="8">
        <v>730.94825099555192</v>
      </c>
      <c r="F927" s="7"/>
      <c r="G927" s="7"/>
      <c r="M927" s="10"/>
      <c r="P927" s="11"/>
      <c r="Q927" s="12"/>
    </row>
    <row r="928" spans="1:17">
      <c r="A928" s="14">
        <v>40072</v>
      </c>
      <c r="B928" s="8">
        <v>743.19878295093395</v>
      </c>
      <c r="F928" s="7"/>
      <c r="G928" s="7"/>
      <c r="M928" s="10"/>
      <c r="P928" s="11"/>
      <c r="Q928" s="12"/>
    </row>
    <row r="929" spans="1:17">
      <c r="A929" s="14">
        <v>40073</v>
      </c>
      <c r="B929" s="8">
        <v>741.97856998214877</v>
      </c>
      <c r="F929" s="7"/>
      <c r="G929" s="7"/>
      <c r="M929" s="10"/>
      <c r="P929" s="11"/>
      <c r="Q929" s="12"/>
    </row>
    <row r="930" spans="1:17">
      <c r="A930" s="14">
        <v>40074</v>
      </c>
      <c r="B930" s="8">
        <v>741.28172213270091</v>
      </c>
      <c r="F930" s="7"/>
      <c r="G930" s="7"/>
      <c r="M930" s="10"/>
      <c r="P930" s="11"/>
      <c r="Q930" s="12"/>
    </row>
    <row r="931" spans="1:17">
      <c r="A931" s="14">
        <v>40077</v>
      </c>
      <c r="B931" s="8">
        <v>738.14306114851388</v>
      </c>
      <c r="F931" s="7"/>
      <c r="G931" s="7"/>
      <c r="M931" s="10"/>
      <c r="P931" s="11"/>
      <c r="Q931" s="12"/>
    </row>
    <row r="932" spans="1:17">
      <c r="A932" s="14">
        <v>40078</v>
      </c>
      <c r="B932" s="8">
        <v>739.6720181130662</v>
      </c>
      <c r="F932" s="7"/>
      <c r="G932" s="7"/>
      <c r="M932" s="10"/>
      <c r="P932" s="11"/>
      <c r="Q932" s="12"/>
    </row>
    <row r="933" spans="1:17">
      <c r="A933" s="14">
        <v>40079</v>
      </c>
      <c r="B933" s="8">
        <v>735.67758697568036</v>
      </c>
      <c r="F933" s="7"/>
      <c r="G933" s="7"/>
      <c r="M933" s="10"/>
      <c r="P933" s="11"/>
      <c r="Q933" s="12"/>
    </row>
    <row r="934" spans="1:17">
      <c r="A934" s="14">
        <v>40080</v>
      </c>
      <c r="B934" s="8">
        <v>725.5574905517002</v>
      </c>
      <c r="F934" s="7"/>
      <c r="G934" s="7"/>
      <c r="M934" s="10"/>
      <c r="P934" s="11"/>
      <c r="Q934" s="12"/>
    </row>
    <row r="935" spans="1:17">
      <c r="A935" s="14">
        <v>40081</v>
      </c>
      <c r="B935" s="8">
        <v>721.6821126666523</v>
      </c>
      <c r="F935" s="7"/>
      <c r="G935" s="7"/>
      <c r="M935" s="10"/>
      <c r="P935" s="11"/>
      <c r="Q935" s="12"/>
    </row>
    <row r="936" spans="1:17">
      <c r="A936" s="14">
        <v>40084</v>
      </c>
      <c r="B936" s="8">
        <v>740.17596958450088</v>
      </c>
      <c r="F936" s="7"/>
      <c r="G936" s="7"/>
      <c r="M936" s="10"/>
      <c r="P936" s="11"/>
      <c r="Q936" s="12"/>
    </row>
    <row r="937" spans="1:17">
      <c r="A937" s="14">
        <v>40085</v>
      </c>
      <c r="B937" s="8">
        <v>740.4181468061895</v>
      </c>
      <c r="F937" s="7"/>
      <c r="G937" s="7"/>
      <c r="M937" s="10"/>
      <c r="P937" s="11"/>
      <c r="Q937" s="12"/>
    </row>
    <row r="938" spans="1:17">
      <c r="A938" s="14">
        <v>40086</v>
      </c>
      <c r="B938" s="8">
        <v>734.98635164710333</v>
      </c>
      <c r="F938" s="7"/>
      <c r="G938" s="7"/>
      <c r="M938" s="10"/>
      <c r="P938" s="11"/>
      <c r="Q938" s="12"/>
    </row>
    <row r="939" spans="1:17">
      <c r="A939" s="14">
        <v>40087</v>
      </c>
      <c r="B939" s="8">
        <v>716.6229600005546</v>
      </c>
      <c r="F939" s="7"/>
      <c r="G939" s="7"/>
      <c r="M939" s="10"/>
      <c r="P939" s="11"/>
      <c r="Q939" s="12"/>
    </row>
    <row r="940" spans="1:17">
      <c r="A940" s="14">
        <v>40088</v>
      </c>
      <c r="B940" s="8">
        <v>705.36971411298362</v>
      </c>
      <c r="F940" s="7"/>
      <c r="G940" s="7"/>
      <c r="M940" s="10"/>
      <c r="P940" s="11"/>
      <c r="Q940" s="12"/>
    </row>
    <row r="941" spans="1:17">
      <c r="A941" s="14">
        <v>40091</v>
      </c>
      <c r="B941" s="8">
        <v>714.93080567549384</v>
      </c>
      <c r="F941" s="7"/>
      <c r="G941" s="7"/>
      <c r="M941" s="10"/>
      <c r="P941" s="11"/>
      <c r="Q941" s="12"/>
    </row>
    <row r="942" spans="1:17">
      <c r="A942" s="14">
        <v>40092</v>
      </c>
      <c r="B942" s="8">
        <v>728.47594217877133</v>
      </c>
      <c r="F942" s="7"/>
      <c r="G942" s="7"/>
      <c r="M942" s="10"/>
      <c r="P942" s="11"/>
      <c r="Q942" s="12"/>
    </row>
    <row r="943" spans="1:17">
      <c r="A943" s="14">
        <v>40093</v>
      </c>
      <c r="B943" s="8">
        <v>729.07237290088676</v>
      </c>
      <c r="F943" s="7"/>
      <c r="G943" s="7"/>
      <c r="M943" s="10"/>
      <c r="P943" s="11"/>
      <c r="Q943" s="12"/>
    </row>
    <row r="944" spans="1:17">
      <c r="A944" s="14">
        <v>40094</v>
      </c>
      <c r="B944" s="8">
        <v>735.97836934872521</v>
      </c>
      <c r="F944" s="7"/>
      <c r="G944" s="7"/>
      <c r="M944" s="10"/>
      <c r="P944" s="11"/>
      <c r="Q944" s="12"/>
    </row>
    <row r="945" spans="1:17">
      <c r="A945" s="14">
        <v>40095</v>
      </c>
      <c r="B945" s="8">
        <v>740.02927735137246</v>
      </c>
      <c r="F945" s="7"/>
      <c r="G945" s="7"/>
      <c r="M945" s="10"/>
      <c r="P945" s="11"/>
      <c r="Q945" s="12"/>
    </row>
    <row r="946" spans="1:17">
      <c r="A946" s="14">
        <v>40098</v>
      </c>
      <c r="B946" s="8">
        <v>744.1713325904708</v>
      </c>
      <c r="F946" s="7"/>
      <c r="G946" s="7"/>
      <c r="M946" s="10"/>
      <c r="P946" s="11"/>
      <c r="Q946" s="12"/>
    </row>
    <row r="947" spans="1:17">
      <c r="A947" s="14">
        <v>40099</v>
      </c>
      <c r="B947" s="8">
        <v>736.26382909736299</v>
      </c>
      <c r="F947" s="7"/>
      <c r="G947" s="7"/>
      <c r="M947" s="10"/>
      <c r="P947" s="11"/>
      <c r="Q947" s="12"/>
    </row>
    <row r="948" spans="1:17">
      <c r="A948" s="14">
        <v>40100</v>
      </c>
      <c r="B948" s="8">
        <v>751.96153550624229</v>
      </c>
      <c r="F948" s="7"/>
      <c r="G948" s="7"/>
      <c r="M948" s="10"/>
      <c r="P948" s="11"/>
      <c r="Q948" s="12"/>
    </row>
    <row r="949" spans="1:17">
      <c r="A949" s="14">
        <v>40101</v>
      </c>
      <c r="B949" s="8">
        <v>751.44105044051241</v>
      </c>
      <c r="F949" s="7"/>
      <c r="G949" s="7"/>
      <c r="M949" s="10"/>
      <c r="P949" s="11"/>
      <c r="Q949" s="12"/>
    </row>
    <row r="950" spans="1:17">
      <c r="A950" s="14">
        <v>40102</v>
      </c>
      <c r="B950" s="8">
        <v>741.97385634895102</v>
      </c>
      <c r="F950" s="7"/>
      <c r="G950" s="7"/>
      <c r="M950" s="10"/>
      <c r="P950" s="11"/>
      <c r="Q950" s="12"/>
    </row>
    <row r="951" spans="1:17">
      <c r="A951" s="14">
        <v>40105</v>
      </c>
      <c r="B951" s="8">
        <v>752.72169195719187</v>
      </c>
      <c r="F951" s="7"/>
      <c r="G951" s="7"/>
      <c r="M951" s="10"/>
      <c r="P951" s="11"/>
      <c r="Q951" s="12"/>
    </row>
    <row r="952" spans="1:17">
      <c r="A952" s="14">
        <v>40106</v>
      </c>
      <c r="B952" s="8">
        <v>746.334343230174</v>
      </c>
      <c r="F952" s="7"/>
      <c r="G952" s="7"/>
      <c r="M952" s="10"/>
      <c r="P952" s="11"/>
      <c r="Q952" s="12"/>
    </row>
    <row r="953" spans="1:17">
      <c r="A953" s="14">
        <v>40107</v>
      </c>
      <c r="B953" s="8">
        <v>740.4407689151609</v>
      </c>
      <c r="F953" s="7"/>
      <c r="G953" s="7"/>
      <c r="M953" s="10"/>
      <c r="P953" s="11"/>
      <c r="Q953" s="12"/>
    </row>
    <row r="954" spans="1:17">
      <c r="A954" s="14">
        <v>40108</v>
      </c>
      <c r="B954" s="8">
        <v>740.73955143142052</v>
      </c>
      <c r="F954" s="7"/>
      <c r="G954" s="7"/>
      <c r="M954" s="10"/>
      <c r="P954" s="11"/>
      <c r="Q954" s="12"/>
    </row>
    <row r="955" spans="1:17">
      <c r="A955" s="14">
        <v>40109</v>
      </c>
      <c r="B955" s="8">
        <v>731.26170947943945</v>
      </c>
      <c r="F955" s="7"/>
      <c r="G955" s="7"/>
      <c r="M955" s="10"/>
      <c r="P955" s="11"/>
      <c r="Q955" s="12"/>
    </row>
    <row r="956" spans="1:17">
      <c r="A956" s="14">
        <v>40112</v>
      </c>
      <c r="B956" s="8">
        <v>722.44629742434881</v>
      </c>
      <c r="F956" s="7"/>
      <c r="G956" s="7"/>
      <c r="M956" s="10"/>
      <c r="P956" s="11"/>
      <c r="Q956" s="12"/>
    </row>
    <row r="957" spans="1:17">
      <c r="A957" s="14">
        <v>40113</v>
      </c>
      <c r="B957" s="8">
        <v>720.29820052677303</v>
      </c>
      <c r="F957" s="7"/>
      <c r="G957" s="7"/>
      <c r="M957" s="10"/>
      <c r="P957" s="11"/>
      <c r="Q957" s="12"/>
    </row>
    <row r="958" spans="1:17">
      <c r="A958" s="14">
        <v>40114</v>
      </c>
      <c r="B958" s="8">
        <v>702.1353840721506</v>
      </c>
      <c r="F958" s="7"/>
      <c r="G958" s="7"/>
      <c r="M958" s="10"/>
      <c r="P958" s="11"/>
      <c r="Q958" s="12"/>
    </row>
    <row r="959" spans="1:17">
      <c r="A959" s="14">
        <v>40115</v>
      </c>
      <c r="B959" s="8">
        <v>716.48448634693091</v>
      </c>
      <c r="F959" s="7"/>
      <c r="G959" s="7"/>
      <c r="M959" s="10"/>
      <c r="P959" s="11"/>
      <c r="Q959" s="12"/>
    </row>
    <row r="960" spans="1:17">
      <c r="A960" s="14">
        <v>40116</v>
      </c>
      <c r="B960" s="8">
        <v>696.081611586539</v>
      </c>
      <c r="F960" s="7"/>
      <c r="G960" s="7"/>
      <c r="M960" s="10"/>
      <c r="P960" s="11"/>
      <c r="Q960" s="12"/>
    </row>
    <row r="961" spans="1:17">
      <c r="A961" s="14">
        <v>40119</v>
      </c>
      <c r="B961" s="8">
        <v>699.86673156815948</v>
      </c>
      <c r="F961" s="7"/>
      <c r="G961" s="7"/>
      <c r="M961" s="10"/>
      <c r="P961" s="11"/>
      <c r="Q961" s="12"/>
    </row>
    <row r="962" spans="1:17">
      <c r="A962" s="14">
        <v>40120</v>
      </c>
      <c r="B962" s="8">
        <v>698.16189383684821</v>
      </c>
      <c r="F962" s="7"/>
      <c r="G962" s="7"/>
      <c r="M962" s="10"/>
      <c r="P962" s="11"/>
      <c r="Q962" s="12"/>
    </row>
    <row r="963" spans="1:17">
      <c r="A963" s="14">
        <v>40121</v>
      </c>
      <c r="B963" s="8">
        <v>701.09477582770887</v>
      </c>
      <c r="F963" s="7"/>
      <c r="G963" s="7"/>
      <c r="M963" s="10"/>
      <c r="P963" s="11"/>
      <c r="Q963" s="12"/>
    </row>
    <row r="964" spans="1:17">
      <c r="A964" s="14">
        <v>40122</v>
      </c>
      <c r="B964" s="8">
        <v>712.79940710549545</v>
      </c>
      <c r="F964" s="7"/>
      <c r="G964" s="7"/>
      <c r="M964" s="10"/>
      <c r="P964" s="11"/>
      <c r="Q964" s="12"/>
    </row>
    <row r="965" spans="1:17">
      <c r="A965" s="14">
        <v>40123</v>
      </c>
      <c r="B965" s="8">
        <v>713.6257140832397</v>
      </c>
      <c r="F965" s="7"/>
      <c r="G965" s="7"/>
      <c r="M965" s="10"/>
      <c r="P965" s="11"/>
      <c r="Q965" s="12"/>
    </row>
    <row r="966" spans="1:17">
      <c r="A966" s="14">
        <v>40126</v>
      </c>
      <c r="B966" s="8">
        <v>727.64759709411555</v>
      </c>
      <c r="F966" s="7"/>
      <c r="G966" s="7"/>
      <c r="M966" s="10"/>
      <c r="P966" s="11"/>
      <c r="Q966" s="12"/>
    </row>
    <row r="967" spans="1:17">
      <c r="A967" s="14">
        <v>40127</v>
      </c>
      <c r="B967" s="8">
        <v>726.49358360829558</v>
      </c>
      <c r="F967" s="7"/>
      <c r="G967" s="7"/>
      <c r="M967" s="10"/>
      <c r="P967" s="11"/>
      <c r="Q967" s="12"/>
    </row>
    <row r="968" spans="1:17">
      <c r="A968" s="14">
        <v>40128</v>
      </c>
      <c r="B968" s="8">
        <v>733.02158084017708</v>
      </c>
      <c r="F968" s="7"/>
      <c r="G968" s="7"/>
      <c r="M968" s="10"/>
      <c r="P968" s="11"/>
      <c r="Q968" s="12"/>
    </row>
    <row r="969" spans="1:17">
      <c r="A969" s="14">
        <v>40129</v>
      </c>
      <c r="B969" s="8">
        <v>729.15852132105351</v>
      </c>
      <c r="F969" s="7"/>
      <c r="G969" s="7"/>
      <c r="M969" s="10"/>
      <c r="P969" s="11"/>
      <c r="Q969" s="12"/>
    </row>
    <row r="970" spans="1:17">
      <c r="A970" s="14">
        <v>40130</v>
      </c>
      <c r="B970" s="8">
        <v>731.47939388397037</v>
      </c>
      <c r="F970" s="7"/>
      <c r="G970" s="7"/>
      <c r="M970" s="10"/>
      <c r="P970" s="11"/>
      <c r="Q970" s="12"/>
    </row>
    <row r="971" spans="1:17">
      <c r="A971" s="14">
        <v>40133</v>
      </c>
      <c r="B971" s="8">
        <v>743.21899077745513</v>
      </c>
      <c r="F971" s="7"/>
      <c r="G971" s="7"/>
      <c r="M971" s="10"/>
      <c r="P971" s="11"/>
      <c r="Q971" s="12"/>
    </row>
    <row r="972" spans="1:17">
      <c r="A972" s="14">
        <v>40134</v>
      </c>
      <c r="B972" s="8">
        <v>742.62578245353973</v>
      </c>
      <c r="F972" s="7"/>
      <c r="G972" s="7"/>
      <c r="M972" s="10"/>
      <c r="P972" s="11"/>
      <c r="Q972" s="12"/>
    </row>
    <row r="973" spans="1:17">
      <c r="A973" s="14">
        <v>40136</v>
      </c>
      <c r="B973" s="8">
        <v>726.02725628754115</v>
      </c>
      <c r="F973" s="7"/>
      <c r="G973" s="7"/>
      <c r="M973" s="10"/>
      <c r="P973" s="11"/>
      <c r="Q973" s="12"/>
    </row>
    <row r="974" spans="1:17">
      <c r="A974" s="14">
        <v>40137</v>
      </c>
      <c r="B974" s="8">
        <v>722.30554541636343</v>
      </c>
      <c r="F974" s="7"/>
      <c r="G974" s="7"/>
      <c r="M974" s="10"/>
      <c r="P974" s="11"/>
      <c r="Q974" s="12"/>
    </row>
    <row r="975" spans="1:17">
      <c r="A975" s="14">
        <v>40140</v>
      </c>
      <c r="B975" s="8">
        <v>732.0628228073557</v>
      </c>
      <c r="F975" s="7"/>
      <c r="G975" s="7"/>
      <c r="M975" s="10"/>
      <c r="P975" s="11"/>
      <c r="Q975" s="12"/>
    </row>
    <row r="976" spans="1:17">
      <c r="A976" s="14">
        <v>40141</v>
      </c>
      <c r="B976" s="8">
        <v>729.51905432433125</v>
      </c>
      <c r="F976" s="7"/>
      <c r="G976" s="7"/>
      <c r="M976" s="10"/>
      <c r="P976" s="11"/>
      <c r="Q976" s="12"/>
    </row>
    <row r="977" spans="1:17">
      <c r="A977" s="14">
        <v>40142</v>
      </c>
      <c r="B977" s="8">
        <v>731.54306267718016</v>
      </c>
      <c r="F977" s="7"/>
      <c r="G977" s="7"/>
      <c r="M977" s="10"/>
      <c r="P977" s="11"/>
      <c r="Q977" s="12"/>
    </row>
    <row r="978" spans="1:17">
      <c r="A978" s="14">
        <v>40144</v>
      </c>
      <c r="B978" s="8">
        <v>717.22270884014051</v>
      </c>
      <c r="F978" s="7"/>
      <c r="G978" s="7"/>
      <c r="M978" s="10"/>
      <c r="P978" s="11"/>
      <c r="Q978" s="12"/>
    </row>
    <row r="979" spans="1:17">
      <c r="A979" s="14">
        <v>40147</v>
      </c>
      <c r="B979" s="8">
        <v>713.02846367485131</v>
      </c>
      <c r="F979" s="7"/>
      <c r="G979" s="7"/>
      <c r="M979" s="10"/>
      <c r="P979" s="11"/>
      <c r="Q979" s="12"/>
    </row>
    <row r="980" spans="1:17">
      <c r="A980" s="14">
        <v>40148</v>
      </c>
      <c r="B980" s="8">
        <v>725.92198141279971</v>
      </c>
      <c r="F980" s="7"/>
      <c r="G980" s="7"/>
      <c r="M980" s="10"/>
      <c r="P980" s="11"/>
      <c r="Q980" s="12"/>
    </row>
    <row r="981" spans="1:17">
      <c r="A981" s="14">
        <v>40149</v>
      </c>
      <c r="B981" s="8">
        <v>729.79181213337745</v>
      </c>
      <c r="F981" s="7"/>
      <c r="G981" s="7"/>
      <c r="M981" s="10"/>
      <c r="P981" s="11"/>
      <c r="Q981" s="12"/>
    </row>
    <row r="982" spans="1:17">
      <c r="A982" s="14">
        <v>40150</v>
      </c>
      <c r="B982" s="8">
        <v>724.60204250555864</v>
      </c>
      <c r="F982" s="7"/>
      <c r="G982" s="7"/>
      <c r="M982" s="10"/>
      <c r="P982" s="11"/>
      <c r="Q982" s="12"/>
    </row>
    <row r="983" spans="1:17">
      <c r="A983" s="14">
        <v>40151</v>
      </c>
      <c r="B983" s="8">
        <v>738.33051601718444</v>
      </c>
      <c r="F983" s="7"/>
      <c r="G983" s="7"/>
      <c r="M983" s="10"/>
      <c r="P983" s="11"/>
      <c r="Q983" s="12"/>
    </row>
    <row r="984" spans="1:17">
      <c r="A984" s="14">
        <v>40154</v>
      </c>
      <c r="B984" s="8">
        <v>737.069993186538</v>
      </c>
      <c r="F984" s="7"/>
      <c r="G984" s="7"/>
      <c r="M984" s="10"/>
      <c r="P984" s="11"/>
      <c r="Q984" s="12"/>
    </row>
    <row r="985" spans="1:17">
      <c r="A985" s="14">
        <v>40155</v>
      </c>
      <c r="B985" s="8">
        <v>729.77592894314887</v>
      </c>
      <c r="F985" s="7"/>
      <c r="G985" s="7"/>
      <c r="M985" s="10"/>
      <c r="P985" s="11"/>
      <c r="Q985" s="12"/>
    </row>
    <row r="986" spans="1:17">
      <c r="A986" s="14">
        <v>40156</v>
      </c>
      <c r="B986" s="8">
        <v>727.57934856409054</v>
      </c>
      <c r="F986" s="7"/>
      <c r="G986" s="7"/>
      <c r="M986" s="10"/>
      <c r="P986" s="11"/>
      <c r="Q986" s="12"/>
    </row>
    <row r="987" spans="1:17">
      <c r="A987" s="14">
        <v>40157</v>
      </c>
      <c r="B987" s="8">
        <v>734.58048536333979</v>
      </c>
      <c r="F987" s="7"/>
      <c r="G987" s="7"/>
      <c r="M987" s="10"/>
      <c r="P987" s="11"/>
      <c r="Q987" s="12"/>
    </row>
    <row r="988" spans="1:17">
      <c r="A988" s="14">
        <v>40158</v>
      </c>
      <c r="B988" s="8">
        <v>740.84361487568117</v>
      </c>
      <c r="F988" s="7"/>
      <c r="G988" s="7"/>
      <c r="M988" s="10"/>
      <c r="P988" s="11"/>
      <c r="Q988" s="12"/>
    </row>
    <row r="989" spans="1:17">
      <c r="A989" s="14">
        <v>40161</v>
      </c>
      <c r="B989" s="8">
        <v>747.81519662672258</v>
      </c>
      <c r="F989" s="7"/>
      <c r="G989" s="7"/>
      <c r="M989" s="10"/>
      <c r="P989" s="11"/>
      <c r="Q989" s="12"/>
    </row>
    <row r="990" spans="1:17">
      <c r="A990" s="14">
        <v>40162</v>
      </c>
      <c r="B990" s="8">
        <v>750.19556753215284</v>
      </c>
      <c r="F990" s="7"/>
      <c r="G990" s="7"/>
      <c r="M990" s="10"/>
      <c r="P990" s="11"/>
      <c r="Q990" s="12"/>
    </row>
    <row r="991" spans="1:17">
      <c r="A991" s="14">
        <v>40163</v>
      </c>
      <c r="B991" s="8">
        <v>756.28297050261733</v>
      </c>
      <c r="F991" s="7"/>
      <c r="G991" s="7"/>
      <c r="M991" s="10"/>
      <c r="P991" s="11"/>
      <c r="Q991" s="12"/>
    </row>
    <row r="992" spans="1:17">
      <c r="A992" s="14">
        <v>40164</v>
      </c>
      <c r="B992" s="8">
        <v>752.69021836026172</v>
      </c>
      <c r="F992" s="7"/>
      <c r="G992" s="7"/>
      <c r="M992" s="10"/>
      <c r="P992" s="11"/>
      <c r="Q992" s="12"/>
    </row>
    <row r="993" spans="1:17">
      <c r="A993" s="14">
        <v>40165</v>
      </c>
      <c r="B993" s="8">
        <v>751.81615144540081</v>
      </c>
      <c r="F993" s="7"/>
      <c r="G993" s="7"/>
      <c r="M993" s="10"/>
      <c r="P993" s="11"/>
      <c r="Q993" s="12"/>
    </row>
    <row r="994" spans="1:17">
      <c r="A994" s="14">
        <v>40168</v>
      </c>
      <c r="B994" s="8">
        <v>763.8848930120472</v>
      </c>
      <c r="F994" s="7"/>
      <c r="G994" s="7"/>
      <c r="M994" s="10"/>
      <c r="P994" s="11"/>
      <c r="Q994" s="12"/>
    </row>
    <row r="995" spans="1:17">
      <c r="A995" s="14">
        <v>40169</v>
      </c>
      <c r="B995" s="8">
        <v>770.21619564637717</v>
      </c>
      <c r="F995" s="7"/>
      <c r="G995" s="7"/>
      <c r="M995" s="10"/>
      <c r="P995" s="11"/>
      <c r="Q995" s="12"/>
    </row>
    <row r="996" spans="1:17">
      <c r="A996" s="14">
        <v>40170</v>
      </c>
      <c r="B996" s="8">
        <v>771.74895741757678</v>
      </c>
      <c r="F996" s="7"/>
      <c r="G996" s="7"/>
      <c r="M996" s="10"/>
      <c r="P996" s="11"/>
      <c r="Q996" s="12"/>
    </row>
    <row r="997" spans="1:17">
      <c r="A997" s="14">
        <v>40171</v>
      </c>
      <c r="B997" s="8">
        <v>773.7693006363254</v>
      </c>
      <c r="F997" s="7"/>
      <c r="G997" s="7"/>
      <c r="M997" s="10"/>
      <c r="P997" s="11"/>
      <c r="Q997" s="12"/>
    </row>
    <row r="998" spans="1:17">
      <c r="A998" s="14">
        <v>40175</v>
      </c>
      <c r="B998" s="8">
        <v>775.71294576481137</v>
      </c>
      <c r="F998" s="7"/>
      <c r="G998" s="7"/>
      <c r="M998" s="10"/>
      <c r="P998" s="11"/>
      <c r="Q998" s="12"/>
    </row>
    <row r="999" spans="1:17">
      <c r="A999" s="14">
        <v>40176</v>
      </c>
      <c r="B999" s="8">
        <v>777.74993910672003</v>
      </c>
      <c r="F999" s="7"/>
      <c r="G999" s="7"/>
      <c r="M999" s="10"/>
      <c r="P999" s="11"/>
      <c r="Q999" s="12"/>
    </row>
    <row r="1000" spans="1:17">
      <c r="A1000" s="14">
        <v>40177</v>
      </c>
      <c r="B1000" s="8">
        <v>774.65603571574059</v>
      </c>
      <c r="F1000" s="7"/>
      <c r="G1000" s="7"/>
      <c r="M1000" s="10"/>
      <c r="P1000" s="11"/>
      <c r="Q1000" s="12"/>
    </row>
    <row r="1001" spans="1:17">
      <c r="A1001" s="14">
        <v>40178</v>
      </c>
      <c r="B1001" s="8">
        <v>769.83667391079189</v>
      </c>
      <c r="F1001" s="7"/>
      <c r="G1001" s="7"/>
      <c r="M1001" s="10"/>
      <c r="P1001" s="11"/>
      <c r="Q1001" s="12"/>
    </row>
    <row r="1002" spans="1:17">
      <c r="A1002" s="14">
        <v>40182</v>
      </c>
      <c r="B1002" s="8">
        <v>780.85178819769783</v>
      </c>
      <c r="F1002" s="7"/>
      <c r="G1002" s="7"/>
      <c r="M1002" s="10"/>
      <c r="P1002" s="11"/>
      <c r="Q1002" s="12"/>
    </row>
    <row r="1003" spans="1:17">
      <c r="A1003" s="14">
        <v>40183</v>
      </c>
      <c r="B1003" s="8">
        <v>782.64648131305478</v>
      </c>
      <c r="F1003" s="7"/>
      <c r="G1003" s="7"/>
      <c r="M1003" s="10"/>
      <c r="P1003" s="11"/>
      <c r="Q1003" s="12"/>
    </row>
    <row r="1004" spans="1:17">
      <c r="A1004" s="14">
        <v>40184</v>
      </c>
      <c r="B1004" s="8">
        <v>783.48621041232116</v>
      </c>
      <c r="F1004" s="7"/>
      <c r="G1004" s="7"/>
      <c r="M1004" s="10"/>
      <c r="P1004" s="11"/>
      <c r="Q1004" s="12"/>
    </row>
    <row r="1005" spans="1:17">
      <c r="A1005" s="14">
        <v>40185</v>
      </c>
      <c r="B1005" s="8">
        <v>787.74608767640052</v>
      </c>
      <c r="F1005" s="7"/>
      <c r="G1005" s="7"/>
      <c r="M1005" s="10"/>
      <c r="P1005" s="11"/>
      <c r="Q1005" s="12"/>
    </row>
    <row r="1006" spans="1:17">
      <c r="A1006" s="14">
        <v>40186</v>
      </c>
      <c r="B1006" s="8">
        <v>788.88078658204006</v>
      </c>
      <c r="F1006" s="7"/>
      <c r="G1006" s="7"/>
      <c r="M1006" s="10"/>
      <c r="P1006" s="11"/>
      <c r="Q1006" s="12"/>
    </row>
    <row r="1007" spans="1:17">
      <c r="A1007" s="14">
        <v>40189</v>
      </c>
      <c r="B1007" s="8">
        <v>784.88062584051215</v>
      </c>
      <c r="F1007" s="7"/>
      <c r="G1007" s="7"/>
      <c r="M1007" s="10"/>
      <c r="P1007" s="11"/>
      <c r="Q1007" s="12"/>
    </row>
    <row r="1008" spans="1:17">
      <c r="A1008" s="14">
        <v>40190</v>
      </c>
      <c r="B1008" s="8">
        <v>774.66944364858603</v>
      </c>
      <c r="F1008" s="7"/>
      <c r="G1008" s="7"/>
      <c r="M1008" s="10"/>
      <c r="P1008" s="11"/>
      <c r="Q1008" s="12"/>
    </row>
    <row r="1009" spans="1:17">
      <c r="A1009" s="14">
        <v>40191</v>
      </c>
      <c r="B1009" s="8">
        <v>779.84658077629331</v>
      </c>
      <c r="F1009" s="7"/>
      <c r="G1009" s="7"/>
      <c r="M1009" s="10"/>
      <c r="P1009" s="11"/>
      <c r="Q1009" s="12"/>
    </row>
    <row r="1010" spans="1:17">
      <c r="A1010" s="14">
        <v>40192</v>
      </c>
      <c r="B1010" s="8">
        <v>782.18784695351712</v>
      </c>
      <c r="F1010" s="7"/>
      <c r="G1010" s="7"/>
      <c r="M1010" s="10"/>
      <c r="P1010" s="11"/>
      <c r="Q1010" s="12"/>
    </row>
    <row r="1011" spans="1:17">
      <c r="A1011" s="14">
        <v>40193</v>
      </c>
      <c r="B1011" s="8">
        <v>773.95823998973299</v>
      </c>
      <c r="F1011" s="7"/>
      <c r="G1011" s="7"/>
      <c r="M1011" s="10"/>
      <c r="P1011" s="11"/>
      <c r="Q1011" s="12"/>
    </row>
    <row r="1012" spans="1:17">
      <c r="A1012" s="14">
        <v>40197</v>
      </c>
      <c r="B1012" s="8">
        <v>787.34893233824903</v>
      </c>
      <c r="F1012" s="7"/>
      <c r="G1012" s="7"/>
      <c r="M1012" s="10"/>
      <c r="P1012" s="11"/>
      <c r="Q1012" s="12"/>
    </row>
    <row r="1013" spans="1:17">
      <c r="A1013" s="14">
        <v>40198</v>
      </c>
      <c r="B1013" s="8">
        <v>778.24956044535259</v>
      </c>
      <c r="F1013" s="7"/>
      <c r="G1013" s="7"/>
      <c r="M1013" s="10"/>
      <c r="P1013" s="11"/>
      <c r="Q1013" s="12"/>
    </row>
    <row r="1014" spans="1:17">
      <c r="A1014" s="14">
        <v>40199</v>
      </c>
      <c r="B1014" s="8">
        <v>764.12796110949625</v>
      </c>
      <c r="F1014" s="7"/>
      <c r="G1014" s="7"/>
      <c r="M1014" s="10"/>
      <c r="P1014" s="11"/>
      <c r="Q1014" s="12"/>
    </row>
    <row r="1015" spans="1:17">
      <c r="A1015" s="14">
        <v>40200</v>
      </c>
      <c r="B1015" s="8">
        <v>749.53672900838433</v>
      </c>
      <c r="F1015" s="7"/>
      <c r="G1015" s="7"/>
      <c r="M1015" s="10"/>
      <c r="P1015" s="11"/>
      <c r="Q1015" s="12"/>
    </row>
    <row r="1016" spans="1:17">
      <c r="A1016" s="14">
        <v>40203</v>
      </c>
      <c r="B1016" s="8">
        <v>747.59575649695955</v>
      </c>
      <c r="F1016" s="7"/>
      <c r="G1016" s="7"/>
      <c r="M1016" s="10"/>
      <c r="P1016" s="11"/>
      <c r="Q1016" s="12"/>
    </row>
    <row r="1017" spans="1:17">
      <c r="A1017" s="14">
        <v>40204</v>
      </c>
      <c r="B1017" s="8">
        <v>749.73152810516183</v>
      </c>
      <c r="F1017" s="7"/>
      <c r="G1017" s="7"/>
      <c r="M1017" s="10"/>
      <c r="P1017" s="11"/>
      <c r="Q1017" s="12"/>
    </row>
    <row r="1018" spans="1:17">
      <c r="A1018" s="14">
        <v>40205</v>
      </c>
      <c r="B1018" s="8">
        <v>748.1382660198517</v>
      </c>
      <c r="F1018" s="7"/>
      <c r="G1018" s="7"/>
      <c r="M1018" s="10"/>
      <c r="P1018" s="11"/>
      <c r="Q1018" s="12"/>
    </row>
    <row r="1019" spans="1:17">
      <c r="A1019" s="14">
        <v>40206</v>
      </c>
      <c r="B1019" s="8">
        <v>738.6422763452457</v>
      </c>
      <c r="F1019" s="7"/>
      <c r="G1019" s="7"/>
      <c r="M1019" s="10"/>
      <c r="P1019" s="11"/>
      <c r="Q1019" s="12"/>
    </row>
    <row r="1020" spans="1:17">
      <c r="A1020" s="14">
        <v>40207</v>
      </c>
      <c r="B1020" s="8">
        <v>741.98772055819575</v>
      </c>
      <c r="F1020" s="7"/>
      <c r="G1020" s="7"/>
      <c r="M1020" s="10"/>
      <c r="P1020" s="11"/>
      <c r="Q1020" s="12"/>
    </row>
    <row r="1021" spans="1:17">
      <c r="A1021" s="14">
        <v>40210</v>
      </c>
      <c r="B1021" s="8">
        <v>750.69503946961356</v>
      </c>
      <c r="F1021" s="7"/>
      <c r="G1021" s="7"/>
      <c r="M1021" s="10"/>
      <c r="P1021" s="11"/>
      <c r="Q1021" s="12"/>
    </row>
    <row r="1022" spans="1:17">
      <c r="A1022" s="14">
        <v>40211</v>
      </c>
      <c r="B1022" s="8">
        <v>761.06555112108424</v>
      </c>
      <c r="F1022" s="7"/>
      <c r="G1022" s="7"/>
      <c r="M1022" s="10"/>
      <c r="P1022" s="11"/>
      <c r="Q1022" s="12"/>
    </row>
    <row r="1023" spans="1:17">
      <c r="A1023" s="14">
        <v>40212</v>
      </c>
      <c r="B1023" s="8">
        <v>756.34638730413735</v>
      </c>
      <c r="F1023" s="7"/>
      <c r="G1023" s="7"/>
      <c r="M1023" s="10"/>
      <c r="P1023" s="11"/>
      <c r="Q1023" s="12"/>
    </row>
    <row r="1024" spans="1:17">
      <c r="A1024" s="14">
        <v>40213</v>
      </c>
      <c r="B1024" s="8">
        <v>733.41371597092188</v>
      </c>
      <c r="F1024" s="7"/>
      <c r="G1024" s="7"/>
      <c r="M1024" s="10"/>
      <c r="P1024" s="11"/>
      <c r="Q1024" s="12"/>
    </row>
    <row r="1025" spans="1:17">
      <c r="A1025" s="14">
        <v>40214</v>
      </c>
      <c r="B1025" s="8">
        <v>726.37230055909652</v>
      </c>
      <c r="F1025" s="7"/>
      <c r="G1025" s="7"/>
      <c r="M1025" s="10"/>
      <c r="P1025" s="11"/>
      <c r="Q1025" s="12"/>
    </row>
    <row r="1026" spans="1:17">
      <c r="A1026" s="14">
        <v>40217</v>
      </c>
      <c r="B1026" s="8">
        <v>725.51169180387387</v>
      </c>
      <c r="F1026" s="7"/>
      <c r="G1026" s="7"/>
      <c r="M1026" s="10"/>
      <c r="P1026" s="11"/>
      <c r="Q1026" s="12"/>
    </row>
    <row r="1027" spans="1:17">
      <c r="A1027" s="14">
        <v>40218</v>
      </c>
      <c r="B1027" s="8">
        <v>729.31278545486498</v>
      </c>
      <c r="F1027" s="7"/>
      <c r="G1027" s="7"/>
      <c r="M1027" s="10"/>
      <c r="P1027" s="11"/>
      <c r="Q1027" s="12"/>
    </row>
    <row r="1028" spans="1:17">
      <c r="A1028" s="14">
        <v>40219</v>
      </c>
      <c r="B1028" s="8">
        <v>733.79052537634311</v>
      </c>
      <c r="F1028" s="7"/>
      <c r="G1028" s="7"/>
      <c r="M1028" s="10"/>
      <c r="P1028" s="11"/>
      <c r="Q1028" s="12"/>
    </row>
    <row r="1029" spans="1:17">
      <c r="A1029" s="14">
        <v>40220</v>
      </c>
      <c r="B1029" s="8">
        <v>737.00050457982854</v>
      </c>
      <c r="F1029" s="7"/>
      <c r="G1029" s="7"/>
      <c r="M1029" s="10"/>
      <c r="P1029" s="11"/>
      <c r="Q1029" s="12"/>
    </row>
    <row r="1030" spans="1:17">
      <c r="A1030" s="14">
        <v>40221</v>
      </c>
      <c r="B1030" s="8">
        <v>736.89798974636142</v>
      </c>
      <c r="F1030" s="7"/>
      <c r="G1030" s="7"/>
      <c r="M1030" s="10"/>
      <c r="P1030" s="11"/>
      <c r="Q1030" s="12"/>
    </row>
    <row r="1031" spans="1:17">
      <c r="A1031" s="14">
        <v>40225</v>
      </c>
      <c r="B1031" s="8">
        <v>747.09256975693199</v>
      </c>
      <c r="F1031" s="7"/>
      <c r="G1031" s="7"/>
      <c r="M1031" s="10"/>
      <c r="P1031" s="11"/>
      <c r="Q1031" s="12"/>
    </row>
    <row r="1032" spans="1:17">
      <c r="A1032" s="14">
        <v>40226</v>
      </c>
      <c r="B1032" s="8">
        <v>760.09829923381483</v>
      </c>
      <c r="F1032" s="7"/>
      <c r="G1032" s="7"/>
      <c r="M1032" s="10"/>
      <c r="P1032" s="11"/>
      <c r="Q1032" s="12"/>
    </row>
    <row r="1033" spans="1:17">
      <c r="A1033" s="14">
        <v>40227</v>
      </c>
      <c r="B1033" s="8">
        <v>765.75192335350334</v>
      </c>
      <c r="F1033" s="7"/>
      <c r="G1033" s="7"/>
      <c r="M1033" s="10"/>
      <c r="P1033" s="11"/>
      <c r="Q1033" s="12"/>
    </row>
    <row r="1034" spans="1:17">
      <c r="A1034" s="14">
        <v>40228</v>
      </c>
      <c r="B1034" s="8">
        <v>770.2136280001863</v>
      </c>
      <c r="F1034" s="7"/>
      <c r="G1034" s="7"/>
      <c r="M1034" s="10"/>
      <c r="P1034" s="11"/>
      <c r="Q1034" s="12"/>
    </row>
    <row r="1035" spans="1:17">
      <c r="A1035" s="14">
        <v>40231</v>
      </c>
      <c r="B1035" s="8">
        <v>767.32079908849153</v>
      </c>
      <c r="F1035" s="7"/>
      <c r="G1035" s="7"/>
      <c r="M1035" s="10"/>
      <c r="P1035" s="11"/>
      <c r="Q1035" s="12"/>
    </row>
    <row r="1036" spans="1:17">
      <c r="A1036" s="14">
        <v>40232</v>
      </c>
      <c r="B1036" s="8">
        <v>757.0427346022683</v>
      </c>
      <c r="F1036" s="7"/>
      <c r="G1036" s="7"/>
      <c r="M1036" s="10"/>
      <c r="P1036" s="11"/>
      <c r="Q1036" s="12"/>
    </row>
    <row r="1037" spans="1:17">
      <c r="A1037" s="14">
        <v>40233</v>
      </c>
      <c r="B1037" s="8">
        <v>761.43833851300769</v>
      </c>
      <c r="F1037" s="7"/>
      <c r="G1037" s="7"/>
      <c r="M1037" s="10"/>
      <c r="P1037" s="11"/>
      <c r="Q1037" s="12"/>
    </row>
    <row r="1038" spans="1:17">
      <c r="A1038" s="14">
        <v>40234</v>
      </c>
      <c r="B1038" s="8">
        <v>754.77213681651824</v>
      </c>
      <c r="F1038" s="7"/>
      <c r="G1038" s="7"/>
      <c r="M1038" s="10"/>
      <c r="P1038" s="11"/>
      <c r="Q1038" s="12"/>
    </row>
    <row r="1039" spans="1:17">
      <c r="A1039" s="14">
        <v>40235</v>
      </c>
      <c r="B1039" s="8">
        <v>760.0446739058724</v>
      </c>
      <c r="F1039" s="7"/>
      <c r="G1039" s="7"/>
      <c r="M1039" s="10"/>
      <c r="P1039" s="11"/>
      <c r="Q1039" s="12"/>
    </row>
    <row r="1040" spans="1:17">
      <c r="A1040" s="14">
        <v>40238</v>
      </c>
      <c r="B1040" s="8">
        <v>774.49435489090388</v>
      </c>
      <c r="F1040" s="7"/>
      <c r="G1040" s="7"/>
      <c r="M1040" s="10"/>
      <c r="P1040" s="11"/>
      <c r="Q1040" s="12"/>
    </row>
    <row r="1041" spans="1:17">
      <c r="A1041" s="14">
        <v>40239</v>
      </c>
      <c r="B1041" s="8">
        <v>778.05080072472003</v>
      </c>
      <c r="F1041" s="7"/>
      <c r="G1041" s="7"/>
      <c r="M1041" s="10"/>
      <c r="P1041" s="11"/>
      <c r="Q1041" s="12"/>
    </row>
    <row r="1042" spans="1:17">
      <c r="A1042" s="14">
        <v>40240</v>
      </c>
      <c r="B1042" s="8">
        <v>778.37870534264289</v>
      </c>
      <c r="F1042" s="7"/>
      <c r="G1042" s="7"/>
      <c r="M1042" s="10"/>
      <c r="P1042" s="11"/>
      <c r="Q1042" s="12"/>
    </row>
    <row r="1043" spans="1:17">
      <c r="A1043" s="14">
        <v>40241</v>
      </c>
      <c r="B1043" s="8">
        <v>782.66969863446161</v>
      </c>
      <c r="F1043" s="7"/>
      <c r="G1043" s="7"/>
      <c r="M1043" s="10"/>
      <c r="P1043" s="11"/>
      <c r="Q1043" s="12"/>
    </row>
    <row r="1044" spans="1:17">
      <c r="A1044" s="14">
        <v>40242</v>
      </c>
      <c r="B1044" s="8">
        <v>797.67180790087593</v>
      </c>
      <c r="F1044" s="7"/>
      <c r="G1044" s="7"/>
      <c r="M1044" s="10"/>
      <c r="P1044" s="11"/>
      <c r="Q1044" s="12"/>
    </row>
    <row r="1045" spans="1:17">
      <c r="A1045" s="14">
        <v>40245</v>
      </c>
      <c r="B1045" s="8">
        <v>796.71164341378517</v>
      </c>
      <c r="F1045" s="7"/>
      <c r="G1045" s="7"/>
      <c r="M1045" s="10"/>
      <c r="P1045" s="11"/>
      <c r="Q1045" s="12"/>
    </row>
    <row r="1046" spans="1:17">
      <c r="A1046" s="14">
        <v>40246</v>
      </c>
      <c r="B1046" s="8">
        <v>798.67276588428513</v>
      </c>
      <c r="F1046" s="7"/>
      <c r="G1046" s="7"/>
      <c r="M1046" s="10"/>
      <c r="P1046" s="11"/>
      <c r="Q1046" s="12"/>
    </row>
    <row r="1047" spans="1:17">
      <c r="A1047" s="14">
        <v>40247</v>
      </c>
      <c r="B1047" s="8">
        <v>804.42058734730608</v>
      </c>
      <c r="F1047" s="7"/>
      <c r="G1047" s="7"/>
      <c r="M1047" s="10"/>
      <c r="P1047" s="11"/>
      <c r="Q1047" s="12"/>
    </row>
    <row r="1048" spans="1:17">
      <c r="A1048" s="14">
        <v>40248</v>
      </c>
      <c r="B1048" s="8">
        <v>803.41314794247353</v>
      </c>
      <c r="F1048" s="7"/>
      <c r="G1048" s="7"/>
      <c r="M1048" s="10"/>
      <c r="P1048" s="11"/>
      <c r="Q1048" s="12"/>
    </row>
    <row r="1049" spans="1:17">
      <c r="A1049" s="14">
        <v>40249</v>
      </c>
      <c r="B1049" s="8">
        <v>801.22560952318793</v>
      </c>
      <c r="F1049" s="7"/>
      <c r="G1049" s="7"/>
      <c r="M1049" s="10"/>
      <c r="P1049" s="11"/>
      <c r="Q1049" s="12"/>
    </row>
    <row r="1050" spans="1:17">
      <c r="A1050" s="14">
        <v>40252</v>
      </c>
      <c r="B1050" s="8">
        <v>798.638954344936</v>
      </c>
      <c r="F1050" s="7"/>
      <c r="G1050" s="7"/>
      <c r="M1050" s="10"/>
      <c r="P1050" s="11"/>
      <c r="Q1050" s="12"/>
    </row>
    <row r="1051" spans="1:17">
      <c r="A1051" s="14">
        <v>40253</v>
      </c>
      <c r="B1051" s="8">
        <v>806.22629866654609</v>
      </c>
      <c r="F1051" s="7"/>
      <c r="G1051" s="7"/>
      <c r="M1051" s="10"/>
      <c r="P1051" s="11"/>
      <c r="Q1051" s="12"/>
    </row>
    <row r="1052" spans="1:17">
      <c r="A1052" s="14">
        <v>40254</v>
      </c>
      <c r="B1052" s="8">
        <v>812.15511091757139</v>
      </c>
      <c r="F1052" s="7"/>
      <c r="G1052" s="7"/>
      <c r="M1052" s="10"/>
      <c r="P1052" s="11"/>
      <c r="Q1052" s="12"/>
    </row>
    <row r="1053" spans="1:17">
      <c r="A1053" s="14">
        <v>40255</v>
      </c>
      <c r="B1053" s="8">
        <v>812.89790207093279</v>
      </c>
      <c r="F1053" s="7"/>
      <c r="G1053" s="7"/>
      <c r="M1053" s="10"/>
      <c r="P1053" s="11"/>
      <c r="Q1053" s="12"/>
    </row>
    <row r="1054" spans="1:17">
      <c r="A1054" s="14">
        <v>40256</v>
      </c>
      <c r="B1054" s="8">
        <v>810.59375364245136</v>
      </c>
      <c r="F1054" s="7"/>
      <c r="G1054" s="7"/>
      <c r="M1054" s="10"/>
      <c r="P1054" s="11"/>
      <c r="Q1054" s="12"/>
    </row>
    <row r="1055" spans="1:17">
      <c r="A1055" s="14">
        <v>40259</v>
      </c>
      <c r="B1055" s="8">
        <v>812.12419470895315</v>
      </c>
      <c r="F1055" s="7"/>
      <c r="G1055" s="7"/>
      <c r="M1055" s="10"/>
      <c r="P1055" s="11"/>
      <c r="Q1055" s="12"/>
    </row>
    <row r="1056" spans="1:17">
      <c r="A1056" s="14">
        <v>40260</v>
      </c>
      <c r="B1056" s="8">
        <v>820.60194828622548</v>
      </c>
      <c r="F1056" s="7"/>
      <c r="G1056" s="7"/>
      <c r="M1056" s="10"/>
      <c r="P1056" s="11"/>
      <c r="Q1056" s="12"/>
    </row>
    <row r="1057" spans="1:17">
      <c r="A1057" s="14">
        <v>40261</v>
      </c>
      <c r="B1057" s="8">
        <v>821.62147929161154</v>
      </c>
      <c r="F1057" s="7"/>
      <c r="G1057" s="7"/>
      <c r="M1057" s="10"/>
      <c r="P1057" s="11"/>
      <c r="Q1057" s="12"/>
    </row>
    <row r="1058" spans="1:17">
      <c r="A1058" s="14">
        <v>40262</v>
      </c>
      <c r="B1058" s="8">
        <v>827.18712178081887</v>
      </c>
      <c r="F1058" s="7"/>
      <c r="G1058" s="7"/>
      <c r="M1058" s="10"/>
      <c r="P1058" s="11"/>
      <c r="Q1058" s="12"/>
    </row>
    <row r="1059" spans="1:17">
      <c r="A1059" s="14">
        <v>40263</v>
      </c>
      <c r="B1059" s="8">
        <v>823.8704538153487</v>
      </c>
      <c r="F1059" s="7"/>
      <c r="G1059" s="7"/>
      <c r="M1059" s="10"/>
      <c r="P1059" s="11"/>
      <c r="Q1059" s="12"/>
    </row>
    <row r="1060" spans="1:17">
      <c r="A1060" s="14">
        <v>40266</v>
      </c>
      <c r="B1060" s="8">
        <v>826.28087260669201</v>
      </c>
      <c r="F1060" s="7"/>
      <c r="G1060" s="7"/>
      <c r="M1060" s="10"/>
      <c r="P1060" s="11"/>
      <c r="Q1060" s="12"/>
    </row>
    <row r="1061" spans="1:17">
      <c r="A1061" s="14">
        <v>40267</v>
      </c>
      <c r="B1061" s="8">
        <v>826.04842670337666</v>
      </c>
      <c r="F1061" s="7"/>
      <c r="G1061" s="7"/>
      <c r="M1061" s="10"/>
      <c r="P1061" s="11"/>
      <c r="Q1061" s="12"/>
    </row>
    <row r="1062" spans="1:17">
      <c r="A1062" s="14">
        <v>40268</v>
      </c>
      <c r="B1062" s="8">
        <v>819.40477231918908</v>
      </c>
      <c r="F1062" s="7"/>
      <c r="G1062" s="7"/>
      <c r="M1062" s="10"/>
      <c r="P1062" s="11"/>
      <c r="Q1062" s="12"/>
    </row>
    <row r="1063" spans="1:17">
      <c r="A1063" s="14">
        <v>40269</v>
      </c>
      <c r="B1063" s="8">
        <v>829.63922141888941</v>
      </c>
      <c r="F1063" s="7"/>
      <c r="G1063" s="7"/>
      <c r="M1063" s="10"/>
      <c r="P1063" s="11"/>
      <c r="Q1063" s="12"/>
    </row>
    <row r="1064" spans="1:17">
      <c r="A1064" s="14">
        <v>40274</v>
      </c>
      <c r="B1064" s="8">
        <v>843.82513731860183</v>
      </c>
      <c r="F1064" s="7"/>
      <c r="G1064" s="7"/>
      <c r="M1064" s="10"/>
      <c r="P1064" s="11"/>
      <c r="Q1064" s="12"/>
    </row>
    <row r="1065" spans="1:17">
      <c r="A1065" s="14">
        <v>40275</v>
      </c>
      <c r="B1065" s="8">
        <v>839.3636061522933</v>
      </c>
      <c r="F1065" s="7"/>
      <c r="G1065" s="7"/>
      <c r="M1065" s="10"/>
      <c r="P1065" s="11"/>
      <c r="Q1065" s="12"/>
    </row>
    <row r="1066" spans="1:17">
      <c r="A1066" s="14">
        <v>40276</v>
      </c>
      <c r="B1066" s="8">
        <v>835.14854673746288</v>
      </c>
      <c r="F1066" s="7"/>
      <c r="G1066" s="7"/>
      <c r="M1066" s="10"/>
      <c r="P1066" s="11"/>
      <c r="Q1066" s="12"/>
    </row>
    <row r="1067" spans="1:17">
      <c r="A1067" s="14">
        <v>40277</v>
      </c>
      <c r="B1067" s="8">
        <v>842.07367512308315</v>
      </c>
      <c r="F1067" s="7"/>
      <c r="G1067" s="7"/>
      <c r="M1067" s="10"/>
      <c r="P1067" s="11"/>
      <c r="Q1067" s="12"/>
    </row>
    <row r="1068" spans="1:17">
      <c r="A1068" s="14">
        <v>40280</v>
      </c>
      <c r="B1068" s="8">
        <v>840.36110814759877</v>
      </c>
      <c r="F1068" s="7"/>
      <c r="G1068" s="7"/>
      <c r="M1068" s="10"/>
      <c r="P1068" s="11"/>
      <c r="Q1068" s="12"/>
    </row>
    <row r="1069" spans="1:17">
      <c r="A1069" s="14">
        <v>40281</v>
      </c>
      <c r="B1069" s="8">
        <v>838.64763950333111</v>
      </c>
      <c r="F1069" s="7"/>
      <c r="G1069" s="7"/>
      <c r="M1069" s="10"/>
      <c r="P1069" s="11"/>
      <c r="Q1069" s="12"/>
    </row>
    <row r="1070" spans="1:17">
      <c r="A1070" s="14">
        <v>40282</v>
      </c>
      <c r="B1070" s="8">
        <v>845.06784402171036</v>
      </c>
      <c r="F1070" s="7"/>
      <c r="G1070" s="7"/>
      <c r="M1070" s="10"/>
      <c r="P1070" s="11"/>
      <c r="Q1070" s="12"/>
    </row>
    <row r="1071" spans="1:17">
      <c r="A1071" s="14">
        <v>40283</v>
      </c>
      <c r="B1071" s="8">
        <v>848.95828423609237</v>
      </c>
      <c r="F1071" s="7"/>
      <c r="G1071" s="7"/>
      <c r="M1071" s="10"/>
      <c r="P1071" s="11"/>
      <c r="Q1071" s="12"/>
    </row>
    <row r="1072" spans="1:17">
      <c r="A1072" s="14">
        <v>40284</v>
      </c>
      <c r="B1072" s="8">
        <v>834.83892599245621</v>
      </c>
      <c r="F1072" s="7"/>
      <c r="G1072" s="7"/>
      <c r="M1072" s="10"/>
      <c r="P1072" s="11"/>
      <c r="Q1072" s="12"/>
    </row>
    <row r="1073" spans="1:17">
      <c r="A1073" s="14">
        <v>40287</v>
      </c>
      <c r="B1073" s="8">
        <v>834.28135946880047</v>
      </c>
      <c r="F1073" s="7"/>
      <c r="G1073" s="7"/>
      <c r="M1073" s="10"/>
      <c r="P1073" s="11"/>
      <c r="Q1073" s="12"/>
    </row>
    <row r="1074" spans="1:17">
      <c r="A1074" s="14">
        <v>40288</v>
      </c>
      <c r="B1074" s="8">
        <v>847.92012772202327</v>
      </c>
      <c r="F1074" s="7"/>
      <c r="G1074" s="7"/>
      <c r="M1074" s="10"/>
      <c r="P1074" s="11"/>
      <c r="Q1074" s="12"/>
    </row>
    <row r="1075" spans="1:17">
      <c r="A1075" s="14">
        <v>40289</v>
      </c>
      <c r="B1075" s="8">
        <v>844.6718221130518</v>
      </c>
      <c r="F1075" s="7"/>
      <c r="G1075" s="7"/>
      <c r="M1075" s="10"/>
      <c r="P1075" s="11"/>
      <c r="Q1075" s="12"/>
    </row>
    <row r="1076" spans="1:17">
      <c r="A1076" s="14">
        <v>40290</v>
      </c>
      <c r="B1076" s="8">
        <v>844.70191019986282</v>
      </c>
      <c r="F1076" s="7"/>
      <c r="G1076" s="7"/>
      <c r="M1076" s="10"/>
      <c r="P1076" s="11"/>
      <c r="Q1076" s="12"/>
    </row>
    <row r="1077" spans="1:17">
      <c r="A1077" s="14">
        <v>40291</v>
      </c>
      <c r="B1077" s="8">
        <v>851.01966081550256</v>
      </c>
      <c r="F1077" s="7"/>
      <c r="G1077" s="7"/>
      <c r="M1077" s="10"/>
      <c r="P1077" s="11"/>
      <c r="Q1077" s="12"/>
    </row>
    <row r="1078" spans="1:17">
      <c r="A1078" s="14">
        <v>40294</v>
      </c>
      <c r="B1078" s="8">
        <v>854.26715390686934</v>
      </c>
      <c r="F1078" s="7"/>
      <c r="G1078" s="7"/>
      <c r="M1078" s="10"/>
      <c r="P1078" s="11"/>
      <c r="Q1078" s="12"/>
    </row>
    <row r="1079" spans="1:17">
      <c r="A1079" s="14">
        <v>40295</v>
      </c>
      <c r="B1079" s="8">
        <v>827.8323821146671</v>
      </c>
      <c r="F1079" s="7"/>
      <c r="G1079" s="7"/>
      <c r="M1079" s="10"/>
      <c r="P1079" s="11"/>
      <c r="Q1079" s="12"/>
    </row>
    <row r="1080" spans="1:17">
      <c r="A1080" s="14">
        <v>40296</v>
      </c>
      <c r="B1080" s="8">
        <v>824.63942571154769</v>
      </c>
      <c r="F1080" s="7"/>
      <c r="G1080" s="7"/>
      <c r="M1080" s="10"/>
      <c r="P1080" s="11"/>
      <c r="Q1080" s="12"/>
    </row>
    <row r="1081" spans="1:17">
      <c r="A1081" s="14">
        <v>40297</v>
      </c>
      <c r="B1081" s="8">
        <v>835.60122612391115</v>
      </c>
      <c r="F1081" s="7"/>
      <c r="G1081" s="7"/>
      <c r="M1081" s="10"/>
      <c r="P1081" s="11"/>
      <c r="Q1081" s="12"/>
    </row>
    <row r="1082" spans="1:17">
      <c r="A1082" s="14">
        <v>40298</v>
      </c>
      <c r="B1082" s="8">
        <v>824.50057432294739</v>
      </c>
      <c r="F1082" s="7"/>
      <c r="G1082" s="7"/>
      <c r="M1082" s="10"/>
      <c r="P1082" s="11"/>
      <c r="Q1082" s="12"/>
    </row>
    <row r="1083" spans="1:17">
      <c r="A1083" s="14">
        <v>40301</v>
      </c>
      <c r="B1083" s="8">
        <v>834.43540487881933</v>
      </c>
      <c r="F1083" s="7"/>
      <c r="G1083" s="7"/>
      <c r="M1083" s="10"/>
      <c r="P1083" s="11"/>
      <c r="Q1083" s="12"/>
    </row>
    <row r="1084" spans="1:17">
      <c r="A1084" s="14">
        <v>40302</v>
      </c>
      <c r="B1084" s="8">
        <v>811.3544152246119</v>
      </c>
      <c r="F1084" s="7"/>
      <c r="G1084" s="7"/>
      <c r="M1084" s="10"/>
      <c r="P1084" s="11"/>
      <c r="Q1084" s="12"/>
    </row>
    <row r="1085" spans="1:17">
      <c r="A1085" s="14">
        <v>40303</v>
      </c>
      <c r="B1085" s="8">
        <v>808.15903712766692</v>
      </c>
      <c r="F1085" s="7"/>
      <c r="G1085" s="7"/>
      <c r="M1085" s="10"/>
      <c r="P1085" s="11"/>
      <c r="Q1085" s="12"/>
    </row>
    <row r="1086" spans="1:17">
      <c r="A1086" s="14">
        <v>40304</v>
      </c>
      <c r="B1086" s="8">
        <v>788.78561547343259</v>
      </c>
      <c r="F1086" s="7"/>
      <c r="G1086" s="7"/>
      <c r="M1086" s="10"/>
      <c r="P1086" s="11"/>
      <c r="Q1086" s="12"/>
    </row>
    <row r="1087" spans="1:17">
      <c r="A1087" s="14">
        <v>40305</v>
      </c>
      <c r="B1087" s="8">
        <v>763.7516298740228</v>
      </c>
      <c r="F1087" s="7"/>
      <c r="G1087" s="7"/>
      <c r="M1087" s="10"/>
      <c r="P1087" s="11"/>
      <c r="Q1087" s="12"/>
    </row>
    <row r="1088" spans="1:17">
      <c r="A1088" s="14">
        <v>40308</v>
      </c>
      <c r="B1088" s="8">
        <v>822.31731557078206</v>
      </c>
      <c r="F1088" s="7"/>
      <c r="G1088" s="7"/>
      <c r="M1088" s="10"/>
      <c r="P1088" s="11"/>
      <c r="Q1088" s="12"/>
    </row>
    <row r="1089" spans="1:17">
      <c r="A1089" s="14">
        <v>40309</v>
      </c>
      <c r="B1089" s="8">
        <v>820.12217188966576</v>
      </c>
      <c r="F1089" s="7"/>
      <c r="G1089" s="7"/>
      <c r="M1089" s="10"/>
      <c r="P1089" s="11"/>
      <c r="Q1089" s="12"/>
    </row>
    <row r="1090" spans="1:17">
      <c r="A1090" s="14">
        <v>40310</v>
      </c>
      <c r="B1090" s="8">
        <v>837.06435560825378</v>
      </c>
      <c r="F1090" s="7"/>
      <c r="G1090" s="7"/>
      <c r="M1090" s="10"/>
      <c r="P1090" s="11"/>
      <c r="Q1090" s="12"/>
    </row>
    <row r="1091" spans="1:17">
      <c r="A1091" s="14">
        <v>40311</v>
      </c>
      <c r="B1091" s="8">
        <v>833.70148397847902</v>
      </c>
      <c r="F1091" s="7"/>
      <c r="G1091" s="7"/>
      <c r="M1091" s="10"/>
      <c r="P1091" s="11"/>
      <c r="Q1091" s="12"/>
    </row>
    <row r="1092" spans="1:17">
      <c r="A1092" s="14">
        <v>40312</v>
      </c>
      <c r="B1092" s="8">
        <v>808.88332252957628</v>
      </c>
      <c r="F1092" s="7"/>
      <c r="G1092" s="7"/>
      <c r="M1092" s="10"/>
      <c r="P1092" s="11"/>
      <c r="Q1092" s="12"/>
    </row>
    <row r="1093" spans="1:17">
      <c r="A1093" s="14">
        <v>40315</v>
      </c>
      <c r="B1093" s="8">
        <v>813.27252613942449</v>
      </c>
      <c r="F1093" s="7"/>
      <c r="G1093" s="7"/>
      <c r="M1093" s="10"/>
      <c r="P1093" s="11"/>
      <c r="Q1093" s="12"/>
    </row>
    <row r="1094" spans="1:17">
      <c r="A1094" s="14">
        <v>40316</v>
      </c>
      <c r="B1094" s="8">
        <v>815.78126290803493</v>
      </c>
      <c r="F1094" s="7"/>
      <c r="G1094" s="7"/>
      <c r="M1094" s="10"/>
      <c r="P1094" s="11"/>
      <c r="Q1094" s="12"/>
    </row>
    <row r="1095" spans="1:17">
      <c r="A1095" s="14">
        <v>40317</v>
      </c>
      <c r="B1095" s="8">
        <v>799.36379115755324</v>
      </c>
      <c r="F1095" s="7"/>
      <c r="G1095" s="7"/>
      <c r="M1095" s="10"/>
      <c r="P1095" s="11"/>
      <c r="Q1095" s="12"/>
    </row>
    <row r="1096" spans="1:17">
      <c r="A1096" s="14">
        <v>40318</v>
      </c>
      <c r="B1096" s="8">
        <v>773.60974114878866</v>
      </c>
      <c r="F1096" s="7"/>
      <c r="G1096" s="7"/>
      <c r="M1096" s="10"/>
      <c r="P1096" s="11"/>
      <c r="Q1096" s="12"/>
    </row>
    <row r="1097" spans="1:17">
      <c r="A1097" s="14">
        <v>40319</v>
      </c>
      <c r="B1097" s="8">
        <v>774.95339956970747</v>
      </c>
      <c r="F1097" s="7"/>
      <c r="G1097" s="7"/>
      <c r="M1097" s="10"/>
      <c r="P1097" s="11"/>
      <c r="Q1097" s="12"/>
    </row>
    <row r="1098" spans="1:17">
      <c r="A1098" s="14">
        <v>40322</v>
      </c>
      <c r="B1098" s="8">
        <v>772.42008198629856</v>
      </c>
      <c r="F1098" s="7"/>
      <c r="G1098" s="7"/>
      <c r="M1098" s="10"/>
      <c r="P1098" s="11"/>
      <c r="Q1098" s="12"/>
    </row>
    <row r="1099" spans="1:17">
      <c r="A1099" s="14">
        <v>40323</v>
      </c>
      <c r="B1099" s="8">
        <v>765.29488232717972</v>
      </c>
      <c r="F1099" s="7"/>
      <c r="G1099" s="7"/>
      <c r="M1099" s="10"/>
      <c r="P1099" s="11"/>
      <c r="Q1099" s="12"/>
    </row>
    <row r="1100" spans="1:17">
      <c r="A1100" s="14">
        <v>40324</v>
      </c>
      <c r="B1100" s="8">
        <v>774.3912335243341</v>
      </c>
      <c r="F1100" s="7"/>
      <c r="G1100" s="7"/>
      <c r="M1100" s="10"/>
      <c r="P1100" s="11"/>
      <c r="Q1100" s="12"/>
    </row>
    <row r="1101" spans="1:17">
      <c r="A1101" s="14">
        <v>40325</v>
      </c>
      <c r="B1101" s="8">
        <v>801.41700084415663</v>
      </c>
      <c r="F1101" s="7"/>
      <c r="G1101" s="7"/>
      <c r="M1101" s="10"/>
      <c r="P1101" s="11"/>
      <c r="Q1101" s="12"/>
    </row>
    <row r="1102" spans="1:17">
      <c r="A1102" s="14">
        <v>40326</v>
      </c>
      <c r="B1102" s="8">
        <v>795.30244268278477</v>
      </c>
      <c r="F1102" s="7"/>
      <c r="G1102" s="7"/>
      <c r="M1102" s="10"/>
      <c r="P1102" s="11"/>
      <c r="Q1102" s="12"/>
    </row>
    <row r="1103" spans="1:17">
      <c r="A1103" s="14">
        <v>40330</v>
      </c>
      <c r="B1103" s="8">
        <v>785.40941124380254</v>
      </c>
      <c r="F1103" s="7"/>
      <c r="G1103" s="7"/>
      <c r="M1103" s="10"/>
      <c r="P1103" s="11"/>
      <c r="Q1103" s="12"/>
    </row>
    <row r="1104" spans="1:17">
      <c r="A1104" s="14">
        <v>40331</v>
      </c>
      <c r="B1104" s="8">
        <v>797.671039075816</v>
      </c>
      <c r="F1104" s="7"/>
      <c r="G1104" s="7"/>
      <c r="M1104" s="10"/>
      <c r="P1104" s="11"/>
      <c r="Q1104" s="12"/>
    </row>
    <row r="1105" spans="1:17">
      <c r="A1105" s="14">
        <v>40332</v>
      </c>
      <c r="B1105" s="8">
        <v>808.66910595380205</v>
      </c>
      <c r="F1105" s="7"/>
      <c r="G1105" s="7"/>
      <c r="M1105" s="10"/>
      <c r="P1105" s="11"/>
      <c r="Q1105" s="12"/>
    </row>
    <row r="1106" spans="1:17">
      <c r="A1106" s="14">
        <v>40333</v>
      </c>
      <c r="B1106" s="8">
        <v>783.49587603656926</v>
      </c>
      <c r="F1106" s="7"/>
      <c r="G1106" s="7"/>
      <c r="M1106" s="10"/>
      <c r="P1106" s="11"/>
      <c r="Q1106" s="12"/>
    </row>
    <row r="1107" spans="1:17">
      <c r="A1107" s="14">
        <v>40336</v>
      </c>
      <c r="B1107" s="8">
        <v>774.56925450947779</v>
      </c>
      <c r="F1107" s="7"/>
      <c r="G1107" s="7"/>
      <c r="M1107" s="10"/>
      <c r="P1107" s="11"/>
      <c r="Q1107" s="12"/>
    </row>
    <row r="1108" spans="1:17">
      <c r="A1108" s="14">
        <v>40337</v>
      </c>
      <c r="B1108" s="8">
        <v>774.78938902325433</v>
      </c>
      <c r="F1108" s="7"/>
      <c r="G1108" s="7"/>
      <c r="M1108" s="10"/>
      <c r="P1108" s="11"/>
      <c r="Q1108" s="12"/>
    </row>
    <row r="1109" spans="1:17">
      <c r="A1109" s="14">
        <v>40338</v>
      </c>
      <c r="B1109" s="8">
        <v>779.98868495960517</v>
      </c>
      <c r="F1109" s="7"/>
      <c r="G1109" s="7"/>
      <c r="M1109" s="10"/>
      <c r="P1109" s="11"/>
      <c r="Q1109" s="12"/>
    </row>
    <row r="1110" spans="1:17">
      <c r="A1110" s="14">
        <v>40339</v>
      </c>
      <c r="B1110" s="8">
        <v>801.17747925928654</v>
      </c>
      <c r="F1110" s="7"/>
      <c r="G1110" s="7"/>
      <c r="M1110" s="10"/>
      <c r="P1110" s="11"/>
      <c r="Q1110" s="12"/>
    </row>
    <row r="1111" spans="1:17">
      <c r="A1111" s="14">
        <v>40340</v>
      </c>
      <c r="B1111" s="8">
        <v>808.69031836899205</v>
      </c>
      <c r="F1111" s="7"/>
      <c r="G1111" s="7"/>
      <c r="M1111" s="10"/>
      <c r="P1111" s="11"/>
      <c r="Q1111" s="12"/>
    </row>
    <row r="1112" spans="1:17">
      <c r="A1112" s="14">
        <v>40343</v>
      </c>
      <c r="B1112" s="8">
        <v>810.14019717142287</v>
      </c>
      <c r="F1112" s="7"/>
      <c r="G1112" s="7"/>
      <c r="M1112" s="10"/>
      <c r="P1112" s="11"/>
      <c r="Q1112" s="12"/>
    </row>
    <row r="1113" spans="1:17">
      <c r="A1113" s="14">
        <v>40344</v>
      </c>
      <c r="B1113" s="8">
        <v>823.446061552571</v>
      </c>
      <c r="F1113" s="7"/>
      <c r="G1113" s="7"/>
      <c r="M1113" s="10"/>
      <c r="P1113" s="11"/>
      <c r="Q1113" s="12"/>
    </row>
    <row r="1114" spans="1:17">
      <c r="A1114" s="14">
        <v>40345</v>
      </c>
      <c r="B1114" s="8">
        <v>823.77632979820692</v>
      </c>
      <c r="F1114" s="7"/>
      <c r="G1114" s="7"/>
      <c r="M1114" s="10"/>
      <c r="P1114" s="11"/>
      <c r="Q1114" s="12"/>
    </row>
    <row r="1115" spans="1:17">
      <c r="A1115" s="14">
        <v>40346</v>
      </c>
      <c r="B1115" s="8">
        <v>824.03894129530261</v>
      </c>
      <c r="F1115" s="7"/>
      <c r="G1115" s="7"/>
      <c r="M1115" s="10"/>
      <c r="P1115" s="11"/>
      <c r="Q1115" s="12"/>
    </row>
    <row r="1116" spans="1:17">
      <c r="A1116" s="14">
        <v>40347</v>
      </c>
      <c r="B1116" s="8">
        <v>824.9702663405966</v>
      </c>
      <c r="F1116" s="7"/>
      <c r="G1116" s="7"/>
      <c r="M1116" s="10"/>
      <c r="P1116" s="11"/>
      <c r="Q1116" s="12"/>
    </row>
    <row r="1117" spans="1:17">
      <c r="A1117" s="14">
        <v>40350</v>
      </c>
      <c r="B1117" s="8">
        <v>828.59040095744365</v>
      </c>
      <c r="F1117" s="7"/>
      <c r="G1117" s="7"/>
      <c r="M1117" s="10"/>
      <c r="P1117" s="11"/>
      <c r="Q1117" s="12"/>
    </row>
    <row r="1118" spans="1:17">
      <c r="A1118" s="14">
        <v>40351</v>
      </c>
      <c r="B1118" s="8">
        <v>816.76086853711888</v>
      </c>
      <c r="F1118" s="7"/>
      <c r="G1118" s="7"/>
      <c r="M1118" s="10"/>
      <c r="P1118" s="11"/>
      <c r="Q1118" s="12"/>
    </row>
    <row r="1119" spans="1:17">
      <c r="A1119" s="14">
        <v>40352</v>
      </c>
      <c r="B1119" s="8">
        <v>811.08196299712552</v>
      </c>
      <c r="F1119" s="7"/>
      <c r="G1119" s="7"/>
      <c r="M1119" s="10"/>
      <c r="P1119" s="11"/>
      <c r="Q1119" s="12"/>
    </row>
    <row r="1120" spans="1:17">
      <c r="A1120" s="14">
        <v>40353</v>
      </c>
      <c r="B1120" s="8">
        <v>789.61171135572761</v>
      </c>
      <c r="F1120" s="7"/>
      <c r="G1120" s="7"/>
      <c r="M1120" s="10"/>
      <c r="P1120" s="11"/>
      <c r="Q1120" s="12"/>
    </row>
    <row r="1121" spans="1:17">
      <c r="A1121" s="14">
        <v>40354</v>
      </c>
      <c r="B1121" s="8">
        <v>790.30049463370597</v>
      </c>
      <c r="F1121" s="7"/>
      <c r="G1121" s="7"/>
      <c r="M1121" s="10"/>
      <c r="P1121" s="11"/>
      <c r="Q1121" s="12"/>
    </row>
    <row r="1122" spans="1:17">
      <c r="A1122" s="14">
        <v>40357</v>
      </c>
      <c r="B1122" s="8">
        <v>796.48700469254459</v>
      </c>
      <c r="F1122" s="7"/>
      <c r="G1122" s="7"/>
      <c r="M1122" s="10"/>
      <c r="P1122" s="11"/>
      <c r="Q1122" s="12"/>
    </row>
    <row r="1123" spans="1:17">
      <c r="A1123" s="14">
        <v>40358</v>
      </c>
      <c r="B1123" s="8">
        <v>766.05012205881314</v>
      </c>
      <c r="F1123" s="7"/>
      <c r="G1123" s="7"/>
      <c r="M1123" s="10"/>
      <c r="P1123" s="11"/>
      <c r="Q1123" s="12"/>
    </row>
    <row r="1124" spans="1:17">
      <c r="A1124" s="14">
        <v>40359</v>
      </c>
      <c r="B1124" s="8">
        <v>761.83140439040426</v>
      </c>
      <c r="F1124" s="7"/>
      <c r="G1124" s="7"/>
      <c r="M1124" s="10"/>
      <c r="P1124" s="11"/>
      <c r="Q1124" s="12"/>
    </row>
    <row r="1125" spans="1:17">
      <c r="A1125" s="14">
        <v>40360</v>
      </c>
      <c r="B1125" s="8">
        <v>745.71616861897007</v>
      </c>
      <c r="F1125" s="7"/>
      <c r="G1125" s="7"/>
      <c r="M1125" s="10"/>
      <c r="P1125" s="11"/>
      <c r="Q1125" s="12"/>
    </row>
    <row r="1126" spans="1:17">
      <c r="A1126" s="14">
        <v>40361</v>
      </c>
      <c r="B1126" s="8">
        <v>740.7553231026136</v>
      </c>
      <c r="F1126" s="7"/>
      <c r="G1126" s="7"/>
      <c r="M1126" s="10"/>
      <c r="P1126" s="11"/>
      <c r="Q1126" s="12"/>
    </row>
    <row r="1127" spans="1:17">
      <c r="A1127" s="14">
        <v>40365</v>
      </c>
      <c r="B1127" s="8">
        <v>747.67421292159406</v>
      </c>
      <c r="F1127" s="7"/>
      <c r="G1127" s="7"/>
      <c r="M1127" s="10"/>
      <c r="P1127" s="11"/>
      <c r="Q1127" s="12"/>
    </row>
    <row r="1128" spans="1:17">
      <c r="A1128" s="14">
        <v>40366</v>
      </c>
      <c r="B1128" s="8">
        <v>770.19174412897348</v>
      </c>
      <c r="F1128" s="7"/>
      <c r="G1128" s="7"/>
      <c r="M1128" s="10"/>
      <c r="P1128" s="11"/>
      <c r="Q1128" s="12"/>
    </row>
    <row r="1129" spans="1:17">
      <c r="A1129" s="14">
        <v>40367</v>
      </c>
      <c r="B1129" s="8">
        <v>777.65946800239419</v>
      </c>
      <c r="F1129" s="7"/>
      <c r="G1129" s="7"/>
      <c r="M1129" s="10"/>
      <c r="P1129" s="11"/>
      <c r="Q1129" s="12"/>
    </row>
    <row r="1130" spans="1:17">
      <c r="A1130" s="14">
        <v>40368</v>
      </c>
      <c r="B1130" s="8">
        <v>783.75324240548628</v>
      </c>
      <c r="F1130" s="7"/>
      <c r="G1130" s="7"/>
      <c r="M1130" s="10"/>
      <c r="P1130" s="11"/>
      <c r="Q1130" s="12"/>
    </row>
    <row r="1131" spans="1:17">
      <c r="A1131" s="14">
        <v>40371</v>
      </c>
      <c r="B1131" s="8">
        <v>785.38830699859261</v>
      </c>
      <c r="F1131" s="7"/>
      <c r="G1131" s="7"/>
      <c r="M1131" s="10"/>
      <c r="P1131" s="11"/>
      <c r="Q1131" s="12"/>
    </row>
    <row r="1132" spans="1:17">
      <c r="A1132" s="14">
        <v>40372</v>
      </c>
      <c r="B1132" s="8">
        <v>797.361465926964</v>
      </c>
      <c r="F1132" s="7"/>
      <c r="G1132" s="7"/>
      <c r="M1132" s="10"/>
      <c r="P1132" s="11"/>
      <c r="Q1132" s="12"/>
    </row>
    <row r="1133" spans="1:17">
      <c r="A1133" s="14">
        <v>40373</v>
      </c>
      <c r="B1133" s="8">
        <v>794.95936744396295</v>
      </c>
      <c r="F1133" s="7"/>
      <c r="G1133" s="7"/>
      <c r="M1133" s="10"/>
      <c r="P1133" s="11"/>
      <c r="Q1133" s="12"/>
    </row>
    <row r="1134" spans="1:17">
      <c r="A1134" s="14">
        <v>40374</v>
      </c>
      <c r="B1134" s="8">
        <v>785.59665168563072</v>
      </c>
      <c r="F1134" s="7"/>
      <c r="G1134" s="7"/>
      <c r="M1134" s="10"/>
      <c r="P1134" s="11"/>
      <c r="Q1134" s="12"/>
    </row>
    <row r="1135" spans="1:17">
      <c r="A1135" s="14">
        <v>40375</v>
      </c>
      <c r="B1135" s="8">
        <v>761.53389448406358</v>
      </c>
      <c r="F1135" s="7"/>
      <c r="G1135" s="7"/>
      <c r="M1135" s="10"/>
      <c r="P1135" s="11"/>
      <c r="Q1135" s="12"/>
    </row>
    <row r="1136" spans="1:17">
      <c r="A1136" s="14">
        <v>40378</v>
      </c>
      <c r="B1136" s="8">
        <v>761.72874254900114</v>
      </c>
      <c r="F1136" s="7"/>
      <c r="G1136" s="7"/>
      <c r="M1136" s="10"/>
      <c r="P1136" s="11"/>
      <c r="Q1136" s="12"/>
    </row>
    <row r="1137" spans="1:17">
      <c r="A1137" s="14">
        <v>40379</v>
      </c>
      <c r="B1137" s="8">
        <v>767.8158034322222</v>
      </c>
      <c r="F1137" s="7"/>
      <c r="G1137" s="7"/>
      <c r="M1137" s="10"/>
      <c r="P1137" s="11"/>
      <c r="Q1137" s="12"/>
    </row>
    <row r="1138" spans="1:17">
      <c r="A1138" s="14">
        <v>40380</v>
      </c>
      <c r="B1138" s="8">
        <v>767.60256514872253</v>
      </c>
      <c r="F1138" s="7"/>
      <c r="G1138" s="7"/>
      <c r="M1138" s="10"/>
      <c r="P1138" s="11"/>
      <c r="Q1138" s="12"/>
    </row>
    <row r="1139" spans="1:17">
      <c r="A1139" s="14">
        <v>40381</v>
      </c>
      <c r="B1139" s="8">
        <v>787.42715769806659</v>
      </c>
      <c r="F1139" s="7"/>
      <c r="G1139" s="7"/>
      <c r="M1139" s="10"/>
      <c r="P1139" s="11"/>
      <c r="Q1139" s="12"/>
    </row>
    <row r="1140" spans="1:17">
      <c r="A1140" s="14">
        <v>40382</v>
      </c>
      <c r="B1140" s="8">
        <v>794.50161490175844</v>
      </c>
      <c r="F1140" s="7"/>
      <c r="G1140" s="7"/>
      <c r="M1140" s="10"/>
      <c r="P1140" s="11"/>
      <c r="Q1140" s="12"/>
    </row>
    <row r="1141" spans="1:17">
      <c r="A1141" s="14">
        <v>40385</v>
      </c>
      <c r="B1141" s="8">
        <v>799.47790247290936</v>
      </c>
      <c r="F1141" s="7"/>
      <c r="G1141" s="7"/>
      <c r="M1141" s="10"/>
      <c r="P1141" s="11"/>
      <c r="Q1141" s="12"/>
    </row>
    <row r="1142" spans="1:17">
      <c r="A1142" s="14">
        <v>40386</v>
      </c>
      <c r="B1142" s="8">
        <v>801.72299320569027</v>
      </c>
      <c r="F1142" s="7"/>
      <c r="G1142" s="7"/>
      <c r="M1142" s="10"/>
      <c r="P1142" s="11"/>
      <c r="Q1142" s="12"/>
    </row>
    <row r="1143" spans="1:17">
      <c r="A1143" s="14">
        <v>40387</v>
      </c>
      <c r="B1143" s="8">
        <v>796.69347605174687</v>
      </c>
      <c r="F1143" s="7"/>
      <c r="G1143" s="7"/>
      <c r="M1143" s="10"/>
      <c r="P1143" s="11"/>
      <c r="Q1143" s="12"/>
    </row>
    <row r="1144" spans="1:17">
      <c r="A1144" s="14">
        <v>40388</v>
      </c>
      <c r="B1144" s="8">
        <v>790.50406390317971</v>
      </c>
      <c r="F1144" s="7"/>
      <c r="G1144" s="7"/>
      <c r="M1144" s="10"/>
      <c r="P1144" s="11"/>
      <c r="Q1144" s="12"/>
    </row>
    <row r="1145" spans="1:17">
      <c r="A1145" s="14">
        <v>40389</v>
      </c>
      <c r="B1145" s="8">
        <v>790.04109467686828</v>
      </c>
      <c r="F1145" s="7"/>
      <c r="G1145" s="7"/>
      <c r="M1145" s="10"/>
      <c r="P1145" s="11"/>
      <c r="Q1145" s="12"/>
    </row>
    <row r="1146" spans="1:17">
      <c r="A1146" s="14">
        <v>40392</v>
      </c>
      <c r="B1146" s="8">
        <v>807.70435449889226</v>
      </c>
      <c r="F1146" s="7"/>
      <c r="G1146" s="7"/>
      <c r="M1146" s="10"/>
      <c r="P1146" s="11"/>
      <c r="Q1146" s="12"/>
    </row>
    <row r="1147" spans="1:17">
      <c r="A1147" s="14">
        <v>40393</v>
      </c>
      <c r="B1147" s="8">
        <v>801.31386438003801</v>
      </c>
      <c r="F1147" s="7"/>
      <c r="G1147" s="7"/>
      <c r="M1147" s="10"/>
      <c r="P1147" s="11"/>
      <c r="Q1147" s="12"/>
    </row>
    <row r="1148" spans="1:17">
      <c r="A1148" s="14">
        <v>40394</v>
      </c>
      <c r="B1148" s="8">
        <v>808.33500048691849</v>
      </c>
      <c r="F1148" s="7"/>
      <c r="G1148" s="7"/>
      <c r="M1148" s="10"/>
      <c r="P1148" s="11"/>
      <c r="Q1148" s="12"/>
    </row>
    <row r="1149" spans="1:17">
      <c r="A1149" s="14">
        <v>40395</v>
      </c>
      <c r="B1149" s="8">
        <v>806.00166758161231</v>
      </c>
      <c r="F1149" s="7"/>
      <c r="G1149" s="7"/>
      <c r="M1149" s="10"/>
      <c r="P1149" s="11"/>
      <c r="Q1149" s="12"/>
    </row>
    <row r="1150" spans="1:17">
      <c r="A1150" s="14">
        <v>40396</v>
      </c>
      <c r="B1150" s="8">
        <v>794.67216046613157</v>
      </c>
      <c r="F1150" s="7"/>
      <c r="G1150" s="7"/>
      <c r="M1150" s="10"/>
      <c r="P1150" s="11"/>
      <c r="Q1150" s="12"/>
    </row>
    <row r="1151" spans="1:17">
      <c r="A1151" s="14">
        <v>40399</v>
      </c>
      <c r="B1151" s="8">
        <v>805.93706016210774</v>
      </c>
      <c r="F1151" s="7"/>
      <c r="G1151" s="7"/>
      <c r="M1151" s="10"/>
      <c r="P1151" s="11"/>
      <c r="Q1151" s="12"/>
    </row>
    <row r="1152" spans="1:17">
      <c r="A1152" s="14">
        <v>40400</v>
      </c>
      <c r="B1152" s="8">
        <v>801.683246473949</v>
      </c>
      <c r="F1152" s="7"/>
      <c r="G1152" s="7"/>
      <c r="M1152" s="10"/>
      <c r="P1152" s="11"/>
      <c r="Q1152" s="12"/>
    </row>
    <row r="1153" spans="1:17">
      <c r="A1153" s="14">
        <v>40401</v>
      </c>
      <c r="B1153" s="8">
        <v>783.93501374829827</v>
      </c>
      <c r="F1153" s="7"/>
      <c r="G1153" s="7"/>
      <c r="M1153" s="10"/>
      <c r="P1153" s="11"/>
      <c r="Q1153" s="12"/>
    </row>
    <row r="1154" spans="1:17">
      <c r="A1154" s="14">
        <v>40402</v>
      </c>
      <c r="B1154" s="8">
        <v>781.59050959232741</v>
      </c>
      <c r="F1154" s="7"/>
      <c r="G1154" s="7"/>
      <c r="M1154" s="10"/>
      <c r="P1154" s="11"/>
      <c r="Q1154" s="12"/>
    </row>
    <row r="1155" spans="1:17">
      <c r="A1155" s="14">
        <v>40403</v>
      </c>
      <c r="B1155" s="8">
        <v>780.23686376303954</v>
      </c>
      <c r="F1155" s="7"/>
      <c r="G1155" s="7"/>
      <c r="M1155" s="10"/>
      <c r="P1155" s="11"/>
      <c r="Q1155" s="12"/>
    </row>
    <row r="1156" spans="1:17">
      <c r="A1156" s="14">
        <v>40406</v>
      </c>
      <c r="B1156" s="8">
        <v>776.81352168210947</v>
      </c>
      <c r="F1156" s="7"/>
      <c r="G1156" s="7"/>
      <c r="M1156" s="10"/>
      <c r="P1156" s="11"/>
      <c r="Q1156" s="12"/>
    </row>
    <row r="1157" spans="1:17">
      <c r="A1157" s="14">
        <v>40407</v>
      </c>
      <c r="B1157" s="8">
        <v>788.92046176648137</v>
      </c>
      <c r="F1157" s="7"/>
      <c r="G1157" s="7"/>
      <c r="M1157" s="10"/>
      <c r="P1157" s="11"/>
      <c r="Q1157" s="12"/>
    </row>
    <row r="1158" spans="1:17">
      <c r="A1158" s="14">
        <v>40408</v>
      </c>
      <c r="B1158" s="8">
        <v>787.92206404827914</v>
      </c>
      <c r="F1158" s="7"/>
      <c r="G1158" s="7"/>
      <c r="M1158" s="10"/>
      <c r="P1158" s="11"/>
      <c r="Q1158" s="12"/>
    </row>
    <row r="1159" spans="1:17">
      <c r="A1159" s="14">
        <v>40409</v>
      </c>
      <c r="B1159" s="8">
        <v>773.87607013304716</v>
      </c>
      <c r="F1159" s="7"/>
      <c r="G1159" s="7"/>
      <c r="M1159" s="10"/>
      <c r="P1159" s="11"/>
      <c r="Q1159" s="12"/>
    </row>
    <row r="1160" spans="1:17">
      <c r="A1160" s="14">
        <v>40410</v>
      </c>
      <c r="B1160" s="8">
        <v>771.29652131245666</v>
      </c>
      <c r="F1160" s="7"/>
      <c r="G1160" s="7"/>
      <c r="M1160" s="10"/>
      <c r="P1160" s="11"/>
      <c r="Q1160" s="12"/>
    </row>
    <row r="1161" spans="1:17">
      <c r="A1161" s="14">
        <v>40413</v>
      </c>
      <c r="B1161" s="8">
        <v>772.46699665781637</v>
      </c>
      <c r="F1161" s="7"/>
      <c r="G1161" s="7"/>
      <c r="M1161" s="10"/>
      <c r="P1161" s="11"/>
      <c r="Q1161" s="12"/>
    </row>
    <row r="1162" spans="1:17">
      <c r="A1162" s="14">
        <v>40414</v>
      </c>
      <c r="B1162" s="8">
        <v>758.10168044575801</v>
      </c>
      <c r="F1162" s="7"/>
      <c r="G1162" s="7"/>
      <c r="M1162" s="10"/>
      <c r="P1162" s="11"/>
      <c r="Q1162" s="12"/>
    </row>
    <row r="1163" spans="1:17">
      <c r="A1163" s="14">
        <v>40415</v>
      </c>
      <c r="B1163" s="8">
        <v>756.02750049907945</v>
      </c>
      <c r="F1163" s="7"/>
      <c r="G1163" s="7"/>
      <c r="M1163" s="10"/>
      <c r="P1163" s="11"/>
      <c r="Q1163" s="12"/>
    </row>
    <row r="1164" spans="1:17">
      <c r="A1164" s="14">
        <v>40416</v>
      </c>
      <c r="B1164" s="8">
        <v>755.08264256000018</v>
      </c>
      <c r="F1164" s="7"/>
      <c r="G1164" s="7"/>
      <c r="M1164" s="10"/>
      <c r="P1164" s="11"/>
      <c r="Q1164" s="12"/>
    </row>
    <row r="1165" spans="1:17">
      <c r="A1165" s="14">
        <v>40417</v>
      </c>
      <c r="B1165" s="8">
        <v>765.49732957173035</v>
      </c>
      <c r="F1165" s="7"/>
      <c r="G1165" s="7"/>
      <c r="M1165" s="10"/>
      <c r="P1165" s="11"/>
      <c r="Q1165" s="12"/>
    </row>
    <row r="1166" spans="1:17">
      <c r="A1166" s="14">
        <v>40420</v>
      </c>
      <c r="B1166" s="8">
        <v>758.46661399673178</v>
      </c>
      <c r="F1166" s="7"/>
      <c r="G1166" s="7"/>
      <c r="M1166" s="10"/>
      <c r="P1166" s="11"/>
      <c r="Q1166" s="12"/>
    </row>
    <row r="1167" spans="1:17">
      <c r="A1167" s="14">
        <v>40421</v>
      </c>
      <c r="B1167" s="8">
        <v>758.56747208314619</v>
      </c>
      <c r="F1167" s="7"/>
      <c r="G1167" s="7"/>
      <c r="M1167" s="10"/>
      <c r="P1167" s="11"/>
      <c r="Q1167" s="12"/>
    </row>
    <row r="1168" spans="1:17">
      <c r="A1168" s="14">
        <v>40422</v>
      </c>
      <c r="B1168" s="8">
        <v>783.09920018432001</v>
      </c>
      <c r="F1168" s="7"/>
      <c r="G1168" s="7"/>
      <c r="M1168" s="10"/>
      <c r="P1168" s="11"/>
      <c r="Q1168" s="12"/>
    </row>
    <row r="1169" spans="1:17">
      <c r="A1169" s="14">
        <v>40423</v>
      </c>
      <c r="B1169" s="8">
        <v>788.35979917373675</v>
      </c>
      <c r="F1169" s="7"/>
      <c r="G1169" s="7"/>
      <c r="M1169" s="10"/>
      <c r="P1169" s="11"/>
      <c r="Q1169" s="12"/>
    </row>
    <row r="1170" spans="1:17">
      <c r="A1170" s="14">
        <v>40424</v>
      </c>
      <c r="B1170" s="8">
        <v>796.400137700242</v>
      </c>
      <c r="F1170" s="7"/>
      <c r="G1170" s="7"/>
      <c r="M1170" s="10"/>
      <c r="P1170" s="11"/>
      <c r="Q1170" s="12"/>
    </row>
    <row r="1171" spans="1:17">
      <c r="A1171" s="14">
        <v>40428</v>
      </c>
      <c r="B1171" s="8">
        <v>792.07901334151757</v>
      </c>
      <c r="F1171" s="7"/>
      <c r="G1171" s="7"/>
      <c r="M1171" s="10"/>
      <c r="P1171" s="11"/>
      <c r="Q1171" s="12"/>
    </row>
    <row r="1172" spans="1:17">
      <c r="A1172" s="14">
        <v>40429</v>
      </c>
      <c r="B1172" s="8">
        <v>797.86528242710858</v>
      </c>
      <c r="F1172" s="7"/>
      <c r="G1172" s="7"/>
      <c r="M1172" s="10"/>
      <c r="P1172" s="11"/>
      <c r="Q1172" s="12"/>
    </row>
    <row r="1173" spans="1:17">
      <c r="A1173" s="14">
        <v>40430</v>
      </c>
      <c r="B1173" s="8">
        <v>805.45710318688805</v>
      </c>
      <c r="F1173" s="7"/>
      <c r="G1173" s="7"/>
      <c r="M1173" s="10"/>
      <c r="P1173" s="11"/>
      <c r="Q1173" s="12"/>
    </row>
    <row r="1174" spans="1:17">
      <c r="A1174" s="14">
        <v>40431</v>
      </c>
      <c r="B1174" s="8">
        <v>806.39837993859487</v>
      </c>
      <c r="F1174" s="7"/>
      <c r="G1174" s="7"/>
      <c r="M1174" s="10"/>
      <c r="P1174" s="11"/>
      <c r="Q1174" s="12"/>
    </row>
    <row r="1175" spans="1:17">
      <c r="A1175" s="14">
        <v>40434</v>
      </c>
      <c r="B1175" s="8">
        <v>811.02235679790124</v>
      </c>
      <c r="F1175" s="7"/>
      <c r="G1175" s="7"/>
      <c r="M1175" s="10"/>
      <c r="P1175" s="11"/>
      <c r="Q1175" s="12"/>
    </row>
    <row r="1176" spans="1:17">
      <c r="A1176" s="14">
        <v>40435</v>
      </c>
      <c r="B1176" s="8">
        <v>805.83210663200953</v>
      </c>
      <c r="F1176" s="7"/>
      <c r="G1176" s="7"/>
      <c r="M1176" s="10"/>
      <c r="P1176" s="11"/>
      <c r="Q1176" s="12"/>
    </row>
    <row r="1177" spans="1:17">
      <c r="A1177" s="14">
        <v>40436</v>
      </c>
      <c r="B1177" s="8">
        <v>805.88938614838571</v>
      </c>
      <c r="F1177" s="7"/>
      <c r="G1177" s="7"/>
      <c r="M1177" s="10"/>
      <c r="P1177" s="11"/>
      <c r="Q1177" s="12"/>
    </row>
    <row r="1178" spans="1:17">
      <c r="A1178" s="14">
        <v>40437</v>
      </c>
      <c r="B1178" s="8">
        <v>800.15116600038709</v>
      </c>
      <c r="F1178" s="7"/>
      <c r="G1178" s="7"/>
      <c r="M1178" s="10"/>
      <c r="P1178" s="11"/>
      <c r="Q1178" s="12"/>
    </row>
    <row r="1179" spans="1:17">
      <c r="A1179" s="14">
        <v>40438</v>
      </c>
      <c r="B1179" s="8">
        <v>798.34596048306673</v>
      </c>
      <c r="F1179" s="7"/>
      <c r="G1179" s="7"/>
      <c r="M1179" s="10"/>
      <c r="P1179" s="11"/>
      <c r="Q1179" s="12"/>
    </row>
    <row r="1180" spans="1:17">
      <c r="A1180" s="14">
        <v>40441</v>
      </c>
      <c r="B1180" s="8">
        <v>812.27575834163679</v>
      </c>
      <c r="F1180" s="7"/>
      <c r="G1180" s="7"/>
      <c r="M1180" s="10"/>
      <c r="P1180" s="11"/>
      <c r="Q1180" s="12"/>
    </row>
    <row r="1181" spans="1:17">
      <c r="A1181" s="14">
        <v>40442</v>
      </c>
      <c r="B1181" s="8">
        <v>807.04711156913947</v>
      </c>
      <c r="F1181" s="7"/>
      <c r="G1181" s="7"/>
      <c r="M1181" s="10"/>
      <c r="P1181" s="11"/>
      <c r="Q1181" s="12"/>
    </row>
    <row r="1182" spans="1:17">
      <c r="A1182" s="14">
        <v>40443</v>
      </c>
      <c r="B1182" s="8">
        <v>789.7305386196316</v>
      </c>
      <c r="F1182" s="7"/>
      <c r="G1182" s="7"/>
      <c r="M1182" s="10"/>
      <c r="P1182" s="11"/>
      <c r="Q1182" s="12"/>
    </row>
    <row r="1183" spans="1:17">
      <c r="A1183" s="14">
        <v>40444</v>
      </c>
      <c r="B1183" s="8">
        <v>784.03964238228218</v>
      </c>
      <c r="F1183" s="7"/>
      <c r="G1183" s="7"/>
      <c r="M1183" s="10"/>
      <c r="P1183" s="11"/>
      <c r="Q1183" s="12"/>
    </row>
    <row r="1184" spans="1:17">
      <c r="A1184" s="14">
        <v>40445</v>
      </c>
      <c r="B1184" s="8">
        <v>799.10553116990616</v>
      </c>
      <c r="F1184" s="7"/>
      <c r="G1184" s="7"/>
      <c r="M1184" s="10"/>
      <c r="P1184" s="11"/>
      <c r="Q1184" s="12"/>
    </row>
    <row r="1185" spans="1:17">
      <c r="A1185" s="14">
        <v>40448</v>
      </c>
      <c r="B1185" s="8">
        <v>793.8839668190468</v>
      </c>
      <c r="F1185" s="7"/>
      <c r="G1185" s="7"/>
      <c r="M1185" s="10"/>
      <c r="P1185" s="11"/>
      <c r="Q1185" s="12"/>
    </row>
    <row r="1186" spans="1:17">
      <c r="A1186" s="14">
        <v>40449</v>
      </c>
      <c r="B1186" s="8">
        <v>794.26912960925847</v>
      </c>
      <c r="F1186" s="7"/>
      <c r="G1186" s="7"/>
      <c r="M1186" s="10"/>
      <c r="P1186" s="11"/>
      <c r="Q1186" s="12"/>
    </row>
    <row r="1187" spans="1:17">
      <c r="A1187" s="14">
        <v>40450</v>
      </c>
      <c r="B1187" s="8">
        <v>788.84258331388071</v>
      </c>
      <c r="F1187" s="7"/>
      <c r="G1187" s="7"/>
      <c r="M1187" s="10"/>
      <c r="P1187" s="11"/>
      <c r="Q1187" s="12"/>
    </row>
    <row r="1188" spans="1:17">
      <c r="A1188" s="14">
        <v>40451</v>
      </c>
      <c r="B1188" s="8">
        <v>787.29916222271322</v>
      </c>
      <c r="F1188" s="7"/>
      <c r="G1188" s="7"/>
      <c r="M1188" s="10"/>
      <c r="P1188" s="11"/>
      <c r="Q1188" s="12"/>
    </row>
    <row r="1189" spans="1:17">
      <c r="A1189" s="14">
        <v>40452</v>
      </c>
      <c r="B1189" s="8">
        <v>782.62210331564688</v>
      </c>
      <c r="F1189" s="7"/>
      <c r="G1189" s="7"/>
      <c r="M1189" s="10"/>
      <c r="P1189" s="11"/>
      <c r="Q1189" s="12"/>
    </row>
    <row r="1190" spans="1:17">
      <c r="A1190" s="14">
        <v>40455</v>
      </c>
      <c r="B1190" s="8">
        <v>774.97727978866214</v>
      </c>
      <c r="F1190" s="7"/>
      <c r="G1190" s="7"/>
      <c r="M1190" s="10"/>
      <c r="P1190" s="11"/>
      <c r="Q1190" s="12"/>
    </row>
    <row r="1191" spans="1:17">
      <c r="A1191" s="14">
        <v>40456</v>
      </c>
      <c r="B1191" s="8">
        <v>788.51636273737131</v>
      </c>
      <c r="F1191" s="7"/>
      <c r="G1191" s="7"/>
      <c r="M1191" s="10"/>
      <c r="P1191" s="11"/>
      <c r="Q1191" s="12"/>
    </row>
    <row r="1192" spans="1:17">
      <c r="A1192" s="14">
        <v>40457</v>
      </c>
      <c r="B1192" s="8">
        <v>787.52658522494312</v>
      </c>
      <c r="F1192" s="7"/>
      <c r="G1192" s="7"/>
      <c r="M1192" s="10"/>
      <c r="P1192" s="11"/>
      <c r="Q1192" s="12"/>
    </row>
    <row r="1193" spans="1:17">
      <c r="A1193" s="14">
        <v>40458</v>
      </c>
      <c r="B1193" s="8">
        <v>788.91486439562323</v>
      </c>
      <c r="F1193" s="7"/>
      <c r="G1193" s="7"/>
      <c r="M1193" s="10"/>
      <c r="P1193" s="11"/>
      <c r="Q1193" s="12"/>
    </row>
    <row r="1194" spans="1:17">
      <c r="A1194" s="14">
        <v>40459</v>
      </c>
      <c r="B1194" s="8">
        <v>791.54069795408452</v>
      </c>
      <c r="F1194" s="7"/>
      <c r="G1194" s="7"/>
      <c r="M1194" s="10"/>
      <c r="P1194" s="11"/>
      <c r="Q1194" s="12"/>
    </row>
    <row r="1195" spans="1:17">
      <c r="A1195" s="14">
        <v>40462</v>
      </c>
      <c r="B1195" s="8">
        <v>793.55033518752259</v>
      </c>
      <c r="F1195" s="7"/>
      <c r="G1195" s="7"/>
      <c r="M1195" s="10"/>
      <c r="P1195" s="11"/>
      <c r="Q1195" s="12"/>
    </row>
    <row r="1196" spans="1:17">
      <c r="A1196" s="14">
        <v>40463</v>
      </c>
      <c r="B1196" s="8">
        <v>793.57338123573231</v>
      </c>
      <c r="F1196" s="7"/>
      <c r="G1196" s="7"/>
      <c r="M1196" s="10"/>
      <c r="P1196" s="11"/>
      <c r="Q1196" s="12"/>
    </row>
    <row r="1197" spans="1:17">
      <c r="A1197" s="14">
        <v>40464</v>
      </c>
      <c r="B1197" s="8">
        <v>803.7058947954647</v>
      </c>
      <c r="F1197" s="7"/>
      <c r="G1197" s="7"/>
      <c r="M1197" s="10"/>
      <c r="P1197" s="11"/>
      <c r="Q1197" s="12"/>
    </row>
    <row r="1198" spans="1:17">
      <c r="A1198" s="14">
        <v>40465</v>
      </c>
      <c r="B1198" s="8">
        <v>797.45238329027461</v>
      </c>
      <c r="F1198" s="7"/>
      <c r="G1198" s="7"/>
      <c r="M1198" s="10"/>
      <c r="P1198" s="11"/>
      <c r="Q1198" s="12"/>
    </row>
    <row r="1199" spans="1:17">
      <c r="A1199" s="14">
        <v>40466</v>
      </c>
      <c r="B1199" s="8">
        <v>800.00652550948291</v>
      </c>
      <c r="F1199" s="7"/>
      <c r="G1199" s="7"/>
      <c r="M1199" s="10"/>
      <c r="P1199" s="11"/>
      <c r="Q1199" s="12"/>
    </row>
    <row r="1200" spans="1:17">
      <c r="A1200" s="14">
        <v>40469</v>
      </c>
      <c r="B1200" s="8">
        <v>803.57650795244149</v>
      </c>
      <c r="F1200" s="7"/>
      <c r="G1200" s="7"/>
      <c r="M1200" s="10"/>
      <c r="P1200" s="11"/>
      <c r="Q1200" s="12"/>
    </row>
    <row r="1201" spans="1:17">
      <c r="A1201" s="14">
        <v>40470</v>
      </c>
      <c r="B1201" s="8">
        <v>799.66766678810211</v>
      </c>
      <c r="F1201" s="7"/>
      <c r="G1201" s="7"/>
      <c r="M1201" s="10"/>
      <c r="P1201" s="11"/>
      <c r="Q1201" s="12"/>
    </row>
    <row r="1202" spans="1:17">
      <c r="A1202" s="14">
        <v>40471</v>
      </c>
      <c r="B1202" s="8">
        <v>801.93953817342799</v>
      </c>
      <c r="F1202" s="7"/>
      <c r="G1202" s="7"/>
      <c r="M1202" s="10"/>
      <c r="P1202" s="11"/>
      <c r="Q1202" s="12"/>
    </row>
    <row r="1203" spans="1:17">
      <c r="A1203" s="14">
        <v>40472</v>
      </c>
      <c r="B1203" s="8">
        <v>808.83735624857377</v>
      </c>
      <c r="F1203" s="7"/>
      <c r="G1203" s="7"/>
      <c r="M1203" s="10"/>
      <c r="P1203" s="11"/>
      <c r="Q1203" s="12"/>
    </row>
    <row r="1204" spans="1:17">
      <c r="A1204" s="14">
        <v>40473</v>
      </c>
      <c r="B1204" s="8">
        <v>808.85856717690262</v>
      </c>
      <c r="F1204" s="7"/>
      <c r="G1204" s="7"/>
      <c r="M1204" s="10"/>
      <c r="P1204" s="11"/>
      <c r="Q1204" s="12"/>
    </row>
    <row r="1205" spans="1:17">
      <c r="A1205" s="14">
        <v>40476</v>
      </c>
      <c r="B1205" s="8">
        <v>808.66653486590099</v>
      </c>
      <c r="F1205" s="7"/>
      <c r="G1205" s="7"/>
      <c r="M1205" s="10"/>
      <c r="P1205" s="11"/>
      <c r="Q1205" s="12"/>
    </row>
    <row r="1206" spans="1:17">
      <c r="A1206" s="14">
        <v>40477</v>
      </c>
      <c r="B1206" s="8">
        <v>808.63297965901177</v>
      </c>
      <c r="F1206" s="7"/>
      <c r="G1206" s="7"/>
      <c r="M1206" s="10"/>
      <c r="P1206" s="11"/>
      <c r="Q1206" s="12"/>
    </row>
    <row r="1207" spans="1:17">
      <c r="A1207" s="14">
        <v>40478</v>
      </c>
      <c r="B1207" s="8">
        <v>806.61531736835593</v>
      </c>
      <c r="F1207" s="7"/>
      <c r="G1207" s="7"/>
      <c r="M1207" s="10"/>
      <c r="P1207" s="11"/>
      <c r="Q1207" s="12"/>
    </row>
    <row r="1208" spans="1:17">
      <c r="A1208" s="14">
        <v>40479</v>
      </c>
      <c r="B1208" s="8">
        <v>803.85675202613368</v>
      </c>
      <c r="F1208" s="7"/>
      <c r="G1208" s="7"/>
      <c r="M1208" s="10"/>
      <c r="P1208" s="11"/>
      <c r="Q1208" s="12"/>
    </row>
    <row r="1209" spans="1:17">
      <c r="A1209" s="14">
        <v>40480</v>
      </c>
      <c r="B1209" s="8">
        <v>804.76649267298842</v>
      </c>
      <c r="F1209" s="7"/>
      <c r="G1209" s="7"/>
      <c r="M1209" s="10"/>
      <c r="P1209" s="11"/>
      <c r="Q1209" s="12"/>
    </row>
    <row r="1210" spans="1:17">
      <c r="A1210" s="14">
        <v>40483</v>
      </c>
      <c r="B1210" s="8">
        <v>803.77601191856343</v>
      </c>
      <c r="F1210" s="7"/>
      <c r="G1210" s="7"/>
      <c r="M1210" s="10"/>
      <c r="P1210" s="11"/>
      <c r="Q1210" s="12"/>
    </row>
    <row r="1211" spans="1:17">
      <c r="A1211" s="14">
        <v>40484</v>
      </c>
      <c r="B1211" s="8">
        <v>807.22592146206375</v>
      </c>
      <c r="F1211" s="7"/>
      <c r="G1211" s="7"/>
      <c r="M1211" s="10"/>
      <c r="P1211" s="11"/>
      <c r="Q1211" s="12"/>
    </row>
    <row r="1212" spans="1:17">
      <c r="A1212" s="14">
        <v>40485</v>
      </c>
      <c r="B1212" s="8">
        <v>803.59773138148125</v>
      </c>
      <c r="F1212" s="7"/>
      <c r="G1212" s="7"/>
      <c r="M1212" s="10"/>
      <c r="P1212" s="11"/>
      <c r="Q1212" s="12"/>
    </row>
    <row r="1213" spans="1:17">
      <c r="A1213" s="14">
        <v>40486</v>
      </c>
      <c r="B1213" s="8">
        <v>816.06577036868759</v>
      </c>
      <c r="F1213" s="7"/>
      <c r="G1213" s="7"/>
      <c r="M1213" s="10"/>
      <c r="P1213" s="11"/>
      <c r="Q1213" s="12"/>
    </row>
    <row r="1214" spans="1:17">
      <c r="A1214" s="14">
        <v>40487</v>
      </c>
      <c r="B1214" s="8">
        <v>820.85731626409688</v>
      </c>
      <c r="F1214" s="7"/>
      <c r="G1214" s="7"/>
      <c r="M1214" s="10"/>
      <c r="P1214" s="11"/>
      <c r="Q1214" s="12"/>
    </row>
    <row r="1215" spans="1:17">
      <c r="A1215" s="14">
        <v>40490</v>
      </c>
      <c r="B1215" s="8">
        <v>823.23098263746328</v>
      </c>
      <c r="F1215" s="7"/>
      <c r="G1215" s="7"/>
      <c r="M1215" s="10"/>
      <c r="P1215" s="11"/>
      <c r="Q1215" s="12"/>
    </row>
    <row r="1216" spans="1:17">
      <c r="A1216" s="14">
        <v>40491</v>
      </c>
      <c r="B1216" s="8">
        <v>825.16918268069617</v>
      </c>
      <c r="F1216" s="7"/>
      <c r="G1216" s="7"/>
      <c r="M1216" s="10"/>
      <c r="P1216" s="11"/>
      <c r="Q1216" s="12"/>
    </row>
    <row r="1217" spans="1:17">
      <c r="A1217" s="14">
        <v>40492</v>
      </c>
      <c r="B1217" s="8">
        <v>824.3915937159652</v>
      </c>
      <c r="F1217" s="7"/>
      <c r="G1217" s="7"/>
      <c r="M1217" s="10"/>
      <c r="P1217" s="11"/>
      <c r="Q1217" s="12"/>
    </row>
    <row r="1218" spans="1:17">
      <c r="A1218" s="14">
        <v>40493</v>
      </c>
      <c r="B1218" s="8">
        <v>823.7043119786955</v>
      </c>
      <c r="F1218" s="7"/>
      <c r="G1218" s="7"/>
      <c r="M1218" s="10"/>
      <c r="P1218" s="11"/>
      <c r="Q1218" s="12"/>
    </row>
    <row r="1219" spans="1:17">
      <c r="A1219" s="14">
        <v>40494</v>
      </c>
      <c r="B1219" s="8">
        <v>815.90782632273533</v>
      </c>
      <c r="F1219" s="7"/>
      <c r="G1219" s="7"/>
      <c r="M1219" s="10"/>
      <c r="P1219" s="11"/>
      <c r="Q1219" s="12"/>
    </row>
    <row r="1220" spans="1:17">
      <c r="A1220" s="14">
        <v>40497</v>
      </c>
      <c r="B1220" s="8">
        <v>820.98026201127766</v>
      </c>
      <c r="F1220" s="7"/>
      <c r="G1220" s="7"/>
      <c r="M1220" s="10"/>
      <c r="P1220" s="11"/>
      <c r="Q1220" s="12"/>
    </row>
    <row r="1221" spans="1:17">
      <c r="A1221" s="14">
        <v>40498</v>
      </c>
      <c r="B1221" s="8">
        <v>807.33145023952966</v>
      </c>
      <c r="F1221" s="7"/>
      <c r="G1221" s="7"/>
      <c r="M1221" s="10"/>
      <c r="P1221" s="11"/>
      <c r="Q1221" s="12"/>
    </row>
    <row r="1222" spans="1:17">
      <c r="A1222" s="14">
        <v>40499</v>
      </c>
      <c r="B1222" s="8">
        <v>809.9747052036181</v>
      </c>
      <c r="F1222" s="7"/>
      <c r="G1222" s="7"/>
      <c r="M1222" s="10"/>
      <c r="P1222" s="11"/>
      <c r="Q1222" s="12"/>
    </row>
    <row r="1223" spans="1:17">
      <c r="A1223" s="14">
        <v>40500</v>
      </c>
      <c r="B1223" s="8">
        <v>822.0263217710343</v>
      </c>
      <c r="F1223" s="7"/>
      <c r="G1223" s="7"/>
      <c r="M1223" s="10"/>
      <c r="P1223" s="11"/>
      <c r="Q1223" s="12"/>
    </row>
    <row r="1224" spans="1:17">
      <c r="A1224" s="14">
        <v>40501</v>
      </c>
      <c r="B1224" s="8">
        <v>821.70436696261538</v>
      </c>
      <c r="F1224" s="7"/>
      <c r="G1224" s="7"/>
      <c r="M1224" s="10"/>
      <c r="P1224" s="11"/>
      <c r="Q1224" s="12"/>
    </row>
    <row r="1225" spans="1:17">
      <c r="A1225" s="14">
        <v>40504</v>
      </c>
      <c r="B1225" s="8">
        <v>819.09027629808975</v>
      </c>
      <c r="F1225" s="7"/>
      <c r="G1225" s="7"/>
      <c r="M1225" s="10"/>
      <c r="P1225" s="11"/>
      <c r="Q1225" s="12"/>
    </row>
    <row r="1226" spans="1:17">
      <c r="A1226" s="14">
        <v>40505</v>
      </c>
      <c r="B1226" s="8">
        <v>807.8950607612453</v>
      </c>
      <c r="F1226" s="7"/>
      <c r="G1226" s="7"/>
      <c r="M1226" s="10"/>
      <c r="P1226" s="11"/>
      <c r="Q1226" s="12"/>
    </row>
    <row r="1227" spans="1:17">
      <c r="A1227" s="14">
        <v>40506</v>
      </c>
      <c r="B1227" s="8">
        <v>818.95952040030807</v>
      </c>
      <c r="F1227" s="7"/>
      <c r="G1227" s="7"/>
      <c r="M1227" s="10"/>
      <c r="P1227" s="11"/>
      <c r="Q1227" s="12"/>
    </row>
    <row r="1228" spans="1:17">
      <c r="A1228" s="14">
        <v>40508</v>
      </c>
      <c r="B1228" s="8">
        <v>816.67885369675105</v>
      </c>
      <c r="F1228" s="7"/>
      <c r="G1228" s="7"/>
      <c r="M1228" s="10"/>
      <c r="P1228" s="11"/>
      <c r="Q1228" s="12"/>
    </row>
    <row r="1229" spans="1:17">
      <c r="A1229" s="14">
        <v>40511</v>
      </c>
      <c r="B1229" s="8">
        <v>809.32799592783681</v>
      </c>
      <c r="F1229" s="7"/>
      <c r="G1229" s="7"/>
      <c r="M1229" s="10"/>
      <c r="P1229" s="11"/>
      <c r="Q1229" s="12"/>
    </row>
    <row r="1230" spans="1:17">
      <c r="A1230" s="14">
        <v>40512</v>
      </c>
      <c r="B1230" s="8">
        <v>806.0312043005863</v>
      </c>
      <c r="F1230" s="7"/>
      <c r="G1230" s="7"/>
      <c r="M1230" s="10"/>
      <c r="P1230" s="11"/>
      <c r="Q1230" s="12"/>
    </row>
    <row r="1231" spans="1:17">
      <c r="A1231" s="14">
        <v>40513</v>
      </c>
      <c r="B1231" s="8">
        <v>823.50431090544487</v>
      </c>
      <c r="F1231" s="7"/>
      <c r="G1231" s="7"/>
      <c r="M1231" s="10"/>
      <c r="P1231" s="11"/>
      <c r="Q1231" s="12"/>
    </row>
    <row r="1232" spans="1:17">
      <c r="A1232" s="14">
        <v>40514</v>
      </c>
      <c r="B1232" s="8">
        <v>837.96435383776134</v>
      </c>
      <c r="F1232" s="7"/>
      <c r="G1232" s="7"/>
      <c r="M1232" s="10"/>
      <c r="P1232" s="11"/>
      <c r="Q1232" s="12"/>
    </row>
    <row r="1233" spans="1:17">
      <c r="A1233" s="14">
        <v>40515</v>
      </c>
      <c r="B1233" s="8">
        <v>834.16633202359196</v>
      </c>
      <c r="F1233" s="7"/>
      <c r="G1233" s="7"/>
      <c r="M1233" s="10"/>
      <c r="P1233" s="11"/>
      <c r="Q1233" s="12"/>
    </row>
    <row r="1234" spans="1:17">
      <c r="A1234" s="14">
        <v>40518</v>
      </c>
      <c r="B1234" s="8">
        <v>833.64297244600846</v>
      </c>
      <c r="F1234" s="7"/>
      <c r="G1234" s="7"/>
      <c r="M1234" s="10"/>
      <c r="P1234" s="11"/>
      <c r="Q1234" s="12"/>
    </row>
    <row r="1235" spans="1:17">
      <c r="A1235" s="14">
        <v>40519</v>
      </c>
      <c r="B1235" s="8">
        <v>839.75739462958222</v>
      </c>
      <c r="F1235" s="7"/>
      <c r="G1235" s="7"/>
      <c r="M1235" s="10"/>
      <c r="P1235" s="11"/>
      <c r="Q1235" s="12"/>
    </row>
    <row r="1236" spans="1:17">
      <c r="A1236" s="14">
        <v>40520</v>
      </c>
      <c r="B1236" s="8">
        <v>845.4979952442967</v>
      </c>
      <c r="F1236" s="7"/>
      <c r="G1236" s="7"/>
      <c r="M1236" s="10"/>
      <c r="P1236" s="11"/>
      <c r="Q1236" s="12"/>
    </row>
    <row r="1237" spans="1:17">
      <c r="A1237" s="14">
        <v>40521</v>
      </c>
      <c r="B1237" s="8">
        <v>850.73259492668035</v>
      </c>
      <c r="F1237" s="7"/>
      <c r="G1237" s="7"/>
      <c r="M1237" s="10"/>
      <c r="P1237" s="11"/>
      <c r="Q1237" s="12"/>
    </row>
    <row r="1238" spans="1:17">
      <c r="A1238" s="14">
        <v>40522</v>
      </c>
      <c r="B1238" s="8">
        <v>853.94097827827977</v>
      </c>
      <c r="F1238" s="7"/>
      <c r="G1238" s="7"/>
      <c r="M1238" s="10"/>
      <c r="P1238" s="11"/>
      <c r="Q1238" s="12"/>
    </row>
    <row r="1239" spans="1:17">
      <c r="A1239" s="14">
        <v>40525</v>
      </c>
      <c r="B1239" s="8">
        <v>850.95766701487787</v>
      </c>
      <c r="F1239" s="7"/>
      <c r="G1239" s="7"/>
      <c r="M1239" s="10"/>
      <c r="P1239" s="11"/>
      <c r="Q1239" s="12"/>
    </row>
    <row r="1240" spans="1:17">
      <c r="A1240" s="14">
        <v>40526</v>
      </c>
      <c r="B1240" s="8">
        <v>850.92732694403207</v>
      </c>
      <c r="F1240" s="7"/>
      <c r="G1240" s="7"/>
      <c r="M1240" s="10"/>
      <c r="P1240" s="11"/>
      <c r="Q1240" s="12"/>
    </row>
    <row r="1241" spans="1:17">
      <c r="A1241" s="14">
        <v>40527</v>
      </c>
      <c r="B1241" s="8">
        <v>849.77855022961023</v>
      </c>
      <c r="F1241" s="7"/>
      <c r="G1241" s="7"/>
      <c r="M1241" s="10"/>
      <c r="P1241" s="11"/>
      <c r="Q1241" s="12"/>
    </row>
    <row r="1242" spans="1:17">
      <c r="A1242" s="14">
        <v>40528</v>
      </c>
      <c r="B1242" s="8">
        <v>855.53835889065601</v>
      </c>
      <c r="F1242" s="7"/>
      <c r="G1242" s="7"/>
      <c r="M1242" s="10"/>
      <c r="P1242" s="11"/>
      <c r="Q1242" s="12"/>
    </row>
    <row r="1243" spans="1:17">
      <c r="A1243" s="14">
        <v>40529</v>
      </c>
      <c r="B1243" s="8">
        <v>856.10112769214186</v>
      </c>
      <c r="F1243" s="7"/>
      <c r="G1243" s="7"/>
      <c r="M1243" s="10"/>
      <c r="P1243" s="11"/>
      <c r="Q1243" s="12"/>
    </row>
    <row r="1244" spans="1:17">
      <c r="A1244" s="14">
        <v>40532</v>
      </c>
      <c r="B1244" s="8">
        <v>861.25430659163806</v>
      </c>
      <c r="F1244" s="7"/>
      <c r="G1244" s="7"/>
      <c r="M1244" s="10"/>
      <c r="P1244" s="11"/>
      <c r="Q1244" s="12"/>
    </row>
    <row r="1245" spans="1:17">
      <c r="A1245" s="14">
        <v>40533</v>
      </c>
      <c r="B1245" s="8">
        <v>870.71311123763996</v>
      </c>
      <c r="F1245" s="7"/>
      <c r="G1245" s="7"/>
      <c r="M1245" s="10"/>
      <c r="P1245" s="11"/>
      <c r="Q1245" s="12"/>
    </row>
    <row r="1246" spans="1:17">
      <c r="A1246" s="14">
        <v>40534</v>
      </c>
      <c r="B1246" s="8">
        <v>872.05410625324123</v>
      </c>
      <c r="F1246" s="7"/>
      <c r="G1246" s="7"/>
      <c r="M1246" s="10"/>
      <c r="P1246" s="11"/>
      <c r="Q1246" s="12"/>
    </row>
    <row r="1247" spans="1:17">
      <c r="A1247" s="14">
        <v>40535</v>
      </c>
      <c r="B1247" s="8">
        <v>868.59509819603159</v>
      </c>
      <c r="F1247" s="7"/>
      <c r="G1247" s="7"/>
      <c r="M1247" s="10"/>
      <c r="P1247" s="11"/>
      <c r="Q1247" s="12"/>
    </row>
    <row r="1248" spans="1:17">
      <c r="A1248" s="14">
        <v>40539</v>
      </c>
      <c r="B1248" s="8">
        <v>861.79408018210574</v>
      </c>
      <c r="F1248" s="7"/>
      <c r="G1248" s="7"/>
      <c r="M1248" s="10"/>
      <c r="P1248" s="11"/>
      <c r="Q1248" s="12"/>
    </row>
    <row r="1249" spans="1:17">
      <c r="A1249" s="14">
        <v>40540</v>
      </c>
      <c r="B1249" s="8">
        <v>861.29347639522314</v>
      </c>
      <c r="F1249" s="7"/>
      <c r="G1249" s="7"/>
      <c r="M1249" s="10"/>
      <c r="P1249" s="11"/>
      <c r="Q1249" s="12"/>
    </row>
    <row r="1250" spans="1:17">
      <c r="A1250" s="14">
        <v>40541</v>
      </c>
      <c r="B1250" s="8">
        <v>862.44187846310263</v>
      </c>
      <c r="F1250" s="7"/>
      <c r="G1250" s="7"/>
      <c r="M1250" s="10"/>
      <c r="P1250" s="11"/>
      <c r="Q1250" s="12"/>
    </row>
    <row r="1251" spans="1:17">
      <c r="A1251" s="14">
        <v>40542</v>
      </c>
      <c r="B1251" s="8">
        <v>854.05324847968973</v>
      </c>
      <c r="F1251" s="7"/>
      <c r="G1251" s="7"/>
      <c r="M1251" s="10"/>
      <c r="P1251" s="11"/>
      <c r="Q1251" s="12"/>
    </row>
    <row r="1252" spans="1:17">
      <c r="A1252" s="14">
        <v>40543</v>
      </c>
      <c r="B1252" s="8">
        <v>847.59850574760389</v>
      </c>
      <c r="F1252" s="7"/>
      <c r="G1252" s="7"/>
      <c r="M1252" s="10"/>
      <c r="P1252" s="11"/>
      <c r="Q1252" s="12"/>
    </row>
    <row r="1253" spans="1:17">
      <c r="A1253" s="14">
        <v>40546</v>
      </c>
      <c r="B1253" s="8">
        <v>860.36754462932743</v>
      </c>
      <c r="F1253" s="7"/>
      <c r="G1253" s="7"/>
      <c r="M1253" s="10"/>
      <c r="P1253" s="11"/>
      <c r="Q1253" s="12"/>
    </row>
    <row r="1254" spans="1:17">
      <c r="A1254" s="14">
        <v>40547</v>
      </c>
      <c r="B1254" s="8">
        <v>860.87850911366775</v>
      </c>
      <c r="F1254" s="7"/>
      <c r="G1254" s="7"/>
      <c r="M1254" s="10"/>
      <c r="P1254" s="11"/>
      <c r="Q1254" s="12"/>
    </row>
    <row r="1255" spans="1:17">
      <c r="A1255" s="14">
        <v>40548</v>
      </c>
      <c r="B1255" s="8">
        <v>865.8923828950193</v>
      </c>
      <c r="F1255" s="7"/>
      <c r="G1255" s="7"/>
      <c r="M1255" s="10"/>
      <c r="P1255" s="11"/>
      <c r="Q1255" s="12"/>
    </row>
    <row r="1256" spans="1:17">
      <c r="A1256" s="14">
        <v>40549</v>
      </c>
      <c r="B1256" s="8">
        <v>870.60442907531865</v>
      </c>
      <c r="F1256" s="7"/>
      <c r="G1256" s="7"/>
      <c r="M1256" s="10"/>
      <c r="P1256" s="11"/>
      <c r="Q1256" s="12"/>
    </row>
    <row r="1257" spans="1:17">
      <c r="A1257" s="14">
        <v>40550</v>
      </c>
      <c r="B1257" s="8">
        <v>869.03734151939545</v>
      </c>
      <c r="F1257" s="7"/>
      <c r="G1257" s="7"/>
      <c r="M1257" s="10"/>
      <c r="P1257" s="11"/>
      <c r="Q1257" s="12"/>
    </row>
    <row r="1258" spans="1:17">
      <c r="A1258" s="14">
        <v>40553</v>
      </c>
      <c r="B1258" s="8">
        <v>859.58811919984169</v>
      </c>
      <c r="F1258" s="7"/>
      <c r="G1258" s="7"/>
      <c r="M1258" s="10"/>
      <c r="P1258" s="11"/>
      <c r="Q1258" s="12"/>
    </row>
    <row r="1259" spans="1:17">
      <c r="A1259" s="14">
        <v>40554</v>
      </c>
      <c r="B1259" s="8">
        <v>866.69373533193993</v>
      </c>
      <c r="F1259" s="7"/>
      <c r="G1259" s="7"/>
      <c r="M1259" s="10"/>
      <c r="P1259" s="11"/>
      <c r="Q1259" s="12"/>
    </row>
    <row r="1260" spans="1:17">
      <c r="A1260" s="14">
        <v>40555</v>
      </c>
      <c r="B1260" s="8">
        <v>880.21810621587656</v>
      </c>
      <c r="F1260" s="7"/>
      <c r="G1260" s="7"/>
      <c r="M1260" s="10"/>
      <c r="P1260" s="11"/>
      <c r="Q1260" s="12"/>
    </row>
    <row r="1261" spans="1:17">
      <c r="A1261" s="14">
        <v>40556</v>
      </c>
      <c r="B1261" s="8">
        <v>876.17536778205113</v>
      </c>
      <c r="F1261" s="7"/>
      <c r="G1261" s="7"/>
      <c r="M1261" s="10"/>
      <c r="P1261" s="11"/>
      <c r="Q1261" s="12"/>
    </row>
    <row r="1262" spans="1:17">
      <c r="A1262" s="14">
        <v>40557</v>
      </c>
      <c r="B1262" s="8">
        <v>881.24558501766455</v>
      </c>
      <c r="F1262" s="7"/>
      <c r="G1262" s="7"/>
      <c r="M1262" s="10"/>
      <c r="P1262" s="11"/>
      <c r="Q1262" s="12"/>
    </row>
    <row r="1263" spans="1:17">
      <c r="A1263" s="14">
        <v>40561</v>
      </c>
      <c r="B1263" s="8">
        <v>885.83516711709547</v>
      </c>
      <c r="F1263" s="7"/>
      <c r="G1263" s="7"/>
      <c r="M1263" s="10"/>
      <c r="P1263" s="11"/>
      <c r="Q1263" s="12"/>
    </row>
    <row r="1264" spans="1:17">
      <c r="A1264" s="14">
        <v>40562</v>
      </c>
      <c r="B1264" s="8">
        <v>871.31657653173238</v>
      </c>
      <c r="F1264" s="7"/>
      <c r="G1264" s="7"/>
      <c r="M1264" s="10"/>
      <c r="P1264" s="11"/>
      <c r="Q1264" s="12"/>
    </row>
    <row r="1265" spans="1:17">
      <c r="A1265" s="14">
        <v>40563</v>
      </c>
      <c r="B1265" s="8">
        <v>872.12788325951635</v>
      </c>
      <c r="F1265" s="7"/>
      <c r="G1265" s="7"/>
      <c r="M1265" s="10"/>
      <c r="P1265" s="11"/>
      <c r="Q1265" s="12"/>
    </row>
    <row r="1266" spans="1:17">
      <c r="A1266" s="14">
        <v>40564</v>
      </c>
      <c r="B1266" s="8">
        <v>875.5865035545778</v>
      </c>
      <c r="F1266" s="7"/>
      <c r="G1266" s="7"/>
      <c r="M1266" s="10"/>
      <c r="P1266" s="11"/>
      <c r="Q1266" s="12"/>
    </row>
    <row r="1267" spans="1:17">
      <c r="A1267" s="14">
        <v>40567</v>
      </c>
      <c r="B1267" s="8">
        <v>877.3105864697103</v>
      </c>
      <c r="F1267" s="7"/>
      <c r="G1267" s="7"/>
      <c r="M1267" s="10"/>
      <c r="P1267" s="11"/>
      <c r="Q1267" s="12"/>
    </row>
    <row r="1268" spans="1:17">
      <c r="A1268" s="14">
        <v>40568</v>
      </c>
      <c r="B1268" s="8">
        <v>874.0549551780216</v>
      </c>
      <c r="F1268" s="7"/>
      <c r="G1268" s="7"/>
      <c r="M1268" s="10"/>
      <c r="P1268" s="11"/>
      <c r="Q1268" s="12"/>
    </row>
    <row r="1269" spans="1:17">
      <c r="A1269" s="14">
        <v>40569</v>
      </c>
      <c r="B1269" s="8">
        <v>878.43793822503426</v>
      </c>
      <c r="F1269" s="7"/>
      <c r="G1269" s="7"/>
      <c r="M1269" s="10"/>
      <c r="P1269" s="11"/>
      <c r="Q1269" s="12"/>
    </row>
    <row r="1270" spans="1:17">
      <c r="A1270" s="14">
        <v>40570</v>
      </c>
      <c r="B1270" s="8">
        <v>883.08764051210017</v>
      </c>
      <c r="F1270" s="7"/>
      <c r="G1270" s="7"/>
      <c r="M1270" s="10"/>
      <c r="P1270" s="11"/>
      <c r="Q1270" s="12"/>
    </row>
    <row r="1271" spans="1:17">
      <c r="A1271" s="14">
        <v>40571</v>
      </c>
      <c r="B1271" s="8">
        <v>871.49375240389861</v>
      </c>
      <c r="F1271" s="7"/>
      <c r="G1271" s="7"/>
      <c r="M1271" s="10"/>
      <c r="P1271" s="11"/>
      <c r="Q1271" s="12"/>
    </row>
    <row r="1272" spans="1:17">
      <c r="A1272" s="14">
        <v>40574</v>
      </c>
      <c r="B1272" s="8">
        <v>871.46911338091411</v>
      </c>
      <c r="F1272" s="7"/>
      <c r="G1272" s="7"/>
      <c r="M1272" s="10"/>
      <c r="P1272" s="11"/>
      <c r="Q1272" s="12"/>
    </row>
    <row r="1273" spans="1:17">
      <c r="A1273" s="14">
        <v>40575</v>
      </c>
      <c r="B1273" s="8">
        <v>881.89729430754892</v>
      </c>
      <c r="F1273" s="7"/>
      <c r="G1273" s="7"/>
      <c r="M1273" s="10"/>
      <c r="P1273" s="11"/>
      <c r="Q1273" s="12"/>
    </row>
    <row r="1274" spans="1:17">
      <c r="A1274" s="14">
        <v>40576</v>
      </c>
      <c r="B1274" s="8">
        <v>883.21887661840606</v>
      </c>
      <c r="F1274" s="7"/>
      <c r="G1274" s="7"/>
      <c r="M1274" s="10"/>
      <c r="P1274" s="11"/>
      <c r="Q1274" s="12"/>
    </row>
    <row r="1275" spans="1:17">
      <c r="A1275" s="14">
        <v>40577</v>
      </c>
      <c r="B1275" s="8">
        <v>888.0207307989665</v>
      </c>
      <c r="F1275" s="7"/>
      <c r="G1275" s="7"/>
      <c r="M1275" s="10"/>
      <c r="P1275" s="11"/>
      <c r="Q1275" s="12"/>
    </row>
    <row r="1276" spans="1:17">
      <c r="A1276" s="14">
        <v>40578</v>
      </c>
      <c r="B1276" s="8">
        <v>895.06484862337504</v>
      </c>
      <c r="F1276" s="7"/>
      <c r="G1276" s="7"/>
      <c r="M1276" s="10"/>
      <c r="P1276" s="11"/>
      <c r="Q1276" s="12"/>
    </row>
    <row r="1277" spans="1:17">
      <c r="A1277" s="14">
        <v>40581</v>
      </c>
      <c r="B1277" s="8">
        <v>903.9000693974242</v>
      </c>
      <c r="F1277" s="7"/>
      <c r="G1277" s="7"/>
      <c r="M1277" s="10"/>
      <c r="P1277" s="11"/>
      <c r="Q1277" s="12"/>
    </row>
    <row r="1278" spans="1:17">
      <c r="A1278" s="14">
        <v>40582</v>
      </c>
      <c r="B1278" s="8">
        <v>903.43377626648373</v>
      </c>
      <c r="F1278" s="7"/>
      <c r="G1278" s="7"/>
      <c r="M1278" s="10"/>
      <c r="P1278" s="11"/>
      <c r="Q1278" s="12"/>
    </row>
    <row r="1279" spans="1:17">
      <c r="A1279" s="14">
        <v>40583</v>
      </c>
      <c r="B1279" s="8">
        <v>899.06475426333907</v>
      </c>
      <c r="F1279" s="7"/>
      <c r="G1279" s="7"/>
      <c r="M1279" s="10"/>
      <c r="P1279" s="11"/>
      <c r="Q1279" s="12"/>
    </row>
    <row r="1280" spans="1:17">
      <c r="A1280" s="14">
        <v>40584</v>
      </c>
      <c r="B1280" s="8">
        <v>903.29749434930602</v>
      </c>
      <c r="F1280" s="7"/>
      <c r="G1280" s="7"/>
      <c r="M1280" s="10"/>
      <c r="P1280" s="11"/>
      <c r="Q1280" s="12"/>
    </row>
    <row r="1281" spans="1:17">
      <c r="A1281" s="14">
        <v>40585</v>
      </c>
      <c r="B1281" s="8">
        <v>909.95013589027508</v>
      </c>
      <c r="F1281" s="7"/>
      <c r="G1281" s="7"/>
      <c r="M1281" s="10"/>
      <c r="P1281" s="11"/>
      <c r="Q1281" s="12"/>
    </row>
    <row r="1282" spans="1:17">
      <c r="A1282" s="14">
        <v>40588</v>
      </c>
      <c r="B1282" s="8">
        <v>910.20247800730397</v>
      </c>
      <c r="F1282" s="7"/>
      <c r="G1282" s="7"/>
      <c r="M1282" s="10"/>
      <c r="P1282" s="11"/>
      <c r="Q1282" s="12"/>
    </row>
    <row r="1283" spans="1:17">
      <c r="A1283" s="14">
        <v>40589</v>
      </c>
      <c r="B1283" s="8">
        <v>908.7365490818986</v>
      </c>
      <c r="F1283" s="7"/>
      <c r="G1283" s="7"/>
      <c r="M1283" s="10"/>
      <c r="P1283" s="11"/>
      <c r="Q1283" s="12"/>
    </row>
    <row r="1284" spans="1:17">
      <c r="A1284" s="14">
        <v>40590</v>
      </c>
      <c r="B1284" s="8">
        <v>916.21606229328791</v>
      </c>
      <c r="F1284" s="7"/>
      <c r="G1284" s="7"/>
      <c r="M1284" s="10"/>
      <c r="P1284" s="11"/>
      <c r="Q1284" s="12"/>
    </row>
    <row r="1285" spans="1:17">
      <c r="A1285" s="14">
        <v>40591</v>
      </c>
      <c r="B1285" s="8">
        <v>916.67488842201249</v>
      </c>
      <c r="F1285" s="7"/>
      <c r="G1285" s="7"/>
      <c r="M1285" s="10"/>
      <c r="P1285" s="11"/>
      <c r="Q1285" s="12"/>
    </row>
    <row r="1286" spans="1:17">
      <c r="A1286" s="14">
        <v>40592</v>
      </c>
      <c r="B1286" s="8">
        <v>915.77399176863173</v>
      </c>
      <c r="F1286" s="7"/>
      <c r="G1286" s="7"/>
      <c r="M1286" s="10"/>
      <c r="P1286" s="11"/>
      <c r="Q1286" s="12"/>
    </row>
    <row r="1287" spans="1:17">
      <c r="A1287" s="14">
        <v>40596</v>
      </c>
      <c r="B1287" s="8">
        <v>890.2893193795594</v>
      </c>
      <c r="F1287" s="7"/>
      <c r="G1287" s="7"/>
      <c r="M1287" s="10"/>
      <c r="P1287" s="11"/>
      <c r="Q1287" s="12"/>
    </row>
    <row r="1288" spans="1:17">
      <c r="A1288" s="14">
        <v>40597</v>
      </c>
      <c r="B1288" s="8">
        <v>878.47112914723402</v>
      </c>
      <c r="F1288" s="7"/>
      <c r="G1288" s="7"/>
      <c r="M1288" s="10"/>
      <c r="P1288" s="11"/>
      <c r="Q1288" s="12"/>
    </row>
    <row r="1289" spans="1:17">
      <c r="A1289" s="14">
        <v>40598</v>
      </c>
      <c r="B1289" s="8">
        <v>875.86281107837942</v>
      </c>
      <c r="F1289" s="7"/>
      <c r="G1289" s="7"/>
      <c r="M1289" s="10"/>
      <c r="P1289" s="11"/>
      <c r="Q1289" s="12"/>
    </row>
    <row r="1290" spans="1:17">
      <c r="A1290" s="14">
        <v>40599</v>
      </c>
      <c r="B1290" s="8">
        <v>890.31922388541602</v>
      </c>
      <c r="F1290" s="7"/>
      <c r="G1290" s="7"/>
      <c r="M1290" s="10"/>
      <c r="P1290" s="11"/>
      <c r="Q1290" s="12"/>
    </row>
    <row r="1291" spans="1:17">
      <c r="A1291" s="14">
        <v>40602</v>
      </c>
      <c r="B1291" s="8">
        <v>894.90582975159873</v>
      </c>
      <c r="F1291" s="7"/>
      <c r="G1291" s="7"/>
      <c r="M1291" s="10"/>
      <c r="P1291" s="11"/>
      <c r="Q1291" s="12"/>
    </row>
    <row r="1292" spans="1:17">
      <c r="A1292" s="14">
        <v>40603</v>
      </c>
      <c r="B1292" s="8">
        <v>881.07240384212616</v>
      </c>
      <c r="F1292" s="7"/>
      <c r="G1292" s="7"/>
      <c r="M1292" s="10"/>
      <c r="P1292" s="11"/>
      <c r="Q1292" s="12"/>
    </row>
    <row r="1293" spans="1:17">
      <c r="A1293" s="14">
        <v>40604</v>
      </c>
      <c r="B1293" s="8">
        <v>876.30743657238008</v>
      </c>
      <c r="F1293" s="7"/>
      <c r="G1293" s="7"/>
      <c r="M1293" s="10"/>
      <c r="P1293" s="11"/>
      <c r="Q1293" s="12"/>
    </row>
    <row r="1294" spans="1:17">
      <c r="A1294" s="14">
        <v>40605</v>
      </c>
      <c r="B1294" s="8">
        <v>883.90522759262672</v>
      </c>
      <c r="F1294" s="7"/>
      <c r="G1294" s="7"/>
      <c r="M1294" s="10"/>
      <c r="P1294" s="11"/>
      <c r="Q1294" s="12"/>
    </row>
    <row r="1295" spans="1:17">
      <c r="A1295" s="14">
        <v>40606</v>
      </c>
      <c r="B1295" s="8">
        <v>876.25288750227924</v>
      </c>
      <c r="F1295" s="7"/>
      <c r="G1295" s="7"/>
      <c r="M1295" s="10"/>
      <c r="P1295" s="11"/>
      <c r="Q1295" s="12"/>
    </row>
    <row r="1296" spans="1:17">
      <c r="A1296" s="14">
        <v>40609</v>
      </c>
      <c r="B1296" s="8">
        <v>868.70456081075224</v>
      </c>
      <c r="F1296" s="7"/>
      <c r="G1296" s="7"/>
      <c r="M1296" s="10"/>
      <c r="P1296" s="11"/>
      <c r="Q1296" s="12"/>
    </row>
    <row r="1297" spans="1:17">
      <c r="A1297" s="14">
        <v>40610</v>
      </c>
      <c r="B1297" s="8">
        <v>878.0167247108991</v>
      </c>
      <c r="F1297" s="7"/>
      <c r="G1297" s="7"/>
      <c r="M1297" s="10"/>
      <c r="P1297" s="11"/>
      <c r="Q1297" s="12"/>
    </row>
    <row r="1298" spans="1:17">
      <c r="A1298" s="14">
        <v>40611</v>
      </c>
      <c r="B1298" s="8">
        <v>875.79666136978597</v>
      </c>
      <c r="F1298" s="7"/>
      <c r="G1298" s="7"/>
      <c r="M1298" s="10"/>
      <c r="P1298" s="11"/>
      <c r="Q1298" s="12"/>
    </row>
    <row r="1299" spans="1:17">
      <c r="A1299" s="14">
        <v>40612</v>
      </c>
      <c r="B1299" s="8">
        <v>865.22765118637892</v>
      </c>
      <c r="F1299" s="7"/>
      <c r="G1299" s="7"/>
      <c r="M1299" s="10"/>
      <c r="P1299" s="11"/>
      <c r="Q1299" s="12"/>
    </row>
    <row r="1300" spans="1:17">
      <c r="A1300" s="14">
        <v>40613</v>
      </c>
      <c r="B1300" s="8">
        <v>863.35306744802494</v>
      </c>
      <c r="F1300" s="7"/>
      <c r="G1300" s="7"/>
      <c r="M1300" s="10"/>
      <c r="P1300" s="11"/>
      <c r="Q1300" s="12"/>
    </row>
    <row r="1301" spans="1:17">
      <c r="A1301" s="14">
        <v>40616</v>
      </c>
      <c r="B1301" s="8">
        <v>851.1572534553585</v>
      </c>
      <c r="F1301" s="7"/>
      <c r="G1301" s="7"/>
      <c r="M1301" s="10"/>
      <c r="P1301" s="11"/>
      <c r="Q1301" s="12"/>
    </row>
    <row r="1302" spans="1:17">
      <c r="A1302" s="14">
        <v>40617</v>
      </c>
      <c r="B1302" s="8">
        <v>835.540845670355</v>
      </c>
      <c r="F1302" s="7"/>
      <c r="G1302" s="7"/>
      <c r="M1302" s="10"/>
      <c r="P1302" s="11"/>
      <c r="Q1302" s="12"/>
    </row>
    <row r="1303" spans="1:17">
      <c r="A1303" s="14">
        <v>40618</v>
      </c>
      <c r="B1303" s="8">
        <v>821.04018205252692</v>
      </c>
      <c r="F1303" s="7"/>
      <c r="G1303" s="7"/>
      <c r="M1303" s="10"/>
      <c r="P1303" s="11"/>
      <c r="Q1303" s="12"/>
    </row>
    <row r="1304" spans="1:17">
      <c r="A1304" s="14">
        <v>40619</v>
      </c>
      <c r="B1304" s="8">
        <v>832.65898061297582</v>
      </c>
      <c r="F1304" s="7"/>
      <c r="G1304" s="7"/>
      <c r="M1304" s="10"/>
      <c r="P1304" s="11"/>
      <c r="Q1304" s="12"/>
    </row>
    <row r="1305" spans="1:17">
      <c r="A1305" s="14">
        <v>40620</v>
      </c>
      <c r="B1305" s="8">
        <v>831.33195988574619</v>
      </c>
      <c r="F1305" s="7"/>
      <c r="G1305" s="7"/>
      <c r="M1305" s="10"/>
      <c r="P1305" s="11"/>
      <c r="Q1305" s="12"/>
    </row>
    <row r="1306" spans="1:17">
      <c r="A1306" s="14">
        <v>40623</v>
      </c>
      <c r="B1306" s="8">
        <v>846.78780314806727</v>
      </c>
      <c r="F1306" s="7"/>
      <c r="G1306" s="7"/>
      <c r="M1306" s="10"/>
      <c r="P1306" s="11"/>
      <c r="Q1306" s="12"/>
    </row>
    <row r="1307" spans="1:17">
      <c r="A1307" s="14">
        <v>40624</v>
      </c>
      <c r="B1307" s="8">
        <v>844.14258999268884</v>
      </c>
      <c r="F1307" s="7"/>
      <c r="G1307" s="7"/>
      <c r="M1307" s="10"/>
      <c r="P1307" s="11"/>
      <c r="Q1307" s="12"/>
    </row>
    <row r="1308" spans="1:17">
      <c r="A1308" s="14">
        <v>40625</v>
      </c>
      <c r="B1308" s="8">
        <v>850.46823912567118</v>
      </c>
      <c r="F1308" s="7"/>
      <c r="G1308" s="7"/>
      <c r="M1308" s="10"/>
      <c r="P1308" s="11"/>
      <c r="Q1308" s="12"/>
    </row>
    <row r="1309" spans="1:17">
      <c r="A1309" s="14">
        <v>40626</v>
      </c>
      <c r="B1309" s="8">
        <v>860.18480471705504</v>
      </c>
      <c r="F1309" s="7"/>
      <c r="G1309" s="7"/>
      <c r="M1309" s="10"/>
      <c r="P1309" s="11"/>
      <c r="Q1309" s="12"/>
    </row>
    <row r="1310" spans="1:17">
      <c r="A1310" s="14">
        <v>40627</v>
      </c>
      <c r="B1310" s="8">
        <v>865.66032469482627</v>
      </c>
      <c r="F1310" s="7"/>
      <c r="G1310" s="7"/>
      <c r="M1310" s="10"/>
      <c r="P1310" s="11"/>
      <c r="Q1310" s="12"/>
    </row>
    <row r="1311" spans="1:17">
      <c r="A1311" s="14">
        <v>40630</v>
      </c>
      <c r="B1311" s="8">
        <v>863.32108817116818</v>
      </c>
      <c r="F1311" s="7"/>
      <c r="G1311" s="7"/>
      <c r="M1311" s="10"/>
      <c r="P1311" s="11"/>
      <c r="Q1311" s="12"/>
    </row>
    <row r="1312" spans="1:17">
      <c r="A1312" s="14">
        <v>40631</v>
      </c>
      <c r="B1312" s="8">
        <v>866.79219156348324</v>
      </c>
      <c r="F1312" s="7"/>
      <c r="G1312" s="7"/>
      <c r="M1312" s="10"/>
      <c r="P1312" s="11"/>
      <c r="Q1312" s="12"/>
    </row>
    <row r="1313" spans="1:17">
      <c r="A1313" s="14">
        <v>40632</v>
      </c>
      <c r="B1313" s="8">
        <v>873.09907157283465</v>
      </c>
      <c r="F1313" s="7"/>
      <c r="G1313" s="7"/>
      <c r="M1313" s="10"/>
      <c r="P1313" s="11"/>
      <c r="Q1313" s="12"/>
    </row>
    <row r="1314" spans="1:17">
      <c r="A1314" s="14">
        <v>40633</v>
      </c>
      <c r="B1314" s="8">
        <v>865.88693848983348</v>
      </c>
      <c r="F1314" s="7"/>
      <c r="G1314" s="7"/>
      <c r="M1314" s="10"/>
      <c r="P1314" s="11"/>
      <c r="Q1314" s="12"/>
    </row>
    <row r="1315" spans="1:17">
      <c r="A1315" s="14">
        <v>40634</v>
      </c>
      <c r="B1315" s="8">
        <v>876.01570772777325</v>
      </c>
      <c r="F1315" s="7"/>
      <c r="G1315" s="7"/>
      <c r="M1315" s="10"/>
      <c r="P1315" s="11"/>
      <c r="Q1315" s="12"/>
    </row>
    <row r="1316" spans="1:17">
      <c r="A1316" s="14">
        <v>40637</v>
      </c>
      <c r="B1316" s="8">
        <v>875.10530968186401</v>
      </c>
      <c r="F1316" s="7"/>
      <c r="G1316" s="7"/>
      <c r="M1316" s="10"/>
      <c r="P1316" s="11"/>
      <c r="Q1316" s="12"/>
    </row>
    <row r="1317" spans="1:17">
      <c r="A1317" s="14">
        <v>40638</v>
      </c>
      <c r="B1317" s="8">
        <v>875.34197692343821</v>
      </c>
      <c r="F1317" s="7"/>
      <c r="G1317" s="7"/>
      <c r="M1317" s="10"/>
      <c r="P1317" s="11"/>
      <c r="Q1317" s="12"/>
    </row>
    <row r="1318" spans="1:17">
      <c r="A1318" s="14">
        <v>40639</v>
      </c>
      <c r="B1318" s="8">
        <v>876.07460072977278</v>
      </c>
      <c r="F1318" s="7"/>
      <c r="G1318" s="7"/>
      <c r="M1318" s="10"/>
      <c r="P1318" s="11"/>
      <c r="Q1318" s="12"/>
    </row>
    <row r="1319" spans="1:17">
      <c r="A1319" s="14">
        <v>40640</v>
      </c>
      <c r="B1319" s="8">
        <v>874.24102461969323</v>
      </c>
      <c r="F1319" s="7"/>
      <c r="G1319" s="7"/>
      <c r="M1319" s="10"/>
      <c r="P1319" s="11"/>
      <c r="Q1319" s="12"/>
    </row>
    <row r="1320" spans="1:17">
      <c r="A1320" s="14">
        <v>40641</v>
      </c>
      <c r="B1320" s="8">
        <v>870.89459074502906</v>
      </c>
      <c r="F1320" s="7"/>
      <c r="G1320" s="7"/>
      <c r="M1320" s="10"/>
      <c r="P1320" s="11"/>
      <c r="Q1320" s="12"/>
    </row>
    <row r="1321" spans="1:17">
      <c r="A1321" s="14">
        <v>40644</v>
      </c>
      <c r="B1321" s="8">
        <v>866.27453232364348</v>
      </c>
      <c r="F1321" s="7"/>
      <c r="G1321" s="7"/>
      <c r="M1321" s="10"/>
      <c r="P1321" s="11"/>
      <c r="Q1321" s="12"/>
    </row>
    <row r="1322" spans="1:17">
      <c r="A1322" s="14">
        <v>40645</v>
      </c>
      <c r="B1322" s="8">
        <v>854.77472169128271</v>
      </c>
      <c r="F1322" s="7"/>
      <c r="G1322" s="7"/>
      <c r="M1322" s="10"/>
      <c r="P1322" s="11"/>
      <c r="Q1322" s="12"/>
    </row>
    <row r="1323" spans="1:17">
      <c r="A1323" s="14">
        <v>40646</v>
      </c>
      <c r="B1323" s="8">
        <v>859.66904746168814</v>
      </c>
      <c r="F1323" s="7"/>
      <c r="G1323" s="7"/>
      <c r="M1323" s="10"/>
      <c r="P1323" s="11"/>
      <c r="Q1323" s="12"/>
    </row>
    <row r="1324" spans="1:17">
      <c r="A1324" s="14">
        <v>40647</v>
      </c>
      <c r="B1324" s="8">
        <v>854.22125672880611</v>
      </c>
      <c r="F1324" s="7"/>
      <c r="G1324" s="7"/>
      <c r="M1324" s="10"/>
      <c r="P1324" s="11"/>
      <c r="Q1324" s="12"/>
    </row>
    <row r="1325" spans="1:17">
      <c r="A1325" s="14">
        <v>40648</v>
      </c>
      <c r="B1325" s="8">
        <v>858.19916731270712</v>
      </c>
      <c r="F1325" s="7"/>
      <c r="G1325" s="7"/>
      <c r="M1325" s="10"/>
      <c r="P1325" s="11"/>
      <c r="Q1325" s="12"/>
    </row>
    <row r="1326" spans="1:17">
      <c r="A1326" s="14">
        <v>40651</v>
      </c>
      <c r="B1326" s="8">
        <v>847.50859910706015</v>
      </c>
      <c r="F1326" s="7"/>
      <c r="G1326" s="7"/>
      <c r="M1326" s="10"/>
      <c r="P1326" s="11"/>
      <c r="Q1326" s="12"/>
    </row>
    <row r="1327" spans="1:17">
      <c r="A1327" s="14">
        <v>40652</v>
      </c>
      <c r="B1327" s="8">
        <v>849.09955571072885</v>
      </c>
      <c r="F1327" s="7"/>
      <c r="G1327" s="7"/>
      <c r="M1327" s="10"/>
      <c r="P1327" s="11"/>
      <c r="Q1327" s="12"/>
    </row>
    <row r="1328" spans="1:17">
      <c r="A1328" s="14">
        <v>40653</v>
      </c>
      <c r="B1328" s="8">
        <v>860.22727997624816</v>
      </c>
      <c r="F1328" s="7"/>
      <c r="G1328" s="7"/>
      <c r="M1328" s="10"/>
      <c r="P1328" s="11"/>
      <c r="Q1328" s="12"/>
    </row>
    <row r="1329" spans="1:17">
      <c r="A1329" s="14">
        <v>40654</v>
      </c>
      <c r="B1329" s="8">
        <v>863.65866085335608</v>
      </c>
      <c r="F1329" s="7"/>
      <c r="G1329" s="7"/>
      <c r="M1329" s="10"/>
      <c r="P1329" s="11"/>
      <c r="Q1329" s="12"/>
    </row>
    <row r="1330" spans="1:17">
      <c r="A1330" s="14">
        <v>40659</v>
      </c>
      <c r="B1330" s="8">
        <v>866.81913647681347</v>
      </c>
      <c r="F1330" s="7"/>
      <c r="G1330" s="7"/>
      <c r="M1330" s="10"/>
      <c r="P1330" s="11"/>
      <c r="Q1330" s="12"/>
    </row>
    <row r="1331" spans="1:17">
      <c r="A1331" s="14">
        <v>40660</v>
      </c>
      <c r="B1331" s="8">
        <v>871.05064279253918</v>
      </c>
      <c r="F1331" s="7"/>
      <c r="G1331" s="7"/>
      <c r="M1331" s="10"/>
      <c r="P1331" s="11"/>
      <c r="Q1331" s="12"/>
    </row>
    <row r="1332" spans="1:17">
      <c r="A1332" s="14">
        <v>40661</v>
      </c>
      <c r="B1332" s="8">
        <v>873.20411312115061</v>
      </c>
      <c r="F1332" s="7"/>
      <c r="G1332" s="7"/>
      <c r="M1332" s="10"/>
      <c r="P1332" s="11"/>
      <c r="Q1332" s="12"/>
    </row>
    <row r="1333" spans="1:17">
      <c r="A1333" s="14">
        <v>40662</v>
      </c>
      <c r="B1333" s="8">
        <v>874.47672096132987</v>
      </c>
      <c r="F1333" s="7"/>
      <c r="G1333" s="7"/>
      <c r="M1333" s="10"/>
      <c r="P1333" s="11"/>
      <c r="Q1333" s="12"/>
    </row>
    <row r="1334" spans="1:17">
      <c r="A1334" s="14">
        <v>40665</v>
      </c>
      <c r="B1334" s="8">
        <v>872.54139628142707</v>
      </c>
      <c r="F1334" s="7"/>
      <c r="G1334" s="7"/>
      <c r="M1334" s="10"/>
      <c r="P1334" s="11"/>
      <c r="Q1334" s="12"/>
    </row>
    <row r="1335" spans="1:17">
      <c r="A1335" s="14">
        <v>40666</v>
      </c>
      <c r="B1335" s="8">
        <v>868.87497129416624</v>
      </c>
      <c r="F1335" s="7"/>
      <c r="G1335" s="7"/>
      <c r="M1335" s="10"/>
      <c r="P1335" s="11"/>
      <c r="Q1335" s="12"/>
    </row>
    <row r="1336" spans="1:17">
      <c r="A1336" s="14">
        <v>40667</v>
      </c>
      <c r="B1336" s="8">
        <v>858.65367733075266</v>
      </c>
      <c r="F1336" s="7"/>
      <c r="G1336" s="7"/>
      <c r="M1336" s="10"/>
      <c r="P1336" s="11"/>
      <c r="Q1336" s="12"/>
    </row>
    <row r="1337" spans="1:17">
      <c r="A1337" s="14">
        <v>40668</v>
      </c>
      <c r="B1337" s="8">
        <v>861.91689821870591</v>
      </c>
      <c r="F1337" s="7"/>
      <c r="G1337" s="7"/>
      <c r="M1337" s="10"/>
      <c r="P1337" s="11"/>
      <c r="Q1337" s="12"/>
    </row>
    <row r="1338" spans="1:17">
      <c r="A1338" s="14">
        <v>40669</v>
      </c>
      <c r="B1338" s="8">
        <v>875.42929406339658</v>
      </c>
      <c r="F1338" s="7"/>
      <c r="G1338" s="7"/>
      <c r="M1338" s="10"/>
      <c r="P1338" s="11"/>
      <c r="Q1338" s="12"/>
    </row>
    <row r="1339" spans="1:17">
      <c r="A1339" s="14">
        <v>40672</v>
      </c>
      <c r="B1339" s="8">
        <v>873.16231660813628</v>
      </c>
      <c r="F1339" s="7"/>
      <c r="G1339" s="7"/>
      <c r="M1339" s="10"/>
      <c r="P1339" s="11"/>
      <c r="Q1339" s="12"/>
    </row>
    <row r="1340" spans="1:17">
      <c r="A1340" s="14">
        <v>40673</v>
      </c>
      <c r="B1340" s="8">
        <v>883.25569447575515</v>
      </c>
      <c r="F1340" s="7"/>
      <c r="G1340" s="7"/>
      <c r="M1340" s="10"/>
      <c r="P1340" s="11"/>
      <c r="Q1340" s="12"/>
    </row>
    <row r="1341" spans="1:17">
      <c r="A1341" s="14">
        <v>40674</v>
      </c>
      <c r="B1341" s="8">
        <v>883.50106850584518</v>
      </c>
      <c r="F1341" s="7"/>
      <c r="G1341" s="7"/>
      <c r="M1341" s="10"/>
      <c r="P1341" s="11"/>
      <c r="Q1341" s="12"/>
    </row>
    <row r="1342" spans="1:17">
      <c r="A1342" s="14">
        <v>40675</v>
      </c>
      <c r="B1342" s="8">
        <v>881.93634940266236</v>
      </c>
      <c r="F1342" s="7"/>
      <c r="G1342" s="7"/>
      <c r="M1342" s="10"/>
      <c r="P1342" s="11"/>
      <c r="Q1342" s="12"/>
    </row>
    <row r="1343" spans="1:17">
      <c r="A1343" s="14">
        <v>40676</v>
      </c>
      <c r="B1343" s="8">
        <v>879.41300447479125</v>
      </c>
      <c r="F1343" s="7"/>
      <c r="G1343" s="7"/>
      <c r="M1343" s="10"/>
      <c r="P1343" s="11"/>
      <c r="Q1343" s="12"/>
    </row>
    <row r="1344" spans="1:17">
      <c r="A1344" s="14">
        <v>40679</v>
      </c>
      <c r="B1344" s="8">
        <v>872.10669615758013</v>
      </c>
      <c r="F1344" s="7"/>
      <c r="G1344" s="7"/>
      <c r="M1344" s="10"/>
      <c r="P1344" s="11"/>
      <c r="Q1344" s="12"/>
    </row>
    <row r="1345" spans="1:17">
      <c r="A1345" s="14">
        <v>40680</v>
      </c>
      <c r="B1345" s="8">
        <v>866.6855071485528</v>
      </c>
      <c r="F1345" s="7"/>
      <c r="G1345" s="7"/>
      <c r="M1345" s="10"/>
      <c r="P1345" s="11"/>
      <c r="Q1345" s="12"/>
    </row>
    <row r="1346" spans="1:17">
      <c r="A1346" s="14">
        <v>40681</v>
      </c>
      <c r="B1346" s="8">
        <v>871.57791201601833</v>
      </c>
      <c r="F1346" s="7"/>
      <c r="G1346" s="7"/>
      <c r="M1346" s="10"/>
      <c r="P1346" s="11"/>
      <c r="Q1346" s="12"/>
    </row>
    <row r="1347" spans="1:17">
      <c r="A1347" s="14">
        <v>40682</v>
      </c>
      <c r="B1347" s="8">
        <v>874.68506584744466</v>
      </c>
      <c r="F1347" s="7"/>
      <c r="G1347" s="7"/>
      <c r="M1347" s="10"/>
      <c r="P1347" s="11"/>
      <c r="Q1347" s="12"/>
    </row>
    <row r="1348" spans="1:17">
      <c r="A1348" s="14">
        <v>40683</v>
      </c>
      <c r="B1348" s="8">
        <v>869.7521594032562</v>
      </c>
      <c r="F1348" s="7"/>
      <c r="G1348" s="7"/>
      <c r="M1348" s="10"/>
      <c r="P1348" s="11"/>
      <c r="Q1348" s="12"/>
    </row>
    <row r="1349" spans="1:17">
      <c r="A1349" s="14">
        <v>40686</v>
      </c>
      <c r="B1349" s="8">
        <v>860.14244934920782</v>
      </c>
      <c r="F1349" s="7"/>
      <c r="G1349" s="7"/>
      <c r="M1349" s="10"/>
      <c r="P1349" s="11"/>
      <c r="Q1349" s="12"/>
    </row>
    <row r="1350" spans="1:17">
      <c r="A1350" s="14">
        <v>40687</v>
      </c>
      <c r="B1350" s="8">
        <v>858.52777494889835</v>
      </c>
      <c r="F1350" s="7"/>
      <c r="G1350" s="7"/>
      <c r="M1350" s="10"/>
      <c r="P1350" s="11"/>
      <c r="Q1350" s="12"/>
    </row>
    <row r="1351" spans="1:17">
      <c r="A1351" s="14">
        <v>40688</v>
      </c>
      <c r="B1351" s="8">
        <v>862.12636809327898</v>
      </c>
      <c r="F1351" s="7"/>
      <c r="G1351" s="7"/>
      <c r="M1351" s="10"/>
      <c r="P1351" s="11"/>
      <c r="Q1351" s="12"/>
    </row>
    <row r="1352" spans="1:17">
      <c r="A1352" s="14">
        <v>40689</v>
      </c>
      <c r="B1352" s="8">
        <v>861.18691288986054</v>
      </c>
      <c r="F1352" s="7"/>
      <c r="G1352" s="7"/>
      <c r="M1352" s="10"/>
      <c r="P1352" s="11"/>
      <c r="Q1352" s="12"/>
    </row>
    <row r="1353" spans="1:17">
      <c r="A1353" s="14">
        <v>40690</v>
      </c>
      <c r="B1353" s="8">
        <v>860.8589898521368</v>
      </c>
      <c r="F1353" s="7"/>
      <c r="G1353" s="7"/>
      <c r="M1353" s="10"/>
      <c r="P1353" s="11"/>
      <c r="Q1353" s="12"/>
    </row>
    <row r="1354" spans="1:17">
      <c r="A1354" s="14">
        <v>40694</v>
      </c>
      <c r="B1354" s="8">
        <v>869.42788912629419</v>
      </c>
      <c r="F1354" s="7"/>
      <c r="G1354" s="7"/>
      <c r="M1354" s="10"/>
      <c r="P1354" s="11"/>
      <c r="Q1354" s="12"/>
    </row>
    <row r="1355" spans="1:17">
      <c r="A1355" s="14">
        <v>40695</v>
      </c>
      <c r="B1355" s="8">
        <v>851.85798655809458</v>
      </c>
      <c r="F1355" s="7"/>
      <c r="G1355" s="7"/>
      <c r="M1355" s="10"/>
      <c r="P1355" s="11"/>
      <c r="Q1355" s="12"/>
    </row>
    <row r="1356" spans="1:17">
      <c r="A1356" s="14">
        <v>40696</v>
      </c>
      <c r="B1356" s="8">
        <v>842.14596943900847</v>
      </c>
      <c r="F1356" s="7"/>
      <c r="G1356" s="7"/>
      <c r="M1356" s="10"/>
      <c r="P1356" s="11"/>
      <c r="Q1356" s="12"/>
    </row>
    <row r="1357" spans="1:17">
      <c r="A1357" s="14">
        <v>40697</v>
      </c>
      <c r="B1357" s="8">
        <v>832.06542053977546</v>
      </c>
      <c r="F1357" s="7"/>
      <c r="G1357" s="7"/>
      <c r="M1357" s="10"/>
      <c r="P1357" s="11"/>
      <c r="Q1357" s="12"/>
    </row>
    <row r="1358" spans="1:17">
      <c r="A1358" s="14">
        <v>40700</v>
      </c>
      <c r="B1358" s="8">
        <v>823.47970916637246</v>
      </c>
      <c r="F1358" s="7"/>
      <c r="G1358" s="7"/>
      <c r="M1358" s="10"/>
      <c r="P1358" s="11"/>
      <c r="Q1358" s="12"/>
    </row>
    <row r="1359" spans="1:17">
      <c r="A1359" s="14">
        <v>40701</v>
      </c>
      <c r="B1359" s="8">
        <v>823.18890901285215</v>
      </c>
      <c r="F1359" s="7"/>
      <c r="G1359" s="7"/>
      <c r="M1359" s="10"/>
      <c r="P1359" s="11"/>
      <c r="Q1359" s="12"/>
    </row>
    <row r="1360" spans="1:17">
      <c r="A1360" s="14">
        <v>40702</v>
      </c>
      <c r="B1360" s="8">
        <v>818.19779138879233</v>
      </c>
      <c r="F1360" s="7"/>
      <c r="G1360" s="7"/>
      <c r="M1360" s="10"/>
      <c r="P1360" s="11"/>
      <c r="Q1360" s="12"/>
    </row>
    <row r="1361" spans="1:17">
      <c r="A1361" s="14">
        <v>40703</v>
      </c>
      <c r="B1361" s="8">
        <v>827.94183741459483</v>
      </c>
      <c r="F1361" s="7"/>
      <c r="G1361" s="7"/>
      <c r="M1361" s="10"/>
      <c r="P1361" s="11"/>
      <c r="Q1361" s="12"/>
    </row>
    <row r="1362" spans="1:17">
      <c r="A1362" s="14">
        <v>40704</v>
      </c>
      <c r="B1362" s="8">
        <v>819.08935482334743</v>
      </c>
      <c r="F1362" s="7"/>
      <c r="G1362" s="7"/>
      <c r="M1362" s="10"/>
      <c r="P1362" s="11"/>
      <c r="Q1362" s="12"/>
    </row>
    <row r="1363" spans="1:17">
      <c r="A1363" s="14">
        <v>40707</v>
      </c>
      <c r="B1363" s="8">
        <v>819.44329876607571</v>
      </c>
      <c r="F1363" s="7"/>
      <c r="G1363" s="7"/>
      <c r="M1363" s="10"/>
      <c r="P1363" s="11"/>
      <c r="Q1363" s="12"/>
    </row>
    <row r="1364" spans="1:17">
      <c r="A1364" s="14">
        <v>40708</v>
      </c>
      <c r="B1364" s="8">
        <v>830.10638304562463</v>
      </c>
      <c r="F1364" s="7"/>
      <c r="G1364" s="7"/>
      <c r="M1364" s="10"/>
      <c r="P1364" s="11"/>
      <c r="Q1364" s="12"/>
    </row>
    <row r="1365" spans="1:17">
      <c r="A1365" s="14">
        <v>40709</v>
      </c>
      <c r="B1365" s="8">
        <v>822.46535696710771</v>
      </c>
      <c r="F1365" s="7"/>
      <c r="G1365" s="7"/>
      <c r="M1365" s="10"/>
      <c r="P1365" s="11"/>
      <c r="Q1365" s="12"/>
    </row>
    <row r="1366" spans="1:17">
      <c r="A1366" s="14">
        <v>40710</v>
      </c>
      <c r="B1366" s="8">
        <v>823.38727909144575</v>
      </c>
      <c r="F1366" s="7"/>
      <c r="G1366" s="7"/>
      <c r="M1366" s="10"/>
      <c r="P1366" s="11"/>
      <c r="Q1366" s="12"/>
    </row>
    <row r="1367" spans="1:17">
      <c r="A1367" s="14">
        <v>40711</v>
      </c>
      <c r="B1367" s="8">
        <v>826.78172579904879</v>
      </c>
      <c r="F1367" s="7"/>
      <c r="G1367" s="7"/>
      <c r="M1367" s="10"/>
      <c r="P1367" s="11"/>
      <c r="Q1367" s="12"/>
    </row>
    <row r="1368" spans="1:17">
      <c r="A1368" s="14">
        <v>40714</v>
      </c>
      <c r="B1368" s="8">
        <v>825.40257615436644</v>
      </c>
      <c r="F1368" s="7"/>
      <c r="G1368" s="7"/>
      <c r="M1368" s="10"/>
      <c r="P1368" s="11"/>
      <c r="Q1368" s="12"/>
    </row>
    <row r="1369" spans="1:17">
      <c r="A1369" s="14">
        <v>40715</v>
      </c>
      <c r="B1369" s="8">
        <v>838.28791129399053</v>
      </c>
      <c r="F1369" s="7"/>
      <c r="G1369" s="7"/>
      <c r="M1369" s="10"/>
      <c r="P1369" s="11"/>
      <c r="Q1369" s="12"/>
    </row>
    <row r="1370" spans="1:17">
      <c r="A1370" s="14">
        <v>40716</v>
      </c>
      <c r="B1370" s="8">
        <v>833.1719333118308</v>
      </c>
      <c r="F1370" s="7"/>
      <c r="G1370" s="7"/>
      <c r="M1370" s="10"/>
      <c r="P1370" s="11"/>
      <c r="Q1370" s="12"/>
    </row>
    <row r="1371" spans="1:17">
      <c r="A1371" s="14">
        <v>40717</v>
      </c>
      <c r="B1371" s="8">
        <v>829.28112562795161</v>
      </c>
      <c r="F1371" s="7"/>
      <c r="G1371" s="7"/>
      <c r="M1371" s="10"/>
      <c r="P1371" s="11"/>
      <c r="Q1371" s="12"/>
    </row>
    <row r="1372" spans="1:17">
      <c r="A1372" s="14">
        <v>40718</v>
      </c>
      <c r="B1372" s="8">
        <v>821.94783990443409</v>
      </c>
      <c r="F1372" s="7"/>
      <c r="G1372" s="7"/>
      <c r="M1372" s="10"/>
      <c r="P1372" s="11"/>
      <c r="Q1372" s="12"/>
    </row>
    <row r="1373" spans="1:17">
      <c r="A1373" s="14">
        <v>40721</v>
      </c>
      <c r="B1373" s="8">
        <v>823.82776666594896</v>
      </c>
      <c r="F1373" s="7"/>
      <c r="G1373" s="7"/>
      <c r="M1373" s="10"/>
      <c r="P1373" s="11"/>
      <c r="Q1373" s="12"/>
    </row>
    <row r="1374" spans="1:17">
      <c r="A1374" s="14">
        <v>40722</v>
      </c>
      <c r="B1374" s="8">
        <v>832.05834858099513</v>
      </c>
      <c r="F1374" s="7"/>
      <c r="G1374" s="7"/>
      <c r="M1374" s="10"/>
      <c r="P1374" s="11"/>
      <c r="Q1374" s="12"/>
    </row>
    <row r="1375" spans="1:17">
      <c r="A1375" s="14">
        <v>40723</v>
      </c>
      <c r="B1375" s="8">
        <v>842.26334084551604</v>
      </c>
      <c r="F1375" s="7"/>
      <c r="G1375" s="7"/>
      <c r="M1375" s="10"/>
      <c r="P1375" s="11"/>
      <c r="Q1375" s="12"/>
    </row>
    <row r="1376" spans="1:17">
      <c r="A1376" s="14">
        <v>40724</v>
      </c>
      <c r="B1376" s="8">
        <v>851.17415350019405</v>
      </c>
      <c r="F1376" s="7"/>
      <c r="G1376" s="7"/>
      <c r="M1376" s="10"/>
      <c r="P1376" s="11"/>
      <c r="Q1376" s="12"/>
    </row>
    <row r="1377" spans="1:17">
      <c r="A1377" s="14">
        <v>40725</v>
      </c>
      <c r="B1377" s="8">
        <v>862.75068735846992</v>
      </c>
      <c r="F1377" s="7"/>
      <c r="G1377" s="7"/>
      <c r="M1377" s="10"/>
      <c r="P1377" s="11"/>
      <c r="Q1377" s="12"/>
    </row>
    <row r="1378" spans="1:17">
      <c r="A1378" s="14">
        <v>40729</v>
      </c>
      <c r="B1378" s="8">
        <v>857.73103981408849</v>
      </c>
      <c r="F1378" s="7"/>
      <c r="G1378" s="7"/>
      <c r="M1378" s="10"/>
      <c r="P1378" s="11"/>
      <c r="Q1378" s="12"/>
    </row>
    <row r="1379" spans="1:17">
      <c r="A1379" s="14">
        <v>40730</v>
      </c>
      <c r="B1379" s="8">
        <v>858.46379385446812</v>
      </c>
      <c r="F1379" s="7"/>
      <c r="G1379" s="7"/>
      <c r="M1379" s="10"/>
      <c r="P1379" s="11"/>
      <c r="Q1379" s="12"/>
    </row>
    <row r="1380" spans="1:17">
      <c r="A1380" s="14">
        <v>40731</v>
      </c>
      <c r="B1380" s="8">
        <v>865.72401641236445</v>
      </c>
      <c r="F1380" s="7"/>
      <c r="G1380" s="7"/>
      <c r="M1380" s="10"/>
      <c r="P1380" s="11"/>
      <c r="Q1380" s="12"/>
    </row>
    <row r="1381" spans="1:17">
      <c r="A1381" s="14">
        <v>40732</v>
      </c>
      <c r="B1381" s="8">
        <v>854.46960665726726</v>
      </c>
      <c r="F1381" s="7"/>
      <c r="G1381" s="7"/>
      <c r="M1381" s="10"/>
      <c r="P1381" s="11"/>
      <c r="Q1381" s="12"/>
    </row>
    <row r="1382" spans="1:17">
      <c r="A1382" s="14">
        <v>40735</v>
      </c>
      <c r="B1382" s="8">
        <v>837.04718902956336</v>
      </c>
      <c r="F1382" s="7"/>
      <c r="G1382" s="7"/>
      <c r="M1382" s="10"/>
      <c r="P1382" s="11"/>
      <c r="Q1382" s="12"/>
    </row>
    <row r="1383" spans="1:17">
      <c r="A1383" s="14">
        <v>40736</v>
      </c>
      <c r="B1383" s="8">
        <v>833.4891946203652</v>
      </c>
      <c r="F1383" s="7"/>
      <c r="G1383" s="7"/>
      <c r="M1383" s="10"/>
      <c r="P1383" s="11"/>
      <c r="Q1383" s="12"/>
    </row>
    <row r="1384" spans="1:17">
      <c r="A1384" s="14">
        <v>40737</v>
      </c>
      <c r="B1384" s="8">
        <v>834.13888856816516</v>
      </c>
      <c r="F1384" s="7"/>
      <c r="G1384" s="7"/>
      <c r="M1384" s="10"/>
      <c r="P1384" s="11"/>
      <c r="Q1384" s="12"/>
    </row>
    <row r="1385" spans="1:17">
      <c r="A1385" s="14">
        <v>40738</v>
      </c>
      <c r="B1385" s="8">
        <v>825.51053410549264</v>
      </c>
      <c r="F1385" s="7"/>
      <c r="G1385" s="7"/>
      <c r="M1385" s="10"/>
      <c r="P1385" s="11"/>
      <c r="Q1385" s="12"/>
    </row>
    <row r="1386" spans="1:17">
      <c r="A1386" s="14">
        <v>40739</v>
      </c>
      <c r="B1386" s="8">
        <v>824.93823992594469</v>
      </c>
      <c r="F1386" s="7"/>
      <c r="G1386" s="7"/>
      <c r="M1386" s="10"/>
      <c r="P1386" s="11"/>
      <c r="Q1386" s="12"/>
    </row>
    <row r="1387" spans="1:17">
      <c r="A1387" s="14">
        <v>40742</v>
      </c>
      <c r="B1387" s="8">
        <v>812.4927318208845</v>
      </c>
      <c r="F1387" s="7"/>
      <c r="G1387" s="7"/>
      <c r="M1387" s="10"/>
      <c r="P1387" s="11"/>
      <c r="Q1387" s="12"/>
    </row>
    <row r="1388" spans="1:17">
      <c r="A1388" s="14">
        <v>40743</v>
      </c>
      <c r="B1388" s="8">
        <v>823.09483081265046</v>
      </c>
      <c r="F1388" s="7"/>
      <c r="G1388" s="7"/>
      <c r="M1388" s="10"/>
      <c r="P1388" s="11"/>
      <c r="Q1388" s="12"/>
    </row>
    <row r="1389" spans="1:17">
      <c r="A1389" s="14">
        <v>40744</v>
      </c>
      <c r="B1389" s="8">
        <v>830.23149987139277</v>
      </c>
      <c r="F1389" s="7"/>
      <c r="G1389" s="7"/>
      <c r="M1389" s="10"/>
      <c r="P1389" s="11"/>
      <c r="Q1389" s="12"/>
    </row>
    <row r="1390" spans="1:17">
      <c r="A1390" s="14">
        <v>40745</v>
      </c>
      <c r="B1390" s="8">
        <v>840.66162390965781</v>
      </c>
      <c r="F1390" s="7"/>
      <c r="G1390" s="7"/>
      <c r="M1390" s="10"/>
      <c r="P1390" s="11"/>
      <c r="Q1390" s="12"/>
    </row>
    <row r="1391" spans="1:17">
      <c r="A1391" s="14">
        <v>40746</v>
      </c>
      <c r="B1391" s="8">
        <v>843.2434797856946</v>
      </c>
      <c r="F1391" s="7"/>
      <c r="G1391" s="7"/>
      <c r="M1391" s="10"/>
      <c r="P1391" s="11"/>
      <c r="Q1391" s="12"/>
    </row>
    <row r="1392" spans="1:17">
      <c r="A1392" s="14">
        <v>40749</v>
      </c>
      <c r="B1392" s="8">
        <v>834.25898832363998</v>
      </c>
      <c r="F1392" s="7"/>
      <c r="G1392" s="7"/>
      <c r="M1392" s="10"/>
      <c r="P1392" s="11"/>
      <c r="Q1392" s="12"/>
    </row>
    <row r="1393" spans="1:17">
      <c r="A1393" s="14">
        <v>40750</v>
      </c>
      <c r="B1393" s="8">
        <v>827.52649140185963</v>
      </c>
      <c r="F1393" s="7"/>
      <c r="G1393" s="7"/>
      <c r="M1393" s="10"/>
      <c r="P1393" s="11"/>
      <c r="Q1393" s="12"/>
    </row>
    <row r="1394" spans="1:17">
      <c r="A1394" s="14">
        <v>40751</v>
      </c>
      <c r="B1394" s="8">
        <v>813.55385035819256</v>
      </c>
      <c r="F1394" s="7"/>
      <c r="G1394" s="7"/>
      <c r="M1394" s="10"/>
      <c r="P1394" s="11"/>
      <c r="Q1394" s="12"/>
    </row>
    <row r="1395" spans="1:17">
      <c r="A1395" s="14">
        <v>40752</v>
      </c>
      <c r="B1395" s="8">
        <v>813.0737380331077</v>
      </c>
      <c r="F1395" s="7"/>
      <c r="G1395" s="7"/>
      <c r="M1395" s="10"/>
      <c r="P1395" s="11"/>
      <c r="Q1395" s="12"/>
    </row>
    <row r="1396" spans="1:17">
      <c r="A1396" s="14">
        <v>40753</v>
      </c>
      <c r="B1396" s="8">
        <v>805.24829853632923</v>
      </c>
      <c r="F1396" s="7"/>
      <c r="G1396" s="7"/>
      <c r="M1396" s="10"/>
      <c r="P1396" s="11"/>
      <c r="Q1396" s="12"/>
    </row>
    <row r="1397" spans="1:17">
      <c r="A1397" s="14">
        <v>40756</v>
      </c>
      <c r="B1397" s="8">
        <v>793.30626645254301</v>
      </c>
      <c r="F1397" s="7"/>
      <c r="G1397" s="7"/>
      <c r="M1397" s="10"/>
      <c r="P1397" s="11"/>
      <c r="Q1397" s="12"/>
    </row>
    <row r="1398" spans="1:17">
      <c r="A1398" s="14">
        <v>40757</v>
      </c>
      <c r="B1398" s="8">
        <v>773.05314362897241</v>
      </c>
      <c r="F1398" s="7"/>
      <c r="G1398" s="7"/>
      <c r="M1398" s="10"/>
      <c r="P1398" s="11"/>
      <c r="Q1398" s="12"/>
    </row>
    <row r="1399" spans="1:17">
      <c r="A1399" s="14">
        <v>40758</v>
      </c>
      <c r="B1399" s="8">
        <v>764.90994433457024</v>
      </c>
      <c r="F1399" s="7"/>
      <c r="G1399" s="7"/>
      <c r="M1399" s="10"/>
      <c r="P1399" s="11"/>
      <c r="Q1399" s="12"/>
    </row>
    <row r="1400" spans="1:17">
      <c r="A1400" s="14">
        <v>40759</v>
      </c>
      <c r="B1400" s="8">
        <v>731.66224912430607</v>
      </c>
      <c r="F1400" s="7"/>
      <c r="G1400" s="7"/>
      <c r="M1400" s="10"/>
      <c r="P1400" s="11"/>
      <c r="Q1400" s="12"/>
    </row>
    <row r="1401" spans="1:17">
      <c r="A1401" s="14">
        <v>40760</v>
      </c>
      <c r="B1401" s="8">
        <v>722.86267573018972</v>
      </c>
      <c r="F1401" s="7"/>
      <c r="G1401" s="7"/>
      <c r="M1401" s="10"/>
      <c r="P1401" s="11"/>
      <c r="Q1401" s="12"/>
    </row>
    <row r="1402" spans="1:17">
      <c r="A1402" s="14">
        <v>40763</v>
      </c>
      <c r="B1402" s="8">
        <v>679.50500443617273</v>
      </c>
      <c r="F1402" s="7"/>
      <c r="G1402" s="7"/>
      <c r="M1402" s="10"/>
      <c r="P1402" s="11"/>
      <c r="Q1402" s="12"/>
    </row>
    <row r="1403" spans="1:17">
      <c r="A1403" s="14">
        <v>40764</v>
      </c>
      <c r="B1403" s="8">
        <v>700.52050349937622</v>
      </c>
      <c r="F1403" s="7"/>
      <c r="G1403" s="7"/>
      <c r="M1403" s="10"/>
      <c r="P1403" s="11"/>
      <c r="Q1403" s="12"/>
    </row>
    <row r="1404" spans="1:17">
      <c r="A1404" s="14">
        <v>40765</v>
      </c>
      <c r="B1404" s="8">
        <v>662.76974529928509</v>
      </c>
      <c r="F1404" s="7"/>
      <c r="G1404" s="7"/>
      <c r="M1404" s="10"/>
      <c r="P1404" s="11"/>
      <c r="Q1404" s="12"/>
    </row>
    <row r="1405" spans="1:17">
      <c r="A1405" s="14">
        <v>40766</v>
      </c>
      <c r="B1405" s="8">
        <v>690.51188194957172</v>
      </c>
      <c r="F1405" s="7"/>
      <c r="G1405" s="7"/>
      <c r="M1405" s="10"/>
      <c r="P1405" s="11"/>
      <c r="Q1405" s="12"/>
    </row>
    <row r="1406" spans="1:17">
      <c r="A1406" s="14">
        <v>40767</v>
      </c>
      <c r="B1406" s="8">
        <v>707.15366777174791</v>
      </c>
      <c r="F1406" s="7"/>
      <c r="G1406" s="7"/>
      <c r="M1406" s="10"/>
      <c r="P1406" s="11"/>
      <c r="Q1406" s="12"/>
    </row>
    <row r="1407" spans="1:17">
      <c r="A1407" s="14">
        <v>40770</v>
      </c>
      <c r="B1407" s="8">
        <v>713.69605283024055</v>
      </c>
      <c r="F1407" s="7"/>
      <c r="G1407" s="7"/>
      <c r="M1407" s="10"/>
      <c r="P1407" s="11"/>
      <c r="Q1407" s="12"/>
    </row>
    <row r="1408" spans="1:17">
      <c r="A1408" s="14">
        <v>40771</v>
      </c>
      <c r="B1408" s="8">
        <v>709.6886090695557</v>
      </c>
      <c r="F1408" s="7"/>
      <c r="G1408" s="7"/>
      <c r="M1408" s="10"/>
      <c r="P1408" s="11"/>
      <c r="Q1408" s="12"/>
    </row>
    <row r="1409" spans="1:17">
      <c r="A1409" s="14">
        <v>40772</v>
      </c>
      <c r="B1409" s="8">
        <v>708.92472202776798</v>
      </c>
      <c r="F1409" s="7"/>
      <c r="G1409" s="7"/>
      <c r="M1409" s="10"/>
      <c r="P1409" s="11"/>
      <c r="Q1409" s="12"/>
    </row>
    <row r="1410" spans="1:17">
      <c r="A1410" s="14">
        <v>40773</v>
      </c>
      <c r="B1410" s="8">
        <v>671.49753547315368</v>
      </c>
      <c r="F1410" s="7"/>
      <c r="G1410" s="7"/>
      <c r="M1410" s="10"/>
      <c r="P1410" s="11"/>
      <c r="Q1410" s="12"/>
    </row>
    <row r="1411" spans="1:17">
      <c r="A1411" s="14">
        <v>40774</v>
      </c>
      <c r="B1411" s="8">
        <v>656.95185418383733</v>
      </c>
      <c r="F1411" s="7"/>
      <c r="G1411" s="7"/>
      <c r="M1411" s="10"/>
      <c r="P1411" s="11"/>
      <c r="Q1411" s="12"/>
    </row>
    <row r="1412" spans="1:17">
      <c r="A1412" s="14">
        <v>40777</v>
      </c>
      <c r="B1412" s="8">
        <v>660.95119063119216</v>
      </c>
      <c r="F1412" s="7"/>
      <c r="G1412" s="7"/>
      <c r="M1412" s="10"/>
      <c r="P1412" s="11"/>
      <c r="Q1412" s="12"/>
    </row>
    <row r="1413" spans="1:17">
      <c r="A1413" s="14">
        <v>40778</v>
      </c>
      <c r="B1413" s="8">
        <v>675.19986015312384</v>
      </c>
      <c r="F1413" s="7"/>
      <c r="G1413" s="7"/>
      <c r="M1413" s="10"/>
      <c r="P1413" s="11"/>
      <c r="Q1413" s="12"/>
    </row>
    <row r="1414" spans="1:17">
      <c r="A1414" s="14">
        <v>40779</v>
      </c>
      <c r="B1414" s="8">
        <v>687.69385253429834</v>
      </c>
      <c r="F1414" s="7"/>
      <c r="G1414" s="7"/>
      <c r="M1414" s="10"/>
      <c r="P1414" s="11"/>
      <c r="Q1414" s="12"/>
    </row>
    <row r="1415" spans="1:17">
      <c r="A1415" s="14">
        <v>40780</v>
      </c>
      <c r="B1415" s="8">
        <v>678.58213123395547</v>
      </c>
      <c r="F1415" s="7"/>
      <c r="G1415" s="7"/>
      <c r="M1415" s="10"/>
      <c r="P1415" s="11"/>
      <c r="Q1415" s="12"/>
    </row>
    <row r="1416" spans="1:17">
      <c r="A1416" s="14">
        <v>40781</v>
      </c>
      <c r="B1416" s="8">
        <v>678.55110165298856</v>
      </c>
      <c r="F1416" s="7"/>
      <c r="G1416" s="7"/>
      <c r="M1416" s="10"/>
      <c r="P1416" s="11"/>
      <c r="Q1416" s="12"/>
    </row>
    <row r="1417" spans="1:17">
      <c r="A1417" s="14">
        <v>40784</v>
      </c>
      <c r="B1417" s="8">
        <v>698.6178668902071</v>
      </c>
      <c r="F1417" s="7"/>
      <c r="G1417" s="7"/>
      <c r="M1417" s="10"/>
      <c r="P1417" s="11"/>
      <c r="Q1417" s="12"/>
    </row>
    <row r="1418" spans="1:17">
      <c r="A1418" s="14">
        <v>40785</v>
      </c>
      <c r="B1418" s="8">
        <v>702.74137593545504</v>
      </c>
      <c r="F1418" s="7"/>
      <c r="G1418" s="7"/>
      <c r="M1418" s="10"/>
      <c r="P1418" s="11"/>
      <c r="Q1418" s="12"/>
    </row>
    <row r="1419" spans="1:17">
      <c r="A1419" s="14">
        <v>40786</v>
      </c>
      <c r="B1419" s="8">
        <v>715.88508846151569</v>
      </c>
      <c r="F1419" s="7"/>
      <c r="G1419" s="7"/>
      <c r="M1419" s="10"/>
      <c r="P1419" s="11"/>
      <c r="Q1419" s="12"/>
    </row>
    <row r="1420" spans="1:17">
      <c r="A1420" s="14">
        <v>40787</v>
      </c>
      <c r="B1420" s="8">
        <v>714.44626867985835</v>
      </c>
      <c r="F1420" s="7"/>
      <c r="G1420" s="7"/>
      <c r="M1420" s="10"/>
      <c r="P1420" s="11"/>
      <c r="Q1420" s="12"/>
    </row>
    <row r="1421" spans="1:17">
      <c r="A1421" s="14">
        <v>40788</v>
      </c>
      <c r="B1421" s="8">
        <v>690.95686414599356</v>
      </c>
      <c r="F1421" s="7"/>
      <c r="G1421" s="7"/>
      <c r="M1421" s="10"/>
      <c r="P1421" s="11"/>
      <c r="Q1421" s="12"/>
    </row>
    <row r="1422" spans="1:17">
      <c r="A1422" s="14">
        <v>40792</v>
      </c>
      <c r="B1422" s="8">
        <v>670.16247574196564</v>
      </c>
      <c r="F1422" s="7"/>
      <c r="G1422" s="7"/>
      <c r="M1422" s="10"/>
      <c r="P1422" s="11"/>
      <c r="Q1422" s="12"/>
    </row>
    <row r="1423" spans="1:17">
      <c r="A1423" s="14">
        <v>40793</v>
      </c>
      <c r="B1423" s="8">
        <v>692.82474662913489</v>
      </c>
      <c r="F1423" s="7"/>
      <c r="G1423" s="7"/>
      <c r="M1423" s="10"/>
      <c r="P1423" s="11"/>
      <c r="Q1423" s="12"/>
    </row>
    <row r="1424" spans="1:17">
      <c r="A1424" s="14">
        <v>40794</v>
      </c>
      <c r="B1424" s="8">
        <v>693.58731370320288</v>
      </c>
      <c r="F1424" s="7"/>
      <c r="G1424" s="7"/>
      <c r="M1424" s="10"/>
      <c r="P1424" s="11"/>
      <c r="Q1424" s="12"/>
    </row>
    <row r="1425" spans="1:17">
      <c r="A1425" s="14">
        <v>40795</v>
      </c>
      <c r="B1425" s="8">
        <v>673.70540540450929</v>
      </c>
      <c r="F1425" s="7"/>
      <c r="G1425" s="7"/>
      <c r="M1425" s="10"/>
      <c r="P1425" s="11"/>
      <c r="Q1425" s="12"/>
    </row>
    <row r="1426" spans="1:17">
      <c r="A1426" s="14">
        <v>40798</v>
      </c>
      <c r="B1426" s="8">
        <v>663.15643985379199</v>
      </c>
      <c r="F1426" s="7"/>
      <c r="G1426" s="7"/>
      <c r="M1426" s="10"/>
      <c r="P1426" s="11"/>
      <c r="Q1426" s="12"/>
    </row>
    <row r="1427" spans="1:17">
      <c r="A1427" s="14">
        <v>40799</v>
      </c>
      <c r="B1427" s="8">
        <v>672.22510806012201</v>
      </c>
      <c r="F1427" s="7"/>
      <c r="G1427" s="7"/>
      <c r="M1427" s="10"/>
      <c r="P1427" s="11"/>
      <c r="Q1427" s="12"/>
    </row>
    <row r="1428" spans="1:17">
      <c r="A1428" s="14">
        <v>40800</v>
      </c>
      <c r="B1428" s="8">
        <v>686.41063177509329</v>
      </c>
      <c r="F1428" s="7"/>
      <c r="G1428" s="7"/>
      <c r="M1428" s="10"/>
      <c r="P1428" s="11"/>
      <c r="Q1428" s="12"/>
    </row>
    <row r="1429" spans="1:17">
      <c r="A1429" s="14">
        <v>40801</v>
      </c>
      <c r="B1429" s="8">
        <v>700.91544975474108</v>
      </c>
      <c r="F1429" s="7"/>
      <c r="G1429" s="7"/>
      <c r="M1429" s="10"/>
      <c r="P1429" s="11"/>
      <c r="Q1429" s="12"/>
    </row>
    <row r="1430" spans="1:17">
      <c r="A1430" s="14">
        <v>40802</v>
      </c>
      <c r="B1430" s="8">
        <v>704.20902011611236</v>
      </c>
      <c r="F1430" s="7"/>
      <c r="G1430" s="7"/>
      <c r="M1430" s="10"/>
      <c r="P1430" s="11"/>
      <c r="Q1430" s="12"/>
    </row>
    <row r="1431" spans="1:17">
      <c r="A1431" s="14">
        <v>40805</v>
      </c>
      <c r="B1431" s="8">
        <v>692.2509569871919</v>
      </c>
      <c r="F1431" s="7"/>
      <c r="G1431" s="7"/>
      <c r="M1431" s="10"/>
      <c r="P1431" s="11"/>
      <c r="Q1431" s="12"/>
    </row>
    <row r="1432" spans="1:17">
      <c r="A1432" s="14">
        <v>40806</v>
      </c>
      <c r="B1432" s="8">
        <v>697.16221963550674</v>
      </c>
      <c r="F1432" s="7"/>
      <c r="G1432" s="7"/>
      <c r="M1432" s="10"/>
      <c r="P1432" s="11"/>
      <c r="Q1432" s="12"/>
    </row>
    <row r="1433" spans="1:17">
      <c r="A1433" s="14">
        <v>40807</v>
      </c>
      <c r="B1433" s="8">
        <v>674.61672582225799</v>
      </c>
      <c r="F1433" s="7"/>
      <c r="G1433" s="7"/>
      <c r="M1433" s="10"/>
      <c r="P1433" s="11"/>
      <c r="Q1433" s="12"/>
    </row>
    <row r="1434" spans="1:17">
      <c r="A1434" s="14">
        <v>40808</v>
      </c>
      <c r="B1434" s="8">
        <v>649.9880699473548</v>
      </c>
      <c r="F1434" s="7"/>
      <c r="G1434" s="7"/>
      <c r="M1434" s="10"/>
      <c r="P1434" s="11"/>
      <c r="Q1434" s="12"/>
    </row>
    <row r="1435" spans="1:17">
      <c r="A1435" s="14">
        <v>40809</v>
      </c>
      <c r="B1435" s="8">
        <v>658.78104147240288</v>
      </c>
      <c r="F1435" s="7"/>
      <c r="G1435" s="7"/>
      <c r="M1435" s="10"/>
      <c r="P1435" s="11"/>
      <c r="Q1435" s="12"/>
    </row>
    <row r="1436" spans="1:17">
      <c r="A1436" s="14">
        <v>40812</v>
      </c>
      <c r="B1436" s="8">
        <v>678.20822474995384</v>
      </c>
      <c r="F1436" s="7"/>
      <c r="G1436" s="7"/>
      <c r="M1436" s="10"/>
      <c r="P1436" s="11"/>
      <c r="Q1436" s="12"/>
    </row>
    <row r="1437" spans="1:17">
      <c r="A1437" s="14">
        <v>40813</v>
      </c>
      <c r="B1437" s="8">
        <v>699.83190830569845</v>
      </c>
      <c r="F1437" s="7"/>
      <c r="G1437" s="7"/>
      <c r="M1437" s="10"/>
      <c r="P1437" s="11"/>
      <c r="Q1437" s="12"/>
    </row>
    <row r="1438" spans="1:17">
      <c r="A1438" s="14">
        <v>40814</v>
      </c>
      <c r="B1438" s="8">
        <v>685.57971209395157</v>
      </c>
      <c r="F1438" s="7"/>
      <c r="G1438" s="7"/>
      <c r="M1438" s="10"/>
      <c r="P1438" s="11"/>
      <c r="Q1438" s="12"/>
    </row>
    <row r="1439" spans="1:17">
      <c r="A1439" s="14">
        <v>40815</v>
      </c>
      <c r="B1439" s="8">
        <v>696.18389315154423</v>
      </c>
      <c r="F1439" s="7"/>
      <c r="G1439" s="7"/>
      <c r="M1439" s="10"/>
      <c r="P1439" s="11"/>
      <c r="Q1439" s="12"/>
    </row>
    <row r="1440" spans="1:17">
      <c r="A1440" s="14">
        <v>40816</v>
      </c>
      <c r="B1440" s="8">
        <v>682.5810764079323</v>
      </c>
      <c r="F1440" s="7"/>
      <c r="G1440" s="7"/>
      <c r="M1440" s="10"/>
      <c r="P1440" s="11"/>
      <c r="Q1440" s="12"/>
    </row>
    <row r="1441" spans="1:17">
      <c r="A1441" s="14">
        <v>40819</v>
      </c>
      <c r="B1441" s="8">
        <v>667.37141343466578</v>
      </c>
      <c r="F1441" s="7"/>
      <c r="G1441" s="7"/>
      <c r="M1441" s="10"/>
      <c r="P1441" s="11"/>
      <c r="Q1441" s="12"/>
    </row>
    <row r="1442" spans="1:17">
      <c r="A1442" s="14">
        <v>40820</v>
      </c>
      <c r="B1442" s="8">
        <v>668.6791121008398</v>
      </c>
      <c r="F1442" s="7"/>
      <c r="G1442" s="7"/>
      <c r="M1442" s="10"/>
      <c r="P1442" s="11"/>
      <c r="Q1442" s="12"/>
    </row>
    <row r="1443" spans="1:17">
      <c r="A1443" s="14">
        <v>40821</v>
      </c>
      <c r="B1443" s="8">
        <v>692.13695350773446</v>
      </c>
      <c r="F1443" s="7"/>
      <c r="G1443" s="7"/>
      <c r="M1443" s="10"/>
      <c r="P1443" s="11"/>
      <c r="Q1443" s="12"/>
    </row>
    <row r="1444" spans="1:17">
      <c r="A1444" s="14">
        <v>40822</v>
      </c>
      <c r="B1444" s="8">
        <v>710.59592779563582</v>
      </c>
      <c r="F1444" s="7"/>
      <c r="G1444" s="7"/>
      <c r="M1444" s="10"/>
      <c r="P1444" s="11"/>
      <c r="Q1444" s="12"/>
    </row>
    <row r="1445" spans="1:17">
      <c r="A1445" s="14">
        <v>40823</v>
      </c>
      <c r="B1445" s="8">
        <v>709.24781245241945</v>
      </c>
      <c r="F1445" s="7"/>
      <c r="G1445" s="7"/>
      <c r="M1445" s="10"/>
      <c r="P1445" s="11"/>
      <c r="Q1445" s="12"/>
    </row>
    <row r="1446" spans="1:17">
      <c r="A1446" s="14">
        <v>40826</v>
      </c>
      <c r="B1446" s="8">
        <v>724.54265470751204</v>
      </c>
      <c r="F1446" s="7"/>
      <c r="G1446" s="7"/>
      <c r="M1446" s="10"/>
      <c r="P1446" s="11"/>
      <c r="Q1446" s="12"/>
    </row>
    <row r="1447" spans="1:17">
      <c r="A1447" s="14">
        <v>40827</v>
      </c>
      <c r="B1447" s="8">
        <v>724.77750542673425</v>
      </c>
      <c r="F1447" s="7"/>
      <c r="G1447" s="7"/>
      <c r="M1447" s="10"/>
      <c r="P1447" s="11"/>
      <c r="Q1447" s="12"/>
    </row>
    <row r="1448" spans="1:17">
      <c r="A1448" s="14">
        <v>40828</v>
      </c>
      <c r="B1448" s="8">
        <v>734.91617103015449</v>
      </c>
      <c r="F1448" s="7"/>
      <c r="G1448" s="7"/>
      <c r="M1448" s="10"/>
      <c r="P1448" s="11"/>
      <c r="Q1448" s="12"/>
    </row>
    <row r="1449" spans="1:17">
      <c r="A1449" s="14">
        <v>40829</v>
      </c>
      <c r="B1449" s="8">
        <v>726.96303962324521</v>
      </c>
      <c r="F1449" s="7"/>
      <c r="G1449" s="7"/>
      <c r="M1449" s="10"/>
      <c r="P1449" s="11"/>
      <c r="Q1449" s="12"/>
    </row>
    <row r="1450" spans="1:17">
      <c r="A1450" s="14">
        <v>40830</v>
      </c>
      <c r="B1450" s="8">
        <v>734.24280812813424</v>
      </c>
      <c r="F1450" s="7"/>
      <c r="G1450" s="7"/>
      <c r="M1450" s="10"/>
      <c r="P1450" s="11"/>
      <c r="Q1450" s="12"/>
    </row>
    <row r="1451" spans="1:17">
      <c r="A1451" s="14">
        <v>40833</v>
      </c>
      <c r="B1451" s="8">
        <v>720.00915063889954</v>
      </c>
      <c r="F1451" s="7"/>
      <c r="G1451" s="7"/>
      <c r="M1451" s="10"/>
      <c r="P1451" s="11"/>
      <c r="Q1451" s="12"/>
    </row>
    <row r="1452" spans="1:17">
      <c r="A1452" s="14">
        <v>40834</v>
      </c>
      <c r="B1452" s="8">
        <v>728.55638920513616</v>
      </c>
      <c r="F1452" s="7"/>
      <c r="G1452" s="7"/>
      <c r="M1452" s="10"/>
      <c r="P1452" s="11"/>
      <c r="Q1452" s="12"/>
    </row>
    <row r="1453" spans="1:17">
      <c r="A1453" s="14">
        <v>40835</v>
      </c>
      <c r="B1453" s="8">
        <v>726.75776222438924</v>
      </c>
      <c r="F1453" s="7"/>
      <c r="G1453" s="7"/>
      <c r="M1453" s="10"/>
      <c r="P1453" s="11"/>
      <c r="Q1453" s="12"/>
    </row>
    <row r="1454" spans="1:17">
      <c r="A1454" s="14">
        <v>40836</v>
      </c>
      <c r="B1454" s="8">
        <v>720.4971213244952</v>
      </c>
      <c r="F1454" s="7"/>
      <c r="G1454" s="7"/>
      <c r="M1454" s="10"/>
      <c r="P1454" s="11"/>
      <c r="Q1454" s="12"/>
    </row>
    <row r="1455" spans="1:17">
      <c r="A1455" s="14">
        <v>40837</v>
      </c>
      <c r="B1455" s="8">
        <v>737.16726276328666</v>
      </c>
      <c r="F1455" s="7"/>
      <c r="G1455" s="7"/>
      <c r="M1455" s="10"/>
      <c r="P1455" s="11"/>
      <c r="Q1455" s="12"/>
    </row>
    <row r="1456" spans="1:17">
      <c r="A1456" s="14">
        <v>40840</v>
      </c>
      <c r="B1456" s="8">
        <v>748.81538239564554</v>
      </c>
      <c r="F1456" s="7"/>
      <c r="G1456" s="7"/>
      <c r="M1456" s="10"/>
      <c r="P1456" s="11"/>
      <c r="Q1456" s="12"/>
    </row>
    <row r="1457" spans="1:17">
      <c r="A1457" s="14">
        <v>40841</v>
      </c>
      <c r="B1457" s="8">
        <v>734.05452279296719</v>
      </c>
      <c r="F1457" s="7"/>
      <c r="G1457" s="7"/>
      <c r="M1457" s="10"/>
      <c r="P1457" s="11"/>
      <c r="Q1457" s="12"/>
    </row>
    <row r="1458" spans="1:17">
      <c r="A1458" s="14">
        <v>40842</v>
      </c>
      <c r="B1458" s="8">
        <v>739.42890257105682</v>
      </c>
      <c r="F1458" s="7"/>
      <c r="G1458" s="7"/>
      <c r="M1458" s="10"/>
      <c r="P1458" s="11"/>
      <c r="Q1458" s="12"/>
    </row>
    <row r="1459" spans="1:17">
      <c r="A1459" s="14">
        <v>40843</v>
      </c>
      <c r="B1459" s="8">
        <v>771.15187383541502</v>
      </c>
      <c r="F1459" s="7"/>
      <c r="G1459" s="7"/>
      <c r="M1459" s="10"/>
      <c r="P1459" s="11"/>
      <c r="Q1459" s="12"/>
    </row>
    <row r="1460" spans="1:17">
      <c r="A1460" s="14">
        <v>40844</v>
      </c>
      <c r="B1460" s="8">
        <v>769.20462944384406</v>
      </c>
      <c r="F1460" s="7"/>
      <c r="G1460" s="7"/>
      <c r="M1460" s="10"/>
      <c r="P1460" s="11"/>
      <c r="Q1460" s="12"/>
    </row>
    <row r="1461" spans="1:17">
      <c r="A1461" s="14">
        <v>40847</v>
      </c>
      <c r="B1461" s="8">
        <v>749.43037681096337</v>
      </c>
      <c r="F1461" s="7"/>
      <c r="G1461" s="7"/>
      <c r="M1461" s="10"/>
      <c r="P1461" s="11"/>
      <c r="Q1461" s="12"/>
    </row>
    <row r="1462" spans="1:17">
      <c r="A1462" s="14">
        <v>40848</v>
      </c>
      <c r="B1462" s="8">
        <v>719.60449438757269</v>
      </c>
      <c r="F1462" s="7"/>
      <c r="G1462" s="7"/>
      <c r="M1462" s="10"/>
      <c r="P1462" s="11"/>
      <c r="Q1462" s="12"/>
    </row>
    <row r="1463" spans="1:17">
      <c r="A1463" s="14">
        <v>40849</v>
      </c>
      <c r="B1463" s="8">
        <v>732.93189360808969</v>
      </c>
      <c r="F1463" s="7"/>
      <c r="G1463" s="7"/>
      <c r="M1463" s="10"/>
      <c r="P1463" s="11"/>
      <c r="Q1463" s="12"/>
    </row>
    <row r="1464" spans="1:17">
      <c r="A1464" s="14">
        <v>40850</v>
      </c>
      <c r="B1464" s="8">
        <v>749.56620235988237</v>
      </c>
      <c r="F1464" s="7"/>
      <c r="G1464" s="7"/>
      <c r="M1464" s="10"/>
      <c r="P1464" s="11"/>
      <c r="Q1464" s="12"/>
    </row>
    <row r="1465" spans="1:17">
      <c r="A1465" s="14">
        <v>40851</v>
      </c>
      <c r="B1465" s="8">
        <v>738.52390576849928</v>
      </c>
      <c r="F1465" s="7"/>
      <c r="G1465" s="7"/>
      <c r="M1465" s="10"/>
      <c r="P1465" s="11"/>
      <c r="Q1465" s="12"/>
    </row>
    <row r="1466" spans="1:17">
      <c r="A1466" s="14">
        <v>40854</v>
      </c>
      <c r="B1466" s="8">
        <v>739.73498175765496</v>
      </c>
      <c r="F1466" s="7"/>
      <c r="G1466" s="7"/>
      <c r="M1466" s="10"/>
      <c r="P1466" s="11"/>
      <c r="Q1466" s="12"/>
    </row>
    <row r="1467" spans="1:17">
      <c r="A1467" s="14">
        <v>40855</v>
      </c>
      <c r="B1467" s="8">
        <v>748.58088119693139</v>
      </c>
      <c r="F1467" s="7"/>
      <c r="G1467" s="7"/>
      <c r="M1467" s="10"/>
      <c r="P1467" s="11"/>
      <c r="Q1467" s="12"/>
    </row>
    <row r="1468" spans="1:17">
      <c r="A1468" s="14">
        <v>40856</v>
      </c>
      <c r="B1468" s="8">
        <v>726.17359744986709</v>
      </c>
      <c r="F1468" s="7"/>
      <c r="G1468" s="7"/>
      <c r="M1468" s="10"/>
      <c r="P1468" s="11"/>
      <c r="Q1468" s="12"/>
    </row>
    <row r="1469" spans="1:17">
      <c r="A1469" s="14">
        <v>40857</v>
      </c>
      <c r="B1469" s="8">
        <v>731.23638376193742</v>
      </c>
      <c r="F1469" s="7"/>
      <c r="G1469" s="7"/>
      <c r="M1469" s="10"/>
      <c r="P1469" s="11"/>
      <c r="Q1469" s="12"/>
    </row>
    <row r="1470" spans="1:17">
      <c r="A1470" s="14">
        <v>40858</v>
      </c>
      <c r="B1470" s="8">
        <v>749.48285697072845</v>
      </c>
      <c r="F1470" s="7"/>
      <c r="G1470" s="7"/>
      <c r="M1470" s="10"/>
      <c r="P1470" s="11"/>
      <c r="Q1470" s="12"/>
    </row>
    <row r="1471" spans="1:17">
      <c r="A1471" s="14">
        <v>40861</v>
      </c>
      <c r="B1471" s="8">
        <v>741.27425131017651</v>
      </c>
      <c r="F1471" s="7"/>
      <c r="G1471" s="7"/>
      <c r="M1471" s="10"/>
      <c r="P1471" s="11"/>
      <c r="Q1471" s="12"/>
    </row>
    <row r="1472" spans="1:17">
      <c r="A1472" s="14">
        <v>40862</v>
      </c>
      <c r="B1472" s="8">
        <v>738.73731300084103</v>
      </c>
      <c r="F1472" s="7"/>
      <c r="G1472" s="7"/>
      <c r="M1472" s="10"/>
      <c r="P1472" s="11"/>
      <c r="Q1472" s="12"/>
    </row>
    <row r="1473" spans="1:17">
      <c r="A1473" s="14">
        <v>40863</v>
      </c>
      <c r="B1473" s="8">
        <v>735.1072477133963</v>
      </c>
      <c r="F1473" s="7"/>
      <c r="G1473" s="7"/>
      <c r="M1473" s="10"/>
      <c r="P1473" s="11"/>
      <c r="Q1473" s="12"/>
    </row>
    <row r="1474" spans="1:17">
      <c r="A1474" s="14">
        <v>40864</v>
      </c>
      <c r="B1474" s="8">
        <v>723.29370722522174</v>
      </c>
      <c r="F1474" s="7"/>
      <c r="G1474" s="7"/>
      <c r="M1474" s="10"/>
      <c r="P1474" s="11"/>
      <c r="Q1474" s="12"/>
    </row>
    <row r="1475" spans="1:17">
      <c r="A1475" s="14">
        <v>40865</v>
      </c>
      <c r="B1475" s="8">
        <v>721.11554670785017</v>
      </c>
      <c r="F1475" s="7"/>
      <c r="G1475" s="7"/>
      <c r="M1475" s="10"/>
      <c r="P1475" s="11"/>
      <c r="Q1475" s="12"/>
    </row>
    <row r="1476" spans="1:17">
      <c r="A1476" s="14">
        <v>40868</v>
      </c>
      <c r="B1476" s="8">
        <v>700.13219505580435</v>
      </c>
      <c r="F1476" s="7"/>
      <c r="G1476" s="7"/>
      <c r="M1476" s="10"/>
      <c r="P1476" s="11"/>
      <c r="Q1476" s="12"/>
    </row>
    <row r="1477" spans="1:17">
      <c r="A1477" s="14">
        <v>40869</v>
      </c>
      <c r="B1477" s="8">
        <v>693.12740086973724</v>
      </c>
      <c r="F1477" s="7"/>
      <c r="G1477" s="7"/>
      <c r="M1477" s="10"/>
      <c r="P1477" s="11"/>
      <c r="Q1477" s="12"/>
    </row>
    <row r="1478" spans="1:17">
      <c r="A1478" s="14">
        <v>40870</v>
      </c>
      <c r="B1478" s="8">
        <v>680.53014663556246</v>
      </c>
      <c r="F1478" s="7"/>
      <c r="G1478" s="7"/>
      <c r="M1478" s="10"/>
      <c r="P1478" s="11"/>
      <c r="Q1478" s="12"/>
    </row>
    <row r="1479" spans="1:17">
      <c r="A1479" s="14">
        <v>40872</v>
      </c>
      <c r="B1479" s="8">
        <v>685.6685322022596</v>
      </c>
      <c r="F1479" s="7"/>
      <c r="G1479" s="7"/>
      <c r="M1479" s="10"/>
      <c r="P1479" s="11"/>
      <c r="Q1479" s="12"/>
    </row>
    <row r="1480" spans="1:17">
      <c r="A1480" s="14">
        <v>40875</v>
      </c>
      <c r="B1480" s="8">
        <v>715.54145462451652</v>
      </c>
      <c r="F1480" s="7"/>
      <c r="G1480" s="7"/>
      <c r="M1480" s="10"/>
      <c r="P1480" s="11"/>
      <c r="Q1480" s="12"/>
    </row>
    <row r="1481" spans="1:17">
      <c r="A1481" s="14">
        <v>40876</v>
      </c>
      <c r="B1481" s="8">
        <v>717.75604188627256</v>
      </c>
      <c r="F1481" s="7"/>
      <c r="G1481" s="7"/>
      <c r="M1481" s="10"/>
      <c r="P1481" s="11"/>
      <c r="Q1481" s="12"/>
    </row>
    <row r="1482" spans="1:17">
      <c r="A1482" s="14">
        <v>40877</v>
      </c>
      <c r="B1482" s="8">
        <v>749.98941908794302</v>
      </c>
      <c r="F1482" s="7"/>
      <c r="G1482" s="7"/>
      <c r="M1482" s="10"/>
      <c r="P1482" s="11"/>
      <c r="Q1482" s="12"/>
    </row>
    <row r="1483" spans="1:17">
      <c r="A1483" s="14">
        <v>40878</v>
      </c>
      <c r="B1483" s="8">
        <v>746.28977938227126</v>
      </c>
      <c r="F1483" s="7"/>
      <c r="G1483" s="7"/>
      <c r="M1483" s="10"/>
      <c r="P1483" s="11"/>
      <c r="Q1483" s="12"/>
    </row>
    <row r="1484" spans="1:17">
      <c r="A1484" s="14">
        <v>40879</v>
      </c>
      <c r="B1484" s="8">
        <v>752.20438142546539</v>
      </c>
      <c r="F1484" s="7"/>
      <c r="G1484" s="7"/>
      <c r="M1484" s="10"/>
      <c r="P1484" s="11"/>
      <c r="Q1484" s="12"/>
    </row>
    <row r="1485" spans="1:17">
      <c r="A1485" s="14">
        <v>40882</v>
      </c>
      <c r="B1485" s="8">
        <v>760.91073833575672</v>
      </c>
      <c r="F1485" s="7"/>
      <c r="G1485" s="7"/>
      <c r="M1485" s="10"/>
      <c r="P1485" s="11"/>
      <c r="Q1485" s="12"/>
    </row>
    <row r="1486" spans="1:17">
      <c r="A1486" s="14">
        <v>40883</v>
      </c>
      <c r="B1486" s="8">
        <v>758.60993149633862</v>
      </c>
      <c r="F1486" s="7"/>
      <c r="G1486" s="7"/>
      <c r="M1486" s="10"/>
      <c r="P1486" s="11"/>
      <c r="Q1486" s="12"/>
    </row>
    <row r="1487" spans="1:17">
      <c r="A1487" s="14">
        <v>40884</v>
      </c>
      <c r="B1487" s="8">
        <v>754.47041556232818</v>
      </c>
      <c r="F1487" s="7"/>
      <c r="G1487" s="7"/>
      <c r="M1487" s="10"/>
      <c r="P1487" s="11"/>
      <c r="Q1487" s="12"/>
    </row>
    <row r="1488" spans="1:17">
      <c r="A1488" s="14">
        <v>40885</v>
      </c>
      <c r="B1488" s="8">
        <v>735.80926159696287</v>
      </c>
      <c r="F1488" s="7"/>
      <c r="G1488" s="7"/>
      <c r="M1488" s="10"/>
      <c r="P1488" s="11"/>
      <c r="Q1488" s="12"/>
    </row>
    <row r="1489" spans="1:17">
      <c r="A1489" s="14">
        <v>40886</v>
      </c>
      <c r="B1489" s="8">
        <v>752.34933085411103</v>
      </c>
      <c r="F1489" s="7"/>
      <c r="G1489" s="7"/>
      <c r="M1489" s="10"/>
      <c r="P1489" s="11"/>
      <c r="Q1489" s="12"/>
    </row>
    <row r="1490" spans="1:17">
      <c r="A1490" s="14">
        <v>40889</v>
      </c>
      <c r="B1490" s="8">
        <v>737.246055922864</v>
      </c>
      <c r="F1490" s="7"/>
      <c r="G1490" s="7"/>
      <c r="M1490" s="10"/>
      <c r="P1490" s="11"/>
      <c r="Q1490" s="12"/>
    </row>
    <row r="1491" spans="1:17">
      <c r="A1491" s="14">
        <v>40890</v>
      </c>
      <c r="B1491" s="8">
        <v>733.63015841451613</v>
      </c>
      <c r="F1491" s="7"/>
      <c r="G1491" s="7"/>
      <c r="M1491" s="10"/>
      <c r="P1491" s="11"/>
      <c r="Q1491" s="12"/>
    </row>
    <row r="1492" spans="1:17">
      <c r="A1492" s="14">
        <v>40891</v>
      </c>
      <c r="B1492" s="8">
        <v>720.8103597809029</v>
      </c>
      <c r="F1492" s="7"/>
      <c r="G1492" s="7"/>
      <c r="M1492" s="10"/>
      <c r="P1492" s="11"/>
      <c r="Q1492" s="12"/>
    </row>
    <row r="1493" spans="1:17">
      <c r="A1493" s="14">
        <v>40892</v>
      </c>
      <c r="B1493" s="8">
        <v>726.02359883322299</v>
      </c>
      <c r="F1493" s="7"/>
      <c r="G1493" s="7"/>
      <c r="M1493" s="10"/>
      <c r="P1493" s="11"/>
      <c r="Q1493" s="12"/>
    </row>
    <row r="1494" spans="1:17">
      <c r="A1494" s="14">
        <v>40893</v>
      </c>
      <c r="B1494" s="8">
        <v>723.02561839929729</v>
      </c>
      <c r="F1494" s="7"/>
      <c r="G1494" s="7"/>
      <c r="M1494" s="10"/>
      <c r="P1494" s="11"/>
      <c r="Q1494" s="12"/>
    </row>
    <row r="1495" spans="1:17">
      <c r="A1495" s="14">
        <v>40896</v>
      </c>
      <c r="B1495" s="8">
        <v>717.03093732680497</v>
      </c>
      <c r="F1495" s="7"/>
      <c r="G1495" s="7"/>
      <c r="M1495" s="10"/>
      <c r="P1495" s="11"/>
      <c r="Q1495" s="12"/>
    </row>
    <row r="1496" spans="1:17">
      <c r="A1496" s="14">
        <v>40897</v>
      </c>
      <c r="B1496" s="8">
        <v>739.1699698017818</v>
      </c>
      <c r="F1496" s="7"/>
      <c r="G1496" s="7"/>
      <c r="M1496" s="10"/>
      <c r="P1496" s="11"/>
      <c r="Q1496" s="12"/>
    </row>
    <row r="1497" spans="1:17">
      <c r="A1497" s="14">
        <v>40898</v>
      </c>
      <c r="B1497" s="8">
        <v>737.20279506106112</v>
      </c>
      <c r="F1497" s="7"/>
      <c r="G1497" s="7"/>
      <c r="M1497" s="10"/>
      <c r="P1497" s="11"/>
      <c r="Q1497" s="12"/>
    </row>
    <row r="1498" spans="1:17">
      <c r="A1498" s="14">
        <v>40899</v>
      </c>
      <c r="B1498" s="8">
        <v>747.59023880149903</v>
      </c>
      <c r="F1498" s="7"/>
      <c r="G1498" s="7"/>
      <c r="M1498" s="10"/>
      <c r="P1498" s="11"/>
      <c r="Q1498" s="12"/>
    </row>
    <row r="1499" spans="1:17">
      <c r="A1499" s="14">
        <v>40900</v>
      </c>
      <c r="B1499" s="8">
        <v>752.91893293093619</v>
      </c>
      <c r="F1499" s="7"/>
      <c r="G1499" s="7"/>
      <c r="M1499" s="10"/>
      <c r="P1499" s="11"/>
      <c r="Q1499" s="12"/>
    </row>
    <row r="1500" spans="1:17">
      <c r="A1500" s="14">
        <v>40904</v>
      </c>
      <c r="B1500" s="8">
        <v>751.26185489202419</v>
      </c>
      <c r="F1500" s="7"/>
      <c r="G1500" s="7"/>
      <c r="M1500" s="10"/>
      <c r="P1500" s="11"/>
      <c r="Q1500" s="12"/>
    </row>
    <row r="1501" spans="1:17">
      <c r="A1501" s="14">
        <v>40905</v>
      </c>
      <c r="B1501" s="8">
        <v>742.64927670450277</v>
      </c>
      <c r="F1501" s="7"/>
      <c r="G1501" s="7"/>
      <c r="M1501" s="10"/>
      <c r="P1501" s="11"/>
      <c r="Q1501" s="12"/>
    </row>
    <row r="1502" spans="1:17">
      <c r="A1502" s="14">
        <v>40906</v>
      </c>
      <c r="B1502" s="8">
        <v>753.66406110225159</v>
      </c>
      <c r="F1502" s="7"/>
      <c r="G1502" s="7"/>
      <c r="M1502" s="10"/>
      <c r="P1502" s="11"/>
      <c r="Q1502" s="12"/>
    </row>
    <row r="1503" spans="1:17">
      <c r="A1503" s="14">
        <v>40907</v>
      </c>
      <c r="B1503" s="8">
        <v>756.17275418107272</v>
      </c>
      <c r="F1503" s="7"/>
      <c r="G1503" s="7"/>
      <c r="M1503" s="10"/>
      <c r="P1503" s="11"/>
      <c r="Q1503" s="12"/>
    </row>
    <row r="1504" spans="1:17">
      <c r="A1504" s="14">
        <v>40911</v>
      </c>
      <c r="B1504" s="8">
        <v>772.69182869176075</v>
      </c>
      <c r="F1504" s="7"/>
      <c r="G1504" s="7"/>
      <c r="M1504" s="10"/>
      <c r="P1504" s="11"/>
      <c r="Q1504" s="12"/>
    </row>
    <row r="1505" spans="1:17">
      <c r="A1505" s="14">
        <v>40912</v>
      </c>
      <c r="B1505" s="8">
        <v>767.29299521690507</v>
      </c>
      <c r="F1505" s="7"/>
      <c r="G1505" s="7"/>
      <c r="M1505" s="10"/>
      <c r="P1505" s="11"/>
      <c r="Q1505" s="12"/>
    </row>
    <row r="1506" spans="1:17">
      <c r="A1506" s="14">
        <v>40913</v>
      </c>
      <c r="B1506" s="8">
        <v>766.68112456300776</v>
      </c>
      <c r="F1506" s="7"/>
      <c r="G1506" s="7"/>
      <c r="M1506" s="10"/>
      <c r="P1506" s="11"/>
      <c r="Q1506" s="12"/>
    </row>
    <row r="1507" spans="1:17">
      <c r="A1507" s="14">
        <v>40914</v>
      </c>
      <c r="B1507" s="8">
        <v>764.34988919838304</v>
      </c>
      <c r="F1507" s="7"/>
      <c r="G1507" s="7"/>
      <c r="M1507" s="10"/>
      <c r="P1507" s="11"/>
      <c r="Q1507" s="12"/>
    </row>
    <row r="1508" spans="1:17">
      <c r="A1508" s="14">
        <v>40917</v>
      </c>
      <c r="B1508" s="8">
        <v>762.39572475607338</v>
      </c>
      <c r="F1508" s="7"/>
      <c r="G1508" s="7"/>
      <c r="M1508" s="10"/>
      <c r="P1508" s="11"/>
      <c r="Q1508" s="12"/>
    </row>
    <row r="1509" spans="1:17">
      <c r="A1509" s="14">
        <v>40918</v>
      </c>
      <c r="B1509" s="8">
        <v>778.71386190861836</v>
      </c>
      <c r="F1509" s="7"/>
      <c r="G1509" s="7"/>
      <c r="M1509" s="10"/>
      <c r="P1509" s="11"/>
      <c r="Q1509" s="12"/>
    </row>
    <row r="1510" spans="1:17">
      <c r="A1510" s="14">
        <v>40919</v>
      </c>
      <c r="B1510" s="8">
        <v>780.7726582019128</v>
      </c>
      <c r="F1510" s="7"/>
      <c r="G1510" s="7"/>
      <c r="M1510" s="10"/>
      <c r="P1510" s="11"/>
      <c r="Q1510" s="12"/>
    </row>
    <row r="1511" spans="1:17">
      <c r="A1511" s="14">
        <v>40920</v>
      </c>
      <c r="B1511" s="8">
        <v>780.04814029039278</v>
      </c>
      <c r="F1511" s="7"/>
      <c r="G1511" s="7"/>
      <c r="M1511" s="10"/>
      <c r="P1511" s="11"/>
      <c r="Q1511" s="12"/>
    </row>
    <row r="1512" spans="1:17">
      <c r="A1512" s="14">
        <v>40921</v>
      </c>
      <c r="B1512" s="8">
        <v>780.38266651883271</v>
      </c>
      <c r="F1512" s="7"/>
      <c r="G1512" s="7"/>
      <c r="M1512" s="10"/>
      <c r="P1512" s="11"/>
      <c r="Q1512" s="12"/>
    </row>
    <row r="1513" spans="1:17">
      <c r="A1513" s="14">
        <v>40925</v>
      </c>
      <c r="B1513" s="8">
        <v>790.19028910685358</v>
      </c>
      <c r="F1513" s="7"/>
      <c r="G1513" s="7"/>
      <c r="M1513" s="10"/>
      <c r="P1513" s="11"/>
      <c r="Q1513" s="12"/>
    </row>
    <row r="1514" spans="1:17">
      <c r="A1514" s="14">
        <v>40926</v>
      </c>
      <c r="B1514" s="8">
        <v>792.01907023671311</v>
      </c>
      <c r="F1514" s="7"/>
      <c r="G1514" s="7"/>
      <c r="M1514" s="10"/>
      <c r="P1514" s="11"/>
      <c r="Q1514" s="12"/>
    </row>
    <row r="1515" spans="1:17">
      <c r="A1515" s="14">
        <v>40927</v>
      </c>
      <c r="B1515" s="8">
        <v>801.55039555231974</v>
      </c>
      <c r="F1515" s="7"/>
      <c r="G1515" s="7"/>
      <c r="M1515" s="10"/>
      <c r="P1515" s="11"/>
      <c r="Q1515" s="12"/>
    </row>
    <row r="1516" spans="1:17">
      <c r="A1516" s="14">
        <v>40928</v>
      </c>
      <c r="B1516" s="8">
        <v>799.75737813089609</v>
      </c>
      <c r="F1516" s="7"/>
      <c r="G1516" s="7"/>
      <c r="M1516" s="10"/>
      <c r="P1516" s="11"/>
      <c r="Q1516" s="12"/>
    </row>
    <row r="1517" spans="1:17">
      <c r="A1517" s="14">
        <v>40931</v>
      </c>
      <c r="B1517" s="8">
        <v>800.37185009367988</v>
      </c>
      <c r="F1517" s="7"/>
      <c r="G1517" s="7"/>
      <c r="M1517" s="10"/>
      <c r="P1517" s="11"/>
      <c r="Q1517" s="12"/>
    </row>
    <row r="1518" spans="1:17">
      <c r="A1518" s="14">
        <v>40932</v>
      </c>
      <c r="B1518" s="8">
        <v>798.08252744451931</v>
      </c>
      <c r="F1518" s="7"/>
      <c r="G1518" s="7"/>
      <c r="M1518" s="10"/>
      <c r="P1518" s="11"/>
      <c r="Q1518" s="12"/>
    </row>
    <row r="1519" spans="1:17">
      <c r="A1519" s="14">
        <v>40933</v>
      </c>
      <c r="B1519" s="8">
        <v>799.79348942871252</v>
      </c>
      <c r="F1519" s="7"/>
      <c r="G1519" s="7"/>
      <c r="M1519" s="10"/>
      <c r="P1519" s="11"/>
      <c r="Q1519" s="12"/>
    </row>
    <row r="1520" spans="1:17">
      <c r="A1520" s="14">
        <v>40934</v>
      </c>
      <c r="B1520" s="8">
        <v>801.7269371896657</v>
      </c>
      <c r="F1520" s="7"/>
      <c r="G1520" s="7"/>
      <c r="M1520" s="10"/>
      <c r="P1520" s="11"/>
      <c r="Q1520" s="12"/>
    </row>
    <row r="1521" spans="1:17">
      <c r="A1521" s="14">
        <v>40935</v>
      </c>
      <c r="B1521" s="8">
        <v>796.29048551860024</v>
      </c>
      <c r="F1521" s="7"/>
      <c r="G1521" s="7"/>
      <c r="M1521" s="10"/>
      <c r="P1521" s="11"/>
      <c r="Q1521" s="12"/>
    </row>
    <row r="1522" spans="1:17">
      <c r="A1522" s="14">
        <v>40938</v>
      </c>
      <c r="B1522" s="8">
        <v>788.43584146050762</v>
      </c>
      <c r="F1522" s="7"/>
      <c r="G1522" s="7"/>
      <c r="M1522" s="10"/>
      <c r="P1522" s="11"/>
      <c r="Q1522" s="12"/>
    </row>
    <row r="1523" spans="1:17">
      <c r="A1523" s="14">
        <v>40939</v>
      </c>
      <c r="B1523" s="8">
        <v>792.19367690502884</v>
      </c>
      <c r="F1523" s="7"/>
      <c r="G1523" s="7"/>
      <c r="M1523" s="10"/>
      <c r="P1523" s="11"/>
      <c r="Q1523" s="12"/>
    </row>
    <row r="1524" spans="1:17">
      <c r="A1524" s="14">
        <v>40940</v>
      </c>
      <c r="B1524" s="8">
        <v>804.66931798998201</v>
      </c>
      <c r="F1524" s="7"/>
      <c r="G1524" s="7"/>
      <c r="M1524" s="10"/>
      <c r="P1524" s="11"/>
      <c r="Q1524" s="12"/>
    </row>
    <row r="1525" spans="1:17">
      <c r="A1525" s="14">
        <v>40941</v>
      </c>
      <c r="B1525" s="8">
        <v>807.78316668147875</v>
      </c>
      <c r="F1525" s="7"/>
      <c r="G1525" s="7"/>
      <c r="M1525" s="10"/>
      <c r="P1525" s="11"/>
      <c r="Q1525" s="12"/>
    </row>
    <row r="1526" spans="1:17">
      <c r="A1526" s="14">
        <v>40942</v>
      </c>
      <c r="B1526" s="8">
        <v>822.76506449627232</v>
      </c>
      <c r="F1526" s="7"/>
      <c r="G1526" s="7"/>
      <c r="M1526" s="10"/>
      <c r="P1526" s="11"/>
      <c r="Q1526" s="12"/>
    </row>
    <row r="1527" spans="1:17">
      <c r="A1527" s="14">
        <v>40945</v>
      </c>
      <c r="B1527" s="8">
        <v>820.37380563212162</v>
      </c>
      <c r="F1527" s="7"/>
      <c r="G1527" s="7"/>
      <c r="M1527" s="10"/>
      <c r="P1527" s="11"/>
      <c r="Q1527" s="12"/>
    </row>
    <row r="1528" spans="1:17">
      <c r="A1528" s="14">
        <v>40946</v>
      </c>
      <c r="B1528" s="8">
        <v>817.90681812557148</v>
      </c>
      <c r="F1528" s="7"/>
      <c r="G1528" s="7"/>
      <c r="M1528" s="10"/>
      <c r="P1528" s="11"/>
      <c r="Q1528" s="12"/>
    </row>
    <row r="1529" spans="1:17">
      <c r="A1529" s="14">
        <v>40947</v>
      </c>
      <c r="B1529" s="8">
        <v>819.49859082192643</v>
      </c>
      <c r="F1529" s="7"/>
      <c r="G1529" s="7"/>
      <c r="M1529" s="10"/>
      <c r="P1529" s="11"/>
      <c r="Q1529" s="12"/>
    </row>
    <row r="1530" spans="1:17">
      <c r="A1530" s="14">
        <v>40948</v>
      </c>
      <c r="B1530" s="8">
        <v>820.95671786595847</v>
      </c>
      <c r="F1530" s="7"/>
      <c r="G1530" s="7"/>
      <c r="M1530" s="10"/>
      <c r="P1530" s="11"/>
      <c r="Q1530" s="12"/>
    </row>
    <row r="1531" spans="1:17">
      <c r="A1531" s="14">
        <v>40949</v>
      </c>
      <c r="B1531" s="8">
        <v>812.24463802101809</v>
      </c>
      <c r="F1531" s="7"/>
      <c r="G1531" s="7"/>
      <c r="M1531" s="10"/>
      <c r="P1531" s="11"/>
      <c r="Q1531" s="12"/>
    </row>
    <row r="1532" spans="1:17">
      <c r="A1532" s="14">
        <v>40952</v>
      </c>
      <c r="B1532" s="8">
        <v>815.84324776606127</v>
      </c>
      <c r="F1532" s="7"/>
      <c r="G1532" s="7"/>
      <c r="M1532" s="10"/>
      <c r="P1532" s="11"/>
      <c r="Q1532" s="12"/>
    </row>
    <row r="1533" spans="1:17">
      <c r="A1533" s="14">
        <v>40953</v>
      </c>
      <c r="B1533" s="8">
        <v>817.43432084601091</v>
      </c>
      <c r="F1533" s="7"/>
      <c r="G1533" s="7"/>
      <c r="M1533" s="10"/>
      <c r="P1533" s="11"/>
      <c r="Q1533" s="12"/>
    </row>
    <row r="1534" spans="1:17">
      <c r="A1534" s="14">
        <v>40954</v>
      </c>
      <c r="B1534" s="8">
        <v>819.27126884613665</v>
      </c>
      <c r="F1534" s="7"/>
      <c r="G1534" s="7"/>
      <c r="M1534" s="10"/>
      <c r="P1534" s="11"/>
      <c r="Q1534" s="12"/>
    </row>
    <row r="1535" spans="1:17">
      <c r="A1535" s="14">
        <v>40955</v>
      </c>
      <c r="B1535" s="8">
        <v>822.47684244062623</v>
      </c>
      <c r="F1535" s="7"/>
      <c r="G1535" s="7"/>
      <c r="M1535" s="10"/>
      <c r="P1535" s="11"/>
      <c r="Q1535" s="12"/>
    </row>
    <row r="1536" spans="1:17">
      <c r="A1536" s="14">
        <v>40956</v>
      </c>
      <c r="B1536" s="8">
        <v>828.37903250608292</v>
      </c>
      <c r="F1536" s="7"/>
      <c r="G1536" s="7"/>
      <c r="M1536" s="10"/>
      <c r="P1536" s="11"/>
      <c r="Q1536" s="12"/>
    </row>
    <row r="1537" spans="1:17">
      <c r="A1537" s="14">
        <v>40960</v>
      </c>
      <c r="B1537" s="8">
        <v>827.07744205198014</v>
      </c>
      <c r="F1537" s="7"/>
      <c r="G1537" s="7"/>
      <c r="M1537" s="10"/>
      <c r="P1537" s="11"/>
      <c r="Q1537" s="12"/>
    </row>
    <row r="1538" spans="1:17">
      <c r="A1538" s="14">
        <v>40961</v>
      </c>
      <c r="B1538" s="8">
        <v>820.20236762704667</v>
      </c>
      <c r="F1538" s="7"/>
      <c r="G1538" s="7"/>
      <c r="M1538" s="10"/>
      <c r="P1538" s="11"/>
      <c r="Q1538" s="12"/>
    </row>
    <row r="1539" spans="1:17">
      <c r="A1539" s="14">
        <v>40962</v>
      </c>
      <c r="B1539" s="8">
        <v>818.1819766838679</v>
      </c>
      <c r="F1539" s="7"/>
      <c r="G1539" s="7"/>
      <c r="M1539" s="10"/>
      <c r="P1539" s="11"/>
      <c r="Q1539" s="12"/>
    </row>
    <row r="1540" spans="1:17">
      <c r="A1540" s="14">
        <v>40963</v>
      </c>
      <c r="B1540" s="8">
        <v>817.77936757501516</v>
      </c>
      <c r="F1540" s="7"/>
      <c r="G1540" s="7"/>
      <c r="M1540" s="10"/>
      <c r="P1540" s="11"/>
      <c r="Q1540" s="12"/>
    </row>
    <row r="1541" spans="1:17">
      <c r="A1541" s="14">
        <v>40966</v>
      </c>
      <c r="B1541" s="8">
        <v>817.12045507970618</v>
      </c>
      <c r="F1541" s="7"/>
      <c r="G1541" s="7"/>
      <c r="M1541" s="10"/>
      <c r="P1541" s="11"/>
      <c r="Q1541" s="12"/>
    </row>
    <row r="1542" spans="1:17">
      <c r="A1542" s="14">
        <v>40967</v>
      </c>
      <c r="B1542" s="8">
        <v>817.19488745552133</v>
      </c>
      <c r="F1542" s="7"/>
      <c r="G1542" s="7"/>
      <c r="M1542" s="10"/>
      <c r="P1542" s="11"/>
      <c r="Q1542" s="12"/>
    </row>
    <row r="1543" spans="1:17">
      <c r="A1543" s="14">
        <v>40968</v>
      </c>
      <c r="B1543" s="8">
        <v>816.09860037405576</v>
      </c>
      <c r="F1543" s="7"/>
      <c r="G1543" s="7"/>
      <c r="M1543" s="10"/>
      <c r="P1543" s="11"/>
      <c r="Q1543" s="12"/>
    </row>
    <row r="1544" spans="1:17">
      <c r="A1544" s="14">
        <v>40969</v>
      </c>
      <c r="B1544" s="8">
        <v>826.21210222367961</v>
      </c>
      <c r="F1544" s="7"/>
      <c r="G1544" s="7"/>
      <c r="M1544" s="10"/>
      <c r="P1544" s="11"/>
      <c r="Q1544" s="12"/>
    </row>
    <row r="1545" spans="1:17">
      <c r="A1545" s="14">
        <v>40970</v>
      </c>
      <c r="B1545" s="8">
        <v>827.21847106755774</v>
      </c>
      <c r="F1545" s="7"/>
      <c r="G1545" s="7"/>
      <c r="M1545" s="10"/>
      <c r="P1545" s="11"/>
      <c r="Q1545" s="12"/>
    </row>
    <row r="1546" spans="1:17">
      <c r="A1546" s="14">
        <v>40973</v>
      </c>
      <c r="B1546" s="8">
        <v>820.25837218381605</v>
      </c>
      <c r="F1546" s="7"/>
      <c r="G1546" s="7"/>
      <c r="M1546" s="10"/>
      <c r="P1546" s="11"/>
      <c r="Q1546" s="12"/>
    </row>
    <row r="1547" spans="1:17">
      <c r="A1547" s="14">
        <v>40974</v>
      </c>
      <c r="B1547" s="8">
        <v>799.55067285957875</v>
      </c>
      <c r="F1547" s="7"/>
      <c r="G1547" s="7"/>
      <c r="M1547" s="10"/>
      <c r="P1547" s="11"/>
      <c r="Q1547" s="12"/>
    </row>
    <row r="1548" spans="1:17">
      <c r="A1548" s="14">
        <v>40975</v>
      </c>
      <c r="B1548" s="8">
        <v>806.06862668438248</v>
      </c>
      <c r="F1548" s="7"/>
      <c r="G1548" s="7"/>
      <c r="M1548" s="10"/>
      <c r="P1548" s="11"/>
      <c r="Q1548" s="12"/>
    </row>
    <row r="1549" spans="1:17">
      <c r="A1549" s="14">
        <v>40976</v>
      </c>
      <c r="B1549" s="8">
        <v>816.70274378202407</v>
      </c>
      <c r="F1549" s="7"/>
      <c r="G1549" s="7"/>
      <c r="M1549" s="10"/>
      <c r="P1549" s="11"/>
      <c r="Q1549" s="12"/>
    </row>
    <row r="1550" spans="1:17">
      <c r="A1550" s="14">
        <v>40977</v>
      </c>
      <c r="B1550" s="8">
        <v>824.51426496727163</v>
      </c>
      <c r="F1550" s="7"/>
      <c r="G1550" s="7"/>
      <c r="M1550" s="10"/>
      <c r="P1550" s="11"/>
      <c r="Q1550" s="12"/>
    </row>
    <row r="1551" spans="1:17">
      <c r="A1551" s="14">
        <v>40980</v>
      </c>
      <c r="B1551" s="8">
        <v>821.64488446385201</v>
      </c>
      <c r="F1551" s="7"/>
      <c r="G1551" s="7"/>
      <c r="M1551" s="10"/>
      <c r="P1551" s="11"/>
      <c r="Q1551" s="12"/>
    </row>
    <row r="1552" spans="1:17">
      <c r="A1552" s="14">
        <v>40981</v>
      </c>
      <c r="B1552" s="8">
        <v>838.65830134407406</v>
      </c>
      <c r="F1552" s="7"/>
      <c r="G1552" s="7"/>
      <c r="M1552" s="10"/>
      <c r="P1552" s="11"/>
      <c r="Q1552" s="12"/>
    </row>
    <row r="1553" spans="1:17">
      <c r="A1553" s="14">
        <v>40982</v>
      </c>
      <c r="B1553" s="8">
        <v>843.79798065130751</v>
      </c>
      <c r="F1553" s="7"/>
      <c r="G1553" s="7"/>
      <c r="M1553" s="10"/>
      <c r="P1553" s="11"/>
      <c r="Q1553" s="12"/>
    </row>
    <row r="1554" spans="1:17">
      <c r="A1554" s="14">
        <v>40983</v>
      </c>
      <c r="B1554" s="8">
        <v>848.6247846644784</v>
      </c>
      <c r="F1554" s="7"/>
      <c r="G1554" s="7"/>
      <c r="M1554" s="10"/>
      <c r="P1554" s="11"/>
      <c r="Q1554" s="12"/>
    </row>
    <row r="1555" spans="1:17">
      <c r="A1555" s="14">
        <v>40984</v>
      </c>
      <c r="B1555" s="8">
        <v>849.70683720635679</v>
      </c>
      <c r="F1555" s="7"/>
      <c r="G1555" s="7"/>
      <c r="M1555" s="10"/>
      <c r="P1555" s="11"/>
      <c r="Q1555" s="12"/>
    </row>
    <row r="1556" spans="1:17">
      <c r="A1556" s="14">
        <v>40987</v>
      </c>
      <c r="B1556" s="8">
        <v>848.00178263805299</v>
      </c>
      <c r="F1556" s="7"/>
      <c r="G1556" s="7"/>
      <c r="M1556" s="10"/>
      <c r="P1556" s="11"/>
      <c r="Q1556" s="12"/>
    </row>
    <row r="1557" spans="1:17">
      <c r="A1557" s="14">
        <v>40988</v>
      </c>
      <c r="B1557" s="8">
        <v>840.51103407182086</v>
      </c>
      <c r="F1557" s="7"/>
      <c r="G1557" s="7"/>
      <c r="M1557" s="10"/>
      <c r="P1557" s="11"/>
      <c r="Q1557" s="12"/>
    </row>
    <row r="1558" spans="1:17">
      <c r="A1558" s="14">
        <v>40989</v>
      </c>
      <c r="B1558" s="8">
        <v>839.51361057393149</v>
      </c>
      <c r="F1558" s="7"/>
      <c r="G1558" s="7"/>
      <c r="M1558" s="10"/>
      <c r="P1558" s="11"/>
      <c r="Q1558" s="12"/>
    </row>
    <row r="1559" spans="1:17">
      <c r="A1559" s="14">
        <v>40990</v>
      </c>
      <c r="B1559" s="8">
        <v>829.09708751377354</v>
      </c>
      <c r="F1559" s="7"/>
      <c r="G1559" s="7"/>
      <c r="M1559" s="10"/>
      <c r="P1559" s="11"/>
      <c r="Q1559" s="12"/>
    </row>
    <row r="1560" spans="1:17">
      <c r="A1560" s="14">
        <v>40991</v>
      </c>
      <c r="B1560" s="8">
        <v>827.47633590537032</v>
      </c>
      <c r="F1560" s="7"/>
      <c r="G1560" s="7"/>
      <c r="M1560" s="10"/>
      <c r="P1560" s="11"/>
      <c r="Q1560" s="12"/>
    </row>
    <row r="1561" spans="1:17">
      <c r="A1561" s="14">
        <v>40994</v>
      </c>
      <c r="B1561" s="8">
        <v>833.30864719495435</v>
      </c>
      <c r="F1561" s="7"/>
      <c r="G1561" s="7"/>
      <c r="M1561" s="10"/>
      <c r="P1561" s="11"/>
      <c r="Q1561" s="12"/>
    </row>
    <row r="1562" spans="1:17">
      <c r="A1562" s="14">
        <v>40995</v>
      </c>
      <c r="B1562" s="8">
        <v>830.13319091086714</v>
      </c>
      <c r="F1562" s="7"/>
      <c r="G1562" s="7"/>
      <c r="M1562" s="10"/>
      <c r="P1562" s="11"/>
      <c r="Q1562" s="12"/>
    </row>
    <row r="1563" spans="1:17">
      <c r="A1563" s="14">
        <v>40996</v>
      </c>
      <c r="B1563" s="8">
        <v>822.82257449169776</v>
      </c>
      <c r="F1563" s="7"/>
      <c r="G1563" s="7"/>
      <c r="M1563" s="10"/>
      <c r="P1563" s="11"/>
      <c r="Q1563" s="12"/>
    </row>
    <row r="1564" spans="1:17">
      <c r="A1564" s="14">
        <v>40997</v>
      </c>
      <c r="B1564" s="8">
        <v>814.57325246398352</v>
      </c>
      <c r="F1564" s="7"/>
      <c r="G1564" s="7"/>
      <c r="M1564" s="10"/>
      <c r="P1564" s="11"/>
      <c r="Q1564" s="12"/>
    </row>
    <row r="1565" spans="1:17">
      <c r="A1565" s="14">
        <v>40998</v>
      </c>
      <c r="B1565" s="8">
        <v>818.37932466982829</v>
      </c>
      <c r="F1565" s="7"/>
      <c r="G1565" s="7"/>
      <c r="M1565" s="10"/>
      <c r="P1565" s="11"/>
      <c r="Q1565" s="12"/>
    </row>
    <row r="1566" spans="1:17">
      <c r="A1566" s="14">
        <v>41001</v>
      </c>
      <c r="B1566" s="8">
        <v>825.07479496650376</v>
      </c>
      <c r="F1566" s="7"/>
      <c r="G1566" s="7"/>
      <c r="M1566" s="10"/>
      <c r="P1566" s="11"/>
      <c r="Q1566" s="12"/>
    </row>
    <row r="1567" spans="1:17">
      <c r="A1567" s="14">
        <v>41002</v>
      </c>
      <c r="B1567" s="8">
        <v>814.79752694442038</v>
      </c>
      <c r="F1567" s="7"/>
      <c r="G1567" s="7"/>
      <c r="M1567" s="10"/>
      <c r="P1567" s="11"/>
      <c r="Q1567" s="12"/>
    </row>
    <row r="1568" spans="1:17">
      <c r="A1568" s="14">
        <v>41003</v>
      </c>
      <c r="B1568" s="8">
        <v>805.04559332336248</v>
      </c>
      <c r="F1568" s="7"/>
      <c r="G1568" s="7"/>
      <c r="M1568" s="10"/>
      <c r="P1568" s="11"/>
      <c r="Q1568" s="12"/>
    </row>
    <row r="1569" spans="1:17">
      <c r="A1569" s="14">
        <v>41004</v>
      </c>
      <c r="B1569" s="8">
        <v>805.98813332228679</v>
      </c>
      <c r="F1569" s="7"/>
      <c r="G1569" s="7"/>
      <c r="M1569" s="10"/>
      <c r="P1569" s="11"/>
      <c r="Q1569" s="12"/>
    </row>
    <row r="1570" spans="1:17">
      <c r="A1570" s="14">
        <v>41009</v>
      </c>
      <c r="B1570" s="8">
        <v>776.9021963700676</v>
      </c>
      <c r="F1570" s="7"/>
      <c r="G1570" s="7"/>
      <c r="M1570" s="10"/>
      <c r="P1570" s="11"/>
      <c r="Q1570" s="12"/>
    </row>
    <row r="1571" spans="1:17">
      <c r="A1571" s="14">
        <v>41010</v>
      </c>
      <c r="B1571" s="8">
        <v>783.37058707054587</v>
      </c>
      <c r="F1571" s="7"/>
      <c r="G1571" s="7"/>
      <c r="M1571" s="10"/>
      <c r="P1571" s="11"/>
      <c r="Q1571" s="12"/>
    </row>
    <row r="1572" spans="1:17">
      <c r="A1572" s="14">
        <v>41011</v>
      </c>
      <c r="B1572" s="8">
        <v>790.4418021542217</v>
      </c>
      <c r="F1572" s="7"/>
      <c r="G1572" s="7"/>
      <c r="M1572" s="10"/>
      <c r="P1572" s="11"/>
      <c r="Q1572" s="12"/>
    </row>
    <row r="1573" spans="1:17">
      <c r="A1573" s="14">
        <v>41012</v>
      </c>
      <c r="B1573" s="8">
        <v>777.11201633297344</v>
      </c>
      <c r="F1573" s="7"/>
      <c r="G1573" s="7"/>
      <c r="M1573" s="10"/>
      <c r="P1573" s="11"/>
      <c r="Q1573" s="12"/>
    </row>
    <row r="1574" spans="1:17">
      <c r="A1574" s="14">
        <v>41015</v>
      </c>
      <c r="B1574" s="8">
        <v>777.87660080708201</v>
      </c>
      <c r="F1574" s="7"/>
      <c r="G1574" s="7"/>
      <c r="M1574" s="10"/>
      <c r="P1574" s="11"/>
      <c r="Q1574" s="12"/>
    </row>
    <row r="1575" spans="1:17">
      <c r="A1575" s="14">
        <v>41016</v>
      </c>
      <c r="B1575" s="8">
        <v>795.69753782192163</v>
      </c>
      <c r="F1575" s="7"/>
      <c r="G1575" s="7"/>
      <c r="M1575" s="10"/>
      <c r="P1575" s="11"/>
      <c r="Q1575" s="12"/>
    </row>
    <row r="1576" spans="1:17">
      <c r="A1576" s="14">
        <v>41017</v>
      </c>
      <c r="B1576" s="8">
        <v>785.70337659655172</v>
      </c>
      <c r="F1576" s="7"/>
      <c r="G1576" s="7"/>
      <c r="M1576" s="10"/>
      <c r="P1576" s="11"/>
      <c r="Q1576" s="12"/>
    </row>
    <row r="1577" spans="1:17">
      <c r="A1577" s="14">
        <v>41018</v>
      </c>
      <c r="B1577" s="8">
        <v>775.22204957259032</v>
      </c>
      <c r="F1577" s="7"/>
      <c r="G1577" s="7"/>
      <c r="M1577" s="10"/>
      <c r="P1577" s="11"/>
      <c r="Q1577" s="12"/>
    </row>
    <row r="1578" spans="1:17">
      <c r="A1578" s="14">
        <v>41019</v>
      </c>
      <c r="B1578" s="8">
        <v>778.10906504223158</v>
      </c>
      <c r="F1578" s="7"/>
      <c r="G1578" s="7"/>
      <c r="M1578" s="10"/>
      <c r="P1578" s="11"/>
      <c r="Q1578" s="12"/>
    </row>
    <row r="1579" spans="1:17">
      <c r="A1579" s="14">
        <v>41022</v>
      </c>
      <c r="B1579" s="8">
        <v>763.43246947182081</v>
      </c>
      <c r="F1579" s="7"/>
      <c r="G1579" s="7"/>
      <c r="M1579" s="10"/>
      <c r="P1579" s="11"/>
      <c r="Q1579" s="12"/>
    </row>
    <row r="1580" spans="1:17">
      <c r="A1580" s="14">
        <v>41023</v>
      </c>
      <c r="B1580" s="8">
        <v>770.40973622432102</v>
      </c>
      <c r="F1580" s="7"/>
      <c r="G1580" s="7"/>
      <c r="M1580" s="10"/>
      <c r="P1580" s="11"/>
      <c r="Q1580" s="12"/>
    </row>
    <row r="1581" spans="1:17">
      <c r="A1581" s="14">
        <v>41024</v>
      </c>
      <c r="B1581" s="8">
        <v>783.69152287393842</v>
      </c>
      <c r="F1581" s="7"/>
      <c r="G1581" s="7"/>
      <c r="M1581" s="10"/>
      <c r="P1581" s="11"/>
      <c r="Q1581" s="12"/>
    </row>
    <row r="1582" spans="1:17">
      <c r="A1582" s="14">
        <v>41025</v>
      </c>
      <c r="B1582" s="8">
        <v>785.49451941950667</v>
      </c>
      <c r="F1582" s="7"/>
      <c r="G1582" s="7"/>
      <c r="M1582" s="10"/>
      <c r="P1582" s="11"/>
      <c r="Q1582" s="12"/>
    </row>
    <row r="1583" spans="1:17">
      <c r="A1583" s="14">
        <v>41026</v>
      </c>
      <c r="B1583" s="8">
        <v>791.37588614065396</v>
      </c>
      <c r="F1583" s="7"/>
      <c r="G1583" s="7"/>
      <c r="M1583" s="10"/>
      <c r="P1583" s="11"/>
      <c r="Q1583" s="12"/>
    </row>
    <row r="1584" spans="1:17">
      <c r="A1584" s="14">
        <v>41029</v>
      </c>
      <c r="B1584" s="8">
        <v>784.68146844535556</v>
      </c>
      <c r="F1584" s="7"/>
      <c r="G1584" s="7"/>
      <c r="M1584" s="10"/>
      <c r="P1584" s="11"/>
      <c r="Q1584" s="12"/>
    </row>
    <row r="1585" spans="1:17">
      <c r="A1585" s="14">
        <v>41030</v>
      </c>
      <c r="B1585" s="8">
        <v>787.56199422317673</v>
      </c>
      <c r="F1585" s="7"/>
      <c r="G1585" s="7"/>
      <c r="M1585" s="10"/>
      <c r="P1585" s="11"/>
      <c r="Q1585" s="12"/>
    </row>
    <row r="1586" spans="1:17">
      <c r="A1586" s="14">
        <v>41031</v>
      </c>
      <c r="B1586" s="8">
        <v>784.63789609853302</v>
      </c>
      <c r="F1586" s="7"/>
      <c r="G1586" s="7"/>
      <c r="M1586" s="10"/>
      <c r="P1586" s="11"/>
      <c r="Q1586" s="12"/>
    </row>
    <row r="1587" spans="1:17">
      <c r="A1587" s="14">
        <v>41032</v>
      </c>
      <c r="B1587" s="8">
        <v>780.26654875160852</v>
      </c>
      <c r="F1587" s="7"/>
      <c r="G1587" s="7"/>
      <c r="M1587" s="10"/>
      <c r="P1587" s="11"/>
      <c r="Q1587" s="12"/>
    </row>
    <row r="1588" spans="1:17">
      <c r="A1588" s="14">
        <v>41033</v>
      </c>
      <c r="B1588" s="8">
        <v>769.45664983004281</v>
      </c>
      <c r="F1588" s="7"/>
      <c r="G1588" s="7"/>
      <c r="M1588" s="10"/>
      <c r="P1588" s="11"/>
      <c r="Q1588" s="12"/>
    </row>
    <row r="1589" spans="1:17">
      <c r="A1589" s="14">
        <v>41036</v>
      </c>
      <c r="B1589" s="8">
        <v>777.24727763119552</v>
      </c>
      <c r="F1589" s="7"/>
      <c r="G1589" s="7"/>
      <c r="M1589" s="10"/>
      <c r="P1589" s="11"/>
      <c r="Q1589" s="12"/>
    </row>
    <row r="1590" spans="1:17">
      <c r="A1590" s="14">
        <v>41037</v>
      </c>
      <c r="B1590" s="8">
        <v>767.80514569677746</v>
      </c>
      <c r="F1590" s="7"/>
      <c r="G1590" s="7"/>
      <c r="M1590" s="10"/>
      <c r="P1590" s="11"/>
      <c r="Q1590" s="12"/>
    </row>
    <row r="1591" spans="1:17">
      <c r="A1591" s="14">
        <v>41038</v>
      </c>
      <c r="B1591" s="8">
        <v>765.32802095018997</v>
      </c>
      <c r="F1591" s="7"/>
      <c r="G1591" s="7"/>
      <c r="M1591" s="10"/>
      <c r="P1591" s="11"/>
      <c r="Q1591" s="12"/>
    </row>
    <row r="1592" spans="1:17">
      <c r="A1592" s="14">
        <v>41039</v>
      </c>
      <c r="B1592" s="8">
        <v>771.72314931704386</v>
      </c>
      <c r="F1592" s="7"/>
      <c r="G1592" s="7"/>
      <c r="M1592" s="10"/>
      <c r="P1592" s="11"/>
      <c r="Q1592" s="12"/>
    </row>
    <row r="1593" spans="1:17">
      <c r="A1593" s="14">
        <v>41040</v>
      </c>
      <c r="B1593" s="8">
        <v>772.63996628776988</v>
      </c>
      <c r="F1593" s="7"/>
      <c r="G1593" s="7"/>
      <c r="M1593" s="10"/>
      <c r="P1593" s="11"/>
      <c r="Q1593" s="12"/>
    </row>
    <row r="1594" spans="1:17">
      <c r="A1594" s="14">
        <v>41043</v>
      </c>
      <c r="B1594" s="8">
        <v>760.32189813698562</v>
      </c>
      <c r="F1594" s="7"/>
      <c r="G1594" s="7"/>
      <c r="M1594" s="10"/>
      <c r="P1594" s="11"/>
      <c r="Q1594" s="12"/>
    </row>
    <row r="1595" spans="1:17">
      <c r="A1595" s="14">
        <v>41044</v>
      </c>
      <c r="B1595" s="8">
        <v>755.10351294600298</v>
      </c>
      <c r="F1595" s="7"/>
      <c r="G1595" s="7"/>
      <c r="M1595" s="10"/>
      <c r="P1595" s="11"/>
      <c r="Q1595" s="12"/>
    </row>
    <row r="1596" spans="1:17">
      <c r="A1596" s="14">
        <v>41045</v>
      </c>
      <c r="B1596" s="8">
        <v>752.46529010138192</v>
      </c>
      <c r="F1596" s="7"/>
      <c r="G1596" s="7"/>
      <c r="M1596" s="10"/>
      <c r="P1596" s="11"/>
      <c r="Q1596" s="12"/>
    </row>
    <row r="1597" spans="1:17">
      <c r="A1597" s="14">
        <v>41046</v>
      </c>
      <c r="B1597" s="8">
        <v>739.82584083154245</v>
      </c>
      <c r="F1597" s="7"/>
      <c r="G1597" s="7"/>
      <c r="M1597" s="10"/>
      <c r="P1597" s="11"/>
      <c r="Q1597" s="12"/>
    </row>
    <row r="1598" spans="1:17">
      <c r="A1598" s="14">
        <v>41047</v>
      </c>
      <c r="B1598" s="8">
        <v>736.6503927575734</v>
      </c>
      <c r="F1598" s="7"/>
      <c r="G1598" s="7"/>
      <c r="M1598" s="10"/>
      <c r="P1598" s="11"/>
      <c r="Q1598" s="12"/>
    </row>
    <row r="1599" spans="1:17">
      <c r="A1599" s="14">
        <v>41050</v>
      </c>
      <c r="B1599" s="8">
        <v>744.9459552503979</v>
      </c>
      <c r="F1599" s="7"/>
      <c r="G1599" s="7"/>
      <c r="M1599" s="10"/>
      <c r="P1599" s="11"/>
      <c r="Q1599" s="12"/>
    </row>
    <row r="1600" spans="1:17">
      <c r="A1600" s="14">
        <v>41051</v>
      </c>
      <c r="B1600" s="8">
        <v>754.77993449067446</v>
      </c>
      <c r="F1600" s="7"/>
      <c r="G1600" s="7"/>
      <c r="M1600" s="10"/>
      <c r="P1600" s="11"/>
      <c r="Q1600" s="12"/>
    </row>
    <row r="1601" spans="1:17">
      <c r="A1601" s="14">
        <v>41052</v>
      </c>
      <c r="B1601" s="8">
        <v>750.3216501082735</v>
      </c>
      <c r="F1601" s="7"/>
      <c r="G1601" s="7"/>
      <c r="M1601" s="10"/>
      <c r="P1601" s="11"/>
      <c r="Q1601" s="12"/>
    </row>
    <row r="1602" spans="1:17">
      <c r="A1602" s="14">
        <v>41053</v>
      </c>
      <c r="B1602" s="8">
        <v>755.49723577627162</v>
      </c>
      <c r="F1602" s="7"/>
      <c r="G1602" s="7"/>
      <c r="M1602" s="10"/>
      <c r="P1602" s="11"/>
      <c r="Q1602" s="12"/>
    </row>
    <row r="1603" spans="1:17">
      <c r="A1603" s="14">
        <v>41054</v>
      </c>
      <c r="B1603" s="8">
        <v>758.23363410471666</v>
      </c>
      <c r="F1603" s="7"/>
      <c r="G1603" s="7"/>
      <c r="M1603" s="10"/>
      <c r="P1603" s="11"/>
      <c r="Q1603" s="12"/>
    </row>
    <row r="1604" spans="1:17">
      <c r="A1604" s="14">
        <v>41058</v>
      </c>
      <c r="B1604" s="8">
        <v>763.76758958169273</v>
      </c>
      <c r="F1604" s="7"/>
      <c r="G1604" s="7"/>
      <c r="M1604" s="10"/>
      <c r="P1604" s="11"/>
      <c r="Q1604" s="12"/>
    </row>
    <row r="1605" spans="1:17">
      <c r="A1605" s="14">
        <v>41059</v>
      </c>
      <c r="B1605" s="8">
        <v>750.06460550655197</v>
      </c>
      <c r="F1605" s="7"/>
      <c r="G1605" s="7"/>
      <c r="M1605" s="10"/>
      <c r="P1605" s="11"/>
      <c r="Q1605" s="12"/>
    </row>
    <row r="1606" spans="1:17">
      <c r="A1606" s="14">
        <v>41060</v>
      </c>
      <c r="B1606" s="8">
        <v>749.65750007094141</v>
      </c>
      <c r="F1606" s="7"/>
      <c r="G1606" s="7"/>
      <c r="M1606" s="10"/>
      <c r="P1606" s="11"/>
      <c r="Q1606" s="12"/>
    </row>
    <row r="1607" spans="1:17">
      <c r="A1607" s="14">
        <v>41061</v>
      </c>
      <c r="B1607" s="8">
        <v>729.04858428983323</v>
      </c>
      <c r="F1607" s="7"/>
      <c r="G1607" s="7"/>
      <c r="M1607" s="10"/>
      <c r="P1607" s="11"/>
      <c r="Q1607" s="12"/>
    </row>
    <row r="1608" spans="1:17">
      <c r="A1608" s="14">
        <v>41064</v>
      </c>
      <c r="B1608" s="8">
        <v>727.57990852637306</v>
      </c>
      <c r="F1608" s="7"/>
      <c r="G1608" s="7"/>
      <c r="M1608" s="10"/>
      <c r="P1608" s="11"/>
      <c r="Q1608" s="12"/>
    </row>
    <row r="1609" spans="1:17">
      <c r="A1609" s="14">
        <v>41065</v>
      </c>
      <c r="B1609" s="8">
        <v>733.81926041550082</v>
      </c>
      <c r="F1609" s="7"/>
      <c r="G1609" s="7"/>
      <c r="M1609" s="10"/>
      <c r="P1609" s="11"/>
      <c r="Q1609" s="12"/>
    </row>
    <row r="1610" spans="1:17">
      <c r="A1610" s="14">
        <v>41066</v>
      </c>
      <c r="B1610" s="8">
        <v>750.21213256819533</v>
      </c>
      <c r="F1610" s="7"/>
      <c r="G1610" s="7"/>
      <c r="M1610" s="10"/>
      <c r="P1610" s="11"/>
      <c r="Q1610" s="12"/>
    </row>
    <row r="1611" spans="1:17">
      <c r="A1611" s="14">
        <v>41067</v>
      </c>
      <c r="B1611" s="8">
        <v>749.67762329171751</v>
      </c>
      <c r="F1611" s="7"/>
      <c r="G1611" s="7"/>
      <c r="M1611" s="10"/>
      <c r="P1611" s="11"/>
      <c r="Q1611" s="12"/>
    </row>
    <row r="1612" spans="1:17">
      <c r="A1612" s="14">
        <v>41068</v>
      </c>
      <c r="B1612" s="8">
        <v>756.14266095597043</v>
      </c>
      <c r="F1612" s="7"/>
      <c r="G1612" s="7"/>
      <c r="M1612" s="10"/>
      <c r="P1612" s="11"/>
      <c r="Q1612" s="12"/>
    </row>
    <row r="1613" spans="1:17">
      <c r="A1613" s="14">
        <v>41071</v>
      </c>
      <c r="B1613" s="8">
        <v>747.24613905835793</v>
      </c>
      <c r="F1613" s="7"/>
      <c r="G1613" s="7"/>
      <c r="M1613" s="10"/>
      <c r="P1613" s="11"/>
      <c r="Q1613" s="12"/>
    </row>
    <row r="1614" spans="1:17">
      <c r="A1614" s="14">
        <v>41072</v>
      </c>
      <c r="B1614" s="8">
        <v>753.16149874068435</v>
      </c>
      <c r="F1614" s="7"/>
      <c r="G1614" s="7"/>
      <c r="M1614" s="10"/>
      <c r="P1614" s="11"/>
      <c r="Q1614" s="12"/>
    </row>
    <row r="1615" spans="1:17">
      <c r="A1615" s="14">
        <v>41073</v>
      </c>
      <c r="B1615" s="8">
        <v>745.96523981423434</v>
      </c>
      <c r="F1615" s="7"/>
      <c r="G1615" s="7"/>
      <c r="M1615" s="10"/>
      <c r="P1615" s="11"/>
      <c r="Q1615" s="12"/>
    </row>
    <row r="1616" spans="1:17">
      <c r="A1616" s="14">
        <v>41074</v>
      </c>
      <c r="B1616" s="8">
        <v>750.33754912563381</v>
      </c>
      <c r="F1616" s="7"/>
      <c r="G1616" s="7"/>
      <c r="M1616" s="10"/>
      <c r="P1616" s="11"/>
      <c r="Q1616" s="12"/>
    </row>
    <row r="1617" spans="1:17">
      <c r="A1617" s="14">
        <v>41075</v>
      </c>
      <c r="B1617" s="8">
        <v>761.14105022828994</v>
      </c>
      <c r="F1617" s="7"/>
      <c r="G1617" s="7"/>
      <c r="M1617" s="10"/>
      <c r="P1617" s="11"/>
      <c r="Q1617" s="12"/>
    </row>
    <row r="1618" spans="1:17">
      <c r="A1618" s="14">
        <v>41078</v>
      </c>
      <c r="B1618" s="8">
        <v>759.35670622507746</v>
      </c>
      <c r="F1618" s="7"/>
      <c r="G1618" s="7"/>
      <c r="M1618" s="10"/>
      <c r="P1618" s="11"/>
      <c r="Q1618" s="12"/>
    </row>
    <row r="1619" spans="1:17">
      <c r="A1619" s="14">
        <v>41079</v>
      </c>
      <c r="B1619" s="8">
        <v>769.03519626868285</v>
      </c>
      <c r="F1619" s="7"/>
      <c r="G1619" s="7"/>
      <c r="M1619" s="10"/>
      <c r="P1619" s="11"/>
      <c r="Q1619" s="12"/>
    </row>
    <row r="1620" spans="1:17">
      <c r="A1620" s="14">
        <v>41080</v>
      </c>
      <c r="B1620" s="8">
        <v>771.21249170330691</v>
      </c>
      <c r="F1620" s="7"/>
      <c r="G1620" s="7"/>
      <c r="M1620" s="10"/>
      <c r="P1620" s="11"/>
      <c r="Q1620" s="12"/>
    </row>
    <row r="1621" spans="1:17">
      <c r="A1621" s="14">
        <v>41081</v>
      </c>
      <c r="B1621" s="8">
        <v>762.96949989476514</v>
      </c>
      <c r="F1621" s="7"/>
      <c r="G1621" s="7"/>
      <c r="M1621" s="10"/>
      <c r="P1621" s="11"/>
      <c r="Q1621" s="12"/>
    </row>
    <row r="1622" spans="1:17">
      <c r="A1622" s="14">
        <v>41082</v>
      </c>
      <c r="B1622" s="8">
        <v>764.30085039433209</v>
      </c>
      <c r="F1622" s="7"/>
      <c r="G1622" s="7"/>
      <c r="M1622" s="10"/>
      <c r="P1622" s="11"/>
      <c r="Q1622" s="12"/>
    </row>
    <row r="1623" spans="1:17">
      <c r="A1623" s="14">
        <v>41085</v>
      </c>
      <c r="B1623" s="8">
        <v>746.36490644381774</v>
      </c>
      <c r="F1623" s="7"/>
      <c r="G1623" s="7"/>
      <c r="M1623" s="10"/>
      <c r="P1623" s="11"/>
      <c r="Q1623" s="12"/>
    </row>
    <row r="1624" spans="1:17">
      <c r="A1624" s="14">
        <v>41086</v>
      </c>
      <c r="B1624" s="8">
        <v>747.66188153542953</v>
      </c>
      <c r="F1624" s="7"/>
      <c r="G1624" s="7"/>
      <c r="M1624" s="10"/>
      <c r="P1624" s="11"/>
      <c r="Q1624" s="12"/>
    </row>
    <row r="1625" spans="1:17">
      <c r="A1625" s="14">
        <v>41087</v>
      </c>
      <c r="B1625" s="8">
        <v>760.07449780995876</v>
      </c>
      <c r="F1625" s="7"/>
      <c r="G1625" s="7"/>
      <c r="M1625" s="10"/>
      <c r="P1625" s="11"/>
      <c r="Q1625" s="12"/>
    </row>
    <row r="1626" spans="1:17">
      <c r="A1626" s="14">
        <v>41088</v>
      </c>
      <c r="B1626" s="8">
        <v>761.11520899531604</v>
      </c>
      <c r="F1626" s="7"/>
      <c r="G1626" s="7"/>
      <c r="M1626" s="10"/>
      <c r="P1626" s="11"/>
      <c r="Q1626" s="12"/>
    </row>
    <row r="1627" spans="1:17">
      <c r="A1627" s="14">
        <v>41089</v>
      </c>
      <c r="B1627" s="8">
        <v>785.70633010159486</v>
      </c>
      <c r="F1627" s="7"/>
      <c r="G1627" s="7"/>
      <c r="M1627" s="10"/>
      <c r="P1627" s="11"/>
      <c r="Q1627" s="12"/>
    </row>
    <row r="1628" spans="1:17">
      <c r="A1628" s="14">
        <v>41092</v>
      </c>
      <c r="B1628" s="8">
        <v>793.05966001008187</v>
      </c>
      <c r="F1628" s="7"/>
      <c r="G1628" s="7"/>
      <c r="M1628" s="10"/>
      <c r="P1628" s="11"/>
      <c r="Q1628" s="12"/>
    </row>
    <row r="1629" spans="1:17">
      <c r="A1629" s="14">
        <v>41093</v>
      </c>
      <c r="B1629" s="8">
        <v>801.08888525528312</v>
      </c>
      <c r="F1629" s="7"/>
      <c r="G1629" s="7"/>
      <c r="M1629" s="10"/>
      <c r="P1629" s="11"/>
      <c r="Q1629" s="12"/>
    </row>
    <row r="1630" spans="1:17">
      <c r="A1630" s="14">
        <v>41095</v>
      </c>
      <c r="B1630" s="8">
        <v>799.23198408228154</v>
      </c>
      <c r="F1630" s="7"/>
      <c r="G1630" s="7"/>
      <c r="M1630" s="10"/>
      <c r="P1630" s="11"/>
      <c r="Q1630" s="12"/>
    </row>
    <row r="1631" spans="1:17">
      <c r="A1631" s="14">
        <v>41096</v>
      </c>
      <c r="B1631" s="8">
        <v>787.91418106013691</v>
      </c>
      <c r="F1631" s="7"/>
      <c r="G1631" s="7"/>
      <c r="M1631" s="10"/>
      <c r="P1631" s="11"/>
      <c r="Q1631" s="12"/>
    </row>
    <row r="1632" spans="1:17">
      <c r="A1632" s="14">
        <v>41099</v>
      </c>
      <c r="B1632" s="8">
        <v>783.02565316297228</v>
      </c>
      <c r="F1632" s="7"/>
      <c r="G1632" s="7"/>
      <c r="M1632" s="10"/>
      <c r="P1632" s="11"/>
      <c r="Q1632" s="12"/>
    </row>
    <row r="1633" spans="1:17">
      <c r="A1633" s="14">
        <v>41100</v>
      </c>
      <c r="B1633" s="8">
        <v>783.49951305891489</v>
      </c>
      <c r="F1633" s="7"/>
      <c r="G1633" s="7"/>
      <c r="M1633" s="10"/>
      <c r="P1633" s="11"/>
      <c r="Q1633" s="12"/>
    </row>
    <row r="1634" spans="1:17">
      <c r="A1634" s="14">
        <v>41101</v>
      </c>
      <c r="B1634" s="8">
        <v>784.80670496400251</v>
      </c>
      <c r="F1634" s="7"/>
      <c r="G1634" s="7"/>
      <c r="M1634" s="10"/>
      <c r="P1634" s="11"/>
      <c r="Q1634" s="12"/>
    </row>
    <row r="1635" spans="1:17">
      <c r="A1635" s="14">
        <v>41102</v>
      </c>
      <c r="B1635" s="8">
        <v>780.64930127955495</v>
      </c>
      <c r="F1635" s="7"/>
      <c r="G1635" s="7"/>
      <c r="M1635" s="10"/>
      <c r="P1635" s="11"/>
      <c r="Q1635" s="12"/>
    </row>
    <row r="1636" spans="1:17">
      <c r="A1636" s="14">
        <v>41103</v>
      </c>
      <c r="B1636" s="8">
        <v>792.27686738788134</v>
      </c>
      <c r="F1636" s="7"/>
      <c r="G1636" s="7"/>
      <c r="M1636" s="10"/>
      <c r="P1636" s="11"/>
      <c r="Q1636" s="12"/>
    </row>
    <row r="1637" spans="1:17">
      <c r="A1637" s="14">
        <v>41106</v>
      </c>
      <c r="B1637" s="8">
        <v>788.03322289379048</v>
      </c>
      <c r="F1637" s="7"/>
      <c r="G1637" s="7"/>
      <c r="M1637" s="10"/>
      <c r="P1637" s="11"/>
      <c r="Q1637" s="12"/>
    </row>
    <row r="1638" spans="1:17">
      <c r="A1638" s="14">
        <v>41107</v>
      </c>
      <c r="B1638" s="8">
        <v>790.68133950503568</v>
      </c>
      <c r="F1638" s="7"/>
      <c r="G1638" s="7"/>
      <c r="M1638" s="10"/>
      <c r="P1638" s="11"/>
      <c r="Q1638" s="12"/>
    </row>
    <row r="1639" spans="1:17">
      <c r="A1639" s="14">
        <v>41108</v>
      </c>
      <c r="B1639" s="8">
        <v>799.04959306812123</v>
      </c>
      <c r="F1639" s="7"/>
      <c r="G1639" s="7"/>
      <c r="M1639" s="10"/>
      <c r="P1639" s="11"/>
      <c r="Q1639" s="12"/>
    </row>
    <row r="1640" spans="1:17">
      <c r="A1640" s="14">
        <v>41109</v>
      </c>
      <c r="B1640" s="8">
        <v>803.40756177694925</v>
      </c>
      <c r="F1640" s="7"/>
      <c r="G1640" s="7"/>
      <c r="M1640" s="10"/>
      <c r="P1640" s="11"/>
      <c r="Q1640" s="12"/>
    </row>
    <row r="1641" spans="1:17">
      <c r="A1641" s="14">
        <v>41110</v>
      </c>
      <c r="B1641" s="8">
        <v>787.99198126009253</v>
      </c>
      <c r="F1641" s="7"/>
      <c r="G1641" s="7"/>
      <c r="M1641" s="10"/>
      <c r="P1641" s="11"/>
      <c r="Q1641" s="12"/>
    </row>
    <row r="1642" spans="1:17">
      <c r="A1642" s="14">
        <v>41113</v>
      </c>
      <c r="B1642" s="8">
        <v>772.96823320979195</v>
      </c>
      <c r="F1642" s="7"/>
      <c r="G1642" s="7"/>
      <c r="M1642" s="10"/>
      <c r="P1642" s="11"/>
      <c r="Q1642" s="12"/>
    </row>
    <row r="1643" spans="1:17">
      <c r="A1643" s="14">
        <v>41114</v>
      </c>
      <c r="B1643" s="8">
        <v>764.88806532457431</v>
      </c>
      <c r="F1643" s="7"/>
      <c r="G1643" s="7"/>
      <c r="M1643" s="10"/>
      <c r="P1643" s="11"/>
      <c r="Q1643" s="12"/>
    </row>
    <row r="1644" spans="1:17">
      <c r="A1644" s="14">
        <v>41115</v>
      </c>
      <c r="B1644" s="8">
        <v>764.17556907435278</v>
      </c>
      <c r="F1644" s="7"/>
      <c r="G1644" s="7"/>
      <c r="M1644" s="10"/>
      <c r="P1644" s="11"/>
      <c r="Q1644" s="12"/>
    </row>
    <row r="1645" spans="1:17">
      <c r="A1645" s="14">
        <v>41116</v>
      </c>
      <c r="B1645" s="8">
        <v>784.95400866454429</v>
      </c>
      <c r="F1645" s="7"/>
      <c r="G1645" s="7"/>
      <c r="M1645" s="10"/>
      <c r="P1645" s="11"/>
      <c r="Q1645" s="12"/>
    </row>
    <row r="1646" spans="1:17">
      <c r="A1646" s="14">
        <v>41117</v>
      </c>
      <c r="B1646" s="8">
        <v>800.87291461256211</v>
      </c>
      <c r="F1646" s="7"/>
      <c r="G1646" s="7"/>
      <c r="M1646" s="10"/>
      <c r="P1646" s="11"/>
      <c r="Q1646" s="12"/>
    </row>
    <row r="1647" spans="1:17">
      <c r="A1647" s="14">
        <v>41120</v>
      </c>
      <c r="B1647" s="8">
        <v>811.50801119223524</v>
      </c>
      <c r="F1647" s="7"/>
      <c r="G1647" s="7"/>
      <c r="M1647" s="10"/>
      <c r="P1647" s="11"/>
      <c r="Q1647" s="12"/>
    </row>
    <row r="1648" spans="1:17">
      <c r="A1648" s="14">
        <v>41121</v>
      </c>
      <c r="B1648" s="8">
        <v>803.60922303091854</v>
      </c>
      <c r="F1648" s="7"/>
      <c r="G1648" s="7"/>
      <c r="M1648" s="10"/>
      <c r="P1648" s="11"/>
      <c r="Q1648" s="12"/>
    </row>
    <row r="1649" spans="1:17">
      <c r="A1649" s="14">
        <v>41122</v>
      </c>
      <c r="B1649" s="8">
        <v>803.31540306851105</v>
      </c>
      <c r="F1649" s="7"/>
      <c r="G1649" s="7"/>
      <c r="M1649" s="10"/>
      <c r="P1649" s="11"/>
      <c r="Q1649" s="12"/>
    </row>
    <row r="1650" spans="1:17">
      <c r="A1650" s="14">
        <v>41123</v>
      </c>
      <c r="B1650" s="8">
        <v>789.28478357815789</v>
      </c>
      <c r="F1650" s="7"/>
      <c r="G1650" s="7"/>
      <c r="M1650" s="10"/>
      <c r="P1650" s="11"/>
      <c r="Q1650" s="12"/>
    </row>
    <row r="1651" spans="1:17">
      <c r="A1651" s="14">
        <v>41124</v>
      </c>
      <c r="B1651" s="8">
        <v>812.14488229369897</v>
      </c>
      <c r="F1651" s="7"/>
      <c r="G1651" s="7"/>
      <c r="M1651" s="10"/>
      <c r="P1651" s="11"/>
      <c r="Q1651" s="12"/>
    </row>
    <row r="1652" spans="1:17">
      <c r="A1652" s="14">
        <v>41127</v>
      </c>
      <c r="B1652" s="8">
        <v>818.87751049618623</v>
      </c>
      <c r="F1652" s="7"/>
      <c r="G1652" s="7"/>
      <c r="M1652" s="10"/>
      <c r="P1652" s="11"/>
      <c r="Q1652" s="12"/>
    </row>
    <row r="1653" spans="1:17">
      <c r="A1653" s="14">
        <v>41128</v>
      </c>
      <c r="B1653" s="8">
        <v>831.8685314281214</v>
      </c>
      <c r="F1653" s="7"/>
      <c r="G1653" s="7"/>
      <c r="M1653" s="10"/>
      <c r="P1653" s="11"/>
      <c r="Q1653" s="12"/>
    </row>
    <row r="1654" spans="1:17">
      <c r="A1654" s="14">
        <v>41129</v>
      </c>
      <c r="B1654" s="8">
        <v>832.79514335130466</v>
      </c>
      <c r="F1654" s="7"/>
      <c r="G1654" s="7"/>
      <c r="M1654" s="10"/>
      <c r="P1654" s="11"/>
      <c r="Q1654" s="12"/>
    </row>
    <row r="1655" spans="1:17">
      <c r="A1655" s="14">
        <v>41130</v>
      </c>
      <c r="B1655" s="8">
        <v>837.95311830204525</v>
      </c>
      <c r="F1655" s="7"/>
      <c r="G1655" s="7"/>
      <c r="M1655" s="10"/>
      <c r="P1655" s="11"/>
      <c r="Q1655" s="12"/>
    </row>
    <row r="1656" spans="1:17">
      <c r="A1656" s="14">
        <v>41131</v>
      </c>
      <c r="B1656" s="8">
        <v>835.50246161407665</v>
      </c>
      <c r="F1656" s="7"/>
      <c r="G1656" s="7"/>
      <c r="M1656" s="10"/>
      <c r="P1656" s="11"/>
      <c r="Q1656" s="12"/>
    </row>
    <row r="1657" spans="1:17">
      <c r="A1657" s="14">
        <v>41134</v>
      </c>
      <c r="B1657" s="8">
        <v>830.93841109570656</v>
      </c>
      <c r="F1657" s="7"/>
      <c r="G1657" s="7"/>
      <c r="M1657" s="10"/>
      <c r="P1657" s="11"/>
      <c r="Q1657" s="12"/>
    </row>
    <row r="1658" spans="1:17">
      <c r="A1658" s="14">
        <v>41135</v>
      </c>
      <c r="B1658" s="8">
        <v>832.6222747291306</v>
      </c>
      <c r="F1658" s="7"/>
      <c r="G1658" s="7"/>
      <c r="M1658" s="10"/>
      <c r="P1658" s="11"/>
      <c r="Q1658" s="12"/>
    </row>
    <row r="1659" spans="1:17">
      <c r="A1659" s="14">
        <v>41136</v>
      </c>
      <c r="B1659" s="8">
        <v>835.41293065303751</v>
      </c>
      <c r="F1659" s="7"/>
      <c r="G1659" s="7"/>
      <c r="M1659" s="10"/>
      <c r="P1659" s="11"/>
      <c r="Q1659" s="12"/>
    </row>
    <row r="1660" spans="1:17">
      <c r="A1660" s="14">
        <v>41137</v>
      </c>
      <c r="B1660" s="8">
        <v>842.74034254364778</v>
      </c>
      <c r="F1660" s="7"/>
      <c r="G1660" s="7"/>
      <c r="M1660" s="10"/>
      <c r="P1660" s="11"/>
      <c r="Q1660" s="12"/>
    </row>
    <row r="1661" spans="1:17">
      <c r="A1661" s="14">
        <v>41138</v>
      </c>
      <c r="B1661" s="8">
        <v>849.28768302245965</v>
      </c>
      <c r="F1661" s="7"/>
      <c r="G1661" s="7"/>
      <c r="M1661" s="10"/>
      <c r="P1661" s="11"/>
      <c r="Q1661" s="12"/>
    </row>
    <row r="1662" spans="1:17">
      <c r="A1662" s="14">
        <v>41141</v>
      </c>
      <c r="B1662" s="8">
        <v>845.56902325043291</v>
      </c>
      <c r="F1662" s="7"/>
      <c r="G1662" s="7"/>
      <c r="M1662" s="10"/>
      <c r="P1662" s="11"/>
      <c r="Q1662" s="12"/>
    </row>
    <row r="1663" spans="1:17">
      <c r="A1663" s="14">
        <v>41142</v>
      </c>
      <c r="B1663" s="8">
        <v>845.41096610655563</v>
      </c>
      <c r="F1663" s="7"/>
      <c r="G1663" s="7"/>
      <c r="M1663" s="10"/>
      <c r="P1663" s="11"/>
      <c r="Q1663" s="12"/>
    </row>
    <row r="1664" spans="1:17">
      <c r="A1664" s="14">
        <v>41143</v>
      </c>
      <c r="B1664" s="8">
        <v>838.36189812439216</v>
      </c>
      <c r="F1664" s="7"/>
      <c r="G1664" s="7"/>
      <c r="M1664" s="10"/>
      <c r="P1664" s="11"/>
      <c r="Q1664" s="12"/>
    </row>
    <row r="1665" spans="1:17">
      <c r="A1665" s="14">
        <v>41144</v>
      </c>
      <c r="B1665" s="8">
        <v>825.56237688745011</v>
      </c>
      <c r="F1665" s="7"/>
      <c r="G1665" s="7"/>
      <c r="M1665" s="10"/>
      <c r="P1665" s="11"/>
      <c r="Q1665" s="12"/>
    </row>
    <row r="1666" spans="1:17">
      <c r="A1666" s="14">
        <v>41145</v>
      </c>
      <c r="B1666" s="8">
        <v>830.05495523219668</v>
      </c>
      <c r="F1666" s="7"/>
      <c r="G1666" s="7"/>
      <c r="M1666" s="10"/>
      <c r="P1666" s="11"/>
      <c r="Q1666" s="12"/>
    </row>
    <row r="1667" spans="1:17">
      <c r="A1667" s="14">
        <v>41148</v>
      </c>
      <c r="B1667" s="8">
        <v>835.63345180223303</v>
      </c>
      <c r="F1667" s="7"/>
      <c r="G1667" s="7"/>
      <c r="M1667" s="10"/>
      <c r="P1667" s="11"/>
      <c r="Q1667" s="12"/>
    </row>
    <row r="1668" spans="1:17">
      <c r="A1668" s="14">
        <v>41149</v>
      </c>
      <c r="B1668" s="8">
        <v>828.80626083283437</v>
      </c>
      <c r="F1668" s="7"/>
      <c r="G1668" s="7"/>
      <c r="M1668" s="10"/>
      <c r="P1668" s="11"/>
      <c r="Q1668" s="12"/>
    </row>
    <row r="1669" spans="1:17">
      <c r="A1669" s="14">
        <v>41150</v>
      </c>
      <c r="B1669" s="8">
        <v>828.761152225415</v>
      </c>
      <c r="F1669" s="7"/>
      <c r="G1669" s="7"/>
      <c r="M1669" s="10"/>
      <c r="P1669" s="11"/>
      <c r="Q1669" s="12"/>
    </row>
    <row r="1670" spans="1:17">
      <c r="A1670" s="14">
        <v>41151</v>
      </c>
      <c r="B1670" s="8">
        <v>820.8366948312231</v>
      </c>
      <c r="F1670" s="7"/>
      <c r="G1670" s="7"/>
      <c r="M1670" s="10"/>
      <c r="P1670" s="11"/>
      <c r="Q1670" s="12"/>
    </row>
    <row r="1671" spans="1:17">
      <c r="A1671" s="14">
        <v>41152</v>
      </c>
      <c r="B1671" s="8">
        <v>827.58321011465955</v>
      </c>
      <c r="F1671" s="7"/>
      <c r="G1671" s="7"/>
      <c r="M1671" s="10"/>
      <c r="P1671" s="11"/>
      <c r="Q1671" s="12"/>
    </row>
    <row r="1672" spans="1:17">
      <c r="A1672" s="14">
        <v>41156</v>
      </c>
      <c r="B1672" s="8">
        <v>826.30578556848002</v>
      </c>
      <c r="F1672" s="7"/>
      <c r="G1672" s="7"/>
      <c r="M1672" s="10"/>
      <c r="P1672" s="11"/>
      <c r="Q1672" s="12"/>
    </row>
    <row r="1673" spans="1:17">
      <c r="A1673" s="14">
        <v>41157</v>
      </c>
      <c r="B1673" s="8">
        <v>824.45525372449242</v>
      </c>
      <c r="F1673" s="7"/>
      <c r="G1673" s="7"/>
      <c r="M1673" s="10"/>
      <c r="P1673" s="11"/>
      <c r="Q1673" s="12"/>
    </row>
    <row r="1674" spans="1:17">
      <c r="A1674" s="14">
        <v>41158</v>
      </c>
      <c r="B1674" s="8">
        <v>849.03971770716726</v>
      </c>
      <c r="F1674" s="7"/>
      <c r="G1674" s="7"/>
      <c r="M1674" s="10"/>
      <c r="P1674" s="11"/>
      <c r="Q1674" s="12"/>
    </row>
    <row r="1675" spans="1:17">
      <c r="A1675" s="14">
        <v>41159</v>
      </c>
      <c r="B1675" s="8">
        <v>850.46671688444235</v>
      </c>
      <c r="F1675" s="7"/>
      <c r="G1675" s="7"/>
      <c r="M1675" s="10"/>
      <c r="P1675" s="11"/>
      <c r="Q1675" s="12"/>
    </row>
    <row r="1676" spans="1:17">
      <c r="A1676" s="14">
        <v>41162</v>
      </c>
      <c r="B1676" s="8">
        <v>846.55395788326905</v>
      </c>
      <c r="F1676" s="7"/>
      <c r="G1676" s="7"/>
      <c r="M1676" s="10"/>
      <c r="P1676" s="11"/>
      <c r="Q1676" s="12"/>
    </row>
    <row r="1677" spans="1:17">
      <c r="A1677" s="14">
        <v>41163</v>
      </c>
      <c r="B1677" s="8">
        <v>850.72953266992454</v>
      </c>
      <c r="F1677" s="7"/>
      <c r="G1677" s="7"/>
      <c r="M1677" s="10"/>
      <c r="P1677" s="11"/>
      <c r="Q1677" s="12"/>
    </row>
    <row r="1678" spans="1:17">
      <c r="A1678" s="14">
        <v>41164</v>
      </c>
      <c r="B1678" s="8">
        <v>853.45496867599388</v>
      </c>
      <c r="F1678" s="7"/>
      <c r="G1678" s="7"/>
      <c r="M1678" s="10"/>
      <c r="P1678" s="11"/>
      <c r="Q1678" s="12"/>
    </row>
    <row r="1679" spans="1:17">
      <c r="A1679" s="14">
        <v>41165</v>
      </c>
      <c r="B1679" s="8">
        <v>855.02367453148463</v>
      </c>
      <c r="F1679" s="7"/>
      <c r="G1679" s="7"/>
      <c r="M1679" s="10"/>
      <c r="P1679" s="11"/>
      <c r="Q1679" s="12"/>
    </row>
    <row r="1680" spans="1:17">
      <c r="A1680" s="14">
        <v>41166</v>
      </c>
      <c r="B1680" s="8">
        <v>861.78364502378508</v>
      </c>
      <c r="F1680" s="7"/>
      <c r="G1680" s="7"/>
      <c r="M1680" s="10"/>
      <c r="P1680" s="11"/>
      <c r="Q1680" s="12"/>
    </row>
    <row r="1681" spans="1:17">
      <c r="A1681" s="14">
        <v>41169</v>
      </c>
      <c r="B1681" s="8">
        <v>855.86107912997636</v>
      </c>
      <c r="F1681" s="7"/>
      <c r="G1681" s="7"/>
      <c r="M1681" s="10"/>
      <c r="P1681" s="11"/>
      <c r="Q1681" s="12"/>
    </row>
    <row r="1682" spans="1:17">
      <c r="A1682" s="14">
        <v>41170</v>
      </c>
      <c r="B1682" s="8">
        <v>849.85731868408857</v>
      </c>
      <c r="F1682" s="7"/>
      <c r="G1682" s="7"/>
      <c r="M1682" s="10"/>
      <c r="P1682" s="11"/>
      <c r="Q1682" s="12"/>
    </row>
    <row r="1683" spans="1:17">
      <c r="A1683" s="14">
        <v>41171</v>
      </c>
      <c r="B1683" s="8">
        <v>851.98531873366937</v>
      </c>
      <c r="F1683" s="7"/>
      <c r="G1683" s="7"/>
      <c r="M1683" s="10"/>
      <c r="P1683" s="11"/>
      <c r="Q1683" s="12"/>
    </row>
    <row r="1684" spans="1:17">
      <c r="A1684" s="14">
        <v>41172</v>
      </c>
      <c r="B1684" s="8">
        <v>851.86620702345738</v>
      </c>
      <c r="F1684" s="7"/>
      <c r="G1684" s="7"/>
      <c r="M1684" s="10"/>
      <c r="P1684" s="11"/>
      <c r="Q1684" s="12"/>
    </row>
    <row r="1685" spans="1:17">
      <c r="A1685" s="14">
        <v>41173</v>
      </c>
      <c r="B1685" s="8">
        <v>853.792488507813</v>
      </c>
      <c r="F1685" s="7"/>
      <c r="G1685" s="7"/>
      <c r="M1685" s="10"/>
      <c r="P1685" s="11"/>
      <c r="Q1685" s="12"/>
    </row>
    <row r="1686" spans="1:17">
      <c r="A1686" s="14">
        <v>41176</v>
      </c>
      <c r="B1686" s="8">
        <v>851.56375150395945</v>
      </c>
      <c r="F1686" s="7"/>
      <c r="G1686" s="7"/>
      <c r="M1686" s="10"/>
      <c r="P1686" s="11"/>
      <c r="Q1686" s="12"/>
    </row>
    <row r="1687" spans="1:17">
      <c r="A1687" s="14">
        <v>41177</v>
      </c>
      <c r="B1687" s="8">
        <v>846.330925420982</v>
      </c>
      <c r="F1687" s="7"/>
      <c r="G1687" s="7"/>
      <c r="M1687" s="10"/>
      <c r="P1687" s="11"/>
      <c r="Q1687" s="12"/>
    </row>
    <row r="1688" spans="1:17">
      <c r="A1688" s="14">
        <v>41178</v>
      </c>
      <c r="B1688" s="8">
        <v>833.5548416026619</v>
      </c>
      <c r="F1688" s="7"/>
      <c r="G1688" s="7"/>
      <c r="M1688" s="10"/>
      <c r="P1688" s="11"/>
      <c r="Q1688" s="12"/>
    </row>
    <row r="1689" spans="1:17">
      <c r="A1689" s="14">
        <v>41179</v>
      </c>
      <c r="B1689" s="8">
        <v>838.15116304633841</v>
      </c>
      <c r="F1689" s="7"/>
      <c r="G1689" s="7"/>
      <c r="M1689" s="10"/>
      <c r="P1689" s="11"/>
      <c r="Q1689" s="12"/>
    </row>
    <row r="1690" spans="1:17">
      <c r="A1690" s="14">
        <v>41180</v>
      </c>
      <c r="B1690" s="8">
        <v>827.26293294240122</v>
      </c>
      <c r="F1690" s="7"/>
      <c r="G1690" s="7"/>
      <c r="M1690" s="10"/>
      <c r="P1690" s="11"/>
      <c r="Q1690" s="12"/>
    </row>
    <row r="1691" spans="1:17">
      <c r="A1691" s="14">
        <v>41183</v>
      </c>
      <c r="B1691" s="8">
        <v>835.34092331359363</v>
      </c>
      <c r="F1691" s="7"/>
      <c r="G1691" s="7"/>
      <c r="M1691" s="10"/>
      <c r="P1691" s="11"/>
      <c r="Q1691" s="12"/>
    </row>
    <row r="1692" spans="1:17">
      <c r="A1692" s="14">
        <v>41184</v>
      </c>
      <c r="B1692" s="8">
        <v>833.82278238212871</v>
      </c>
      <c r="F1692" s="7"/>
      <c r="G1692" s="7"/>
      <c r="M1692" s="10"/>
      <c r="P1692" s="11"/>
      <c r="Q1692" s="12"/>
    </row>
    <row r="1693" spans="1:17">
      <c r="A1693" s="14">
        <v>41185</v>
      </c>
      <c r="B1693" s="8">
        <v>835.71714717622933</v>
      </c>
      <c r="F1693" s="7"/>
      <c r="G1693" s="7"/>
      <c r="M1693" s="10"/>
      <c r="P1693" s="11"/>
      <c r="Q1693" s="12"/>
    </row>
    <row r="1694" spans="1:17">
      <c r="A1694" s="14">
        <v>41186</v>
      </c>
      <c r="B1694" s="8">
        <v>834.94056152366841</v>
      </c>
      <c r="F1694" s="7"/>
      <c r="G1694" s="7"/>
      <c r="M1694" s="10"/>
      <c r="P1694" s="11"/>
      <c r="Q1694" s="12"/>
    </row>
    <row r="1695" spans="1:17">
      <c r="A1695" s="14">
        <v>41187</v>
      </c>
      <c r="B1695" s="8">
        <v>842.33449633933378</v>
      </c>
      <c r="F1695" s="7"/>
      <c r="G1695" s="7"/>
      <c r="M1695" s="10"/>
      <c r="P1695" s="11"/>
      <c r="Q1695" s="12"/>
    </row>
    <row r="1696" spans="1:17">
      <c r="A1696" s="14">
        <v>41190</v>
      </c>
      <c r="B1696" s="8">
        <v>837.20324615457366</v>
      </c>
      <c r="F1696" s="7"/>
      <c r="G1696" s="7"/>
      <c r="M1696" s="10"/>
      <c r="P1696" s="11"/>
      <c r="Q1696" s="12"/>
    </row>
    <row r="1697" spans="1:17">
      <c r="A1697" s="14">
        <v>41191</v>
      </c>
      <c r="B1697" s="8">
        <v>832.08386438170749</v>
      </c>
      <c r="F1697" s="7"/>
      <c r="G1697" s="7"/>
      <c r="M1697" s="10"/>
      <c r="P1697" s="11"/>
      <c r="Q1697" s="12"/>
    </row>
    <row r="1698" spans="1:17">
      <c r="A1698" s="14">
        <v>41192</v>
      </c>
      <c r="B1698" s="8">
        <v>825.61350181054456</v>
      </c>
      <c r="F1698" s="7"/>
      <c r="G1698" s="7"/>
      <c r="M1698" s="10"/>
      <c r="P1698" s="11"/>
      <c r="Q1698" s="12"/>
    </row>
    <row r="1699" spans="1:17">
      <c r="A1699" s="14">
        <v>41193</v>
      </c>
      <c r="B1699" s="8">
        <v>831.57590057558946</v>
      </c>
      <c r="F1699" s="7"/>
      <c r="G1699" s="7"/>
      <c r="M1699" s="10"/>
      <c r="P1699" s="11"/>
      <c r="Q1699" s="12"/>
    </row>
    <row r="1700" spans="1:17">
      <c r="A1700" s="14">
        <v>41194</v>
      </c>
      <c r="B1700" s="8">
        <v>825.97374235969028</v>
      </c>
      <c r="F1700" s="7"/>
      <c r="G1700" s="7"/>
      <c r="M1700" s="10"/>
      <c r="P1700" s="11"/>
      <c r="Q1700" s="12"/>
    </row>
    <row r="1701" spans="1:17">
      <c r="A1701" s="14">
        <v>41197</v>
      </c>
      <c r="B1701" s="8">
        <v>832.01426394887608</v>
      </c>
      <c r="F1701" s="7"/>
      <c r="G1701" s="7"/>
      <c r="M1701" s="10"/>
      <c r="P1701" s="11"/>
      <c r="Q1701" s="12"/>
    </row>
    <row r="1702" spans="1:17">
      <c r="A1702" s="14">
        <v>41198</v>
      </c>
      <c r="B1702" s="8">
        <v>845.09588114205883</v>
      </c>
      <c r="F1702" s="7"/>
      <c r="G1702" s="7"/>
      <c r="M1702" s="10"/>
      <c r="P1702" s="11"/>
      <c r="Q1702" s="12"/>
    </row>
    <row r="1703" spans="1:17">
      <c r="A1703" s="14">
        <v>41199</v>
      </c>
      <c r="B1703" s="8">
        <v>850.36635706550624</v>
      </c>
      <c r="F1703" s="7"/>
      <c r="G1703" s="7"/>
      <c r="M1703" s="10"/>
      <c r="P1703" s="11"/>
      <c r="Q1703" s="12"/>
    </row>
    <row r="1704" spans="1:17">
      <c r="A1704" s="14">
        <v>41200</v>
      </c>
      <c r="B1704" s="8">
        <v>852.27298143670851</v>
      </c>
      <c r="F1704" s="7"/>
      <c r="G1704" s="7"/>
      <c r="M1704" s="10"/>
      <c r="P1704" s="11"/>
      <c r="Q1704" s="12"/>
    </row>
    <row r="1705" spans="1:17">
      <c r="A1705" s="14">
        <v>41201</v>
      </c>
      <c r="B1705" s="8">
        <v>841.75833430333671</v>
      </c>
      <c r="F1705" s="7"/>
      <c r="G1705" s="7"/>
      <c r="M1705" s="10"/>
      <c r="P1705" s="11"/>
      <c r="Q1705" s="12"/>
    </row>
    <row r="1706" spans="1:17">
      <c r="A1706" s="14">
        <v>41204</v>
      </c>
      <c r="B1706" s="8">
        <v>839.00436132149912</v>
      </c>
      <c r="F1706" s="7"/>
      <c r="G1706" s="7"/>
      <c r="M1706" s="10"/>
      <c r="P1706" s="11"/>
      <c r="Q1706" s="12"/>
    </row>
    <row r="1707" spans="1:17">
      <c r="A1707" s="14">
        <v>41205</v>
      </c>
      <c r="B1707" s="8">
        <v>826.59216565648717</v>
      </c>
      <c r="F1707" s="7"/>
      <c r="G1707" s="7"/>
      <c r="M1707" s="10"/>
      <c r="P1707" s="11"/>
      <c r="Q1707" s="12"/>
    </row>
    <row r="1708" spans="1:17">
      <c r="A1708" s="14">
        <v>41206</v>
      </c>
      <c r="B1708" s="8">
        <v>827.14914936746732</v>
      </c>
      <c r="F1708" s="7"/>
      <c r="G1708" s="7"/>
      <c r="M1708" s="10"/>
      <c r="P1708" s="11"/>
      <c r="Q1708" s="12"/>
    </row>
    <row r="1709" spans="1:17">
      <c r="A1709" s="14">
        <v>41207</v>
      </c>
      <c r="B1709" s="8">
        <v>826.83656430092776</v>
      </c>
      <c r="F1709" s="7"/>
      <c r="G1709" s="7"/>
      <c r="M1709" s="10"/>
      <c r="P1709" s="11"/>
      <c r="Q1709" s="12"/>
    </row>
    <row r="1710" spans="1:17">
      <c r="A1710" s="14">
        <v>41208</v>
      </c>
      <c r="B1710" s="8">
        <v>829.61785954462596</v>
      </c>
      <c r="F1710" s="7"/>
      <c r="G1710" s="7"/>
      <c r="M1710" s="10"/>
      <c r="P1710" s="11"/>
      <c r="Q1710" s="12"/>
    </row>
    <row r="1711" spans="1:17">
      <c r="A1711" s="14">
        <v>41213</v>
      </c>
      <c r="B1711" s="8">
        <v>830.19831794539709</v>
      </c>
      <c r="F1711" s="7"/>
      <c r="G1711" s="7"/>
      <c r="M1711" s="10"/>
      <c r="P1711" s="11"/>
      <c r="Q1711" s="12"/>
    </row>
    <row r="1712" spans="1:17">
      <c r="A1712" s="14">
        <v>41214</v>
      </c>
      <c r="B1712" s="8">
        <v>843.78891941553752</v>
      </c>
      <c r="F1712" s="7"/>
      <c r="G1712" s="7"/>
      <c r="M1712" s="10"/>
      <c r="P1712" s="11"/>
      <c r="Q1712" s="12"/>
    </row>
    <row r="1713" spans="1:17">
      <c r="A1713" s="14">
        <v>41215</v>
      </c>
      <c r="B1713" s="8">
        <v>845.8859392252208</v>
      </c>
      <c r="F1713" s="7"/>
      <c r="G1713" s="7"/>
      <c r="M1713" s="10"/>
      <c r="P1713" s="11"/>
      <c r="Q1713" s="12"/>
    </row>
    <row r="1714" spans="1:17">
      <c r="A1714" s="14">
        <v>41218</v>
      </c>
      <c r="B1714" s="8">
        <v>843.39861851198555</v>
      </c>
      <c r="F1714" s="7"/>
      <c r="G1714" s="7"/>
      <c r="M1714" s="10"/>
      <c r="P1714" s="11"/>
      <c r="Q1714" s="12"/>
    </row>
    <row r="1715" spans="1:17">
      <c r="A1715" s="14">
        <v>41219</v>
      </c>
      <c r="B1715" s="8">
        <v>849.28527471971006</v>
      </c>
      <c r="F1715" s="7"/>
      <c r="G1715" s="7"/>
      <c r="M1715" s="10"/>
      <c r="P1715" s="11"/>
      <c r="Q1715" s="12"/>
    </row>
    <row r="1716" spans="1:17">
      <c r="A1716" s="14">
        <v>41220</v>
      </c>
      <c r="B1716" s="8">
        <v>831.0245288142238</v>
      </c>
      <c r="F1716" s="7"/>
      <c r="G1716" s="7"/>
      <c r="M1716" s="10"/>
      <c r="P1716" s="11"/>
      <c r="Q1716" s="12"/>
    </row>
    <row r="1717" spans="1:17">
      <c r="A1717" s="14">
        <v>41221</v>
      </c>
      <c r="B1717" s="8">
        <v>825.6368399645113</v>
      </c>
      <c r="F1717" s="7"/>
      <c r="G1717" s="7"/>
      <c r="M1717" s="10"/>
      <c r="P1717" s="11"/>
      <c r="Q1717" s="12"/>
    </row>
    <row r="1718" spans="1:17">
      <c r="A1718" s="14">
        <v>41222</v>
      </c>
      <c r="B1718" s="8">
        <v>826.79739164686373</v>
      </c>
      <c r="F1718" s="7"/>
      <c r="G1718" s="7"/>
      <c r="M1718" s="10"/>
      <c r="P1718" s="11"/>
      <c r="Q1718" s="12"/>
    </row>
    <row r="1719" spans="1:17">
      <c r="A1719" s="14">
        <v>41225</v>
      </c>
      <c r="B1719" s="8">
        <v>825.98678324331343</v>
      </c>
      <c r="F1719" s="7"/>
      <c r="G1719" s="7"/>
      <c r="M1719" s="10"/>
      <c r="P1719" s="11"/>
      <c r="Q1719" s="12"/>
    </row>
    <row r="1720" spans="1:17">
      <c r="A1720" s="14">
        <v>41226</v>
      </c>
      <c r="B1720" s="8">
        <v>828.22945083287209</v>
      </c>
      <c r="F1720" s="7"/>
      <c r="G1720" s="7"/>
      <c r="M1720" s="10"/>
      <c r="P1720" s="11"/>
      <c r="Q1720" s="12"/>
    </row>
    <row r="1721" spans="1:17">
      <c r="A1721" s="14">
        <v>41227</v>
      </c>
      <c r="B1721" s="8">
        <v>817.83878701300273</v>
      </c>
      <c r="F1721" s="7"/>
      <c r="G1721" s="7"/>
      <c r="M1721" s="10"/>
      <c r="P1721" s="11"/>
      <c r="Q1721" s="12"/>
    </row>
    <row r="1722" spans="1:17">
      <c r="A1722" s="14">
        <v>41228</v>
      </c>
      <c r="B1722" s="8">
        <v>814.82419044499647</v>
      </c>
      <c r="F1722" s="7"/>
      <c r="G1722" s="7"/>
      <c r="M1722" s="10"/>
      <c r="P1722" s="11"/>
      <c r="Q1722" s="12"/>
    </row>
    <row r="1723" spans="1:17">
      <c r="A1723" s="14">
        <v>41229</v>
      </c>
      <c r="B1723" s="8">
        <v>812.35946933854495</v>
      </c>
      <c r="F1723" s="7"/>
      <c r="G1723" s="7"/>
      <c r="M1723" s="10"/>
      <c r="P1723" s="11"/>
      <c r="Q1723" s="12"/>
    </row>
    <row r="1724" spans="1:17">
      <c r="A1724" s="14">
        <v>41232</v>
      </c>
      <c r="B1724" s="8">
        <v>830.19719762349155</v>
      </c>
      <c r="F1724" s="7"/>
      <c r="G1724" s="7"/>
      <c r="M1724" s="10"/>
      <c r="P1724" s="11"/>
      <c r="Q1724" s="12"/>
    </row>
    <row r="1725" spans="1:17">
      <c r="A1725" s="14">
        <v>41233</v>
      </c>
      <c r="B1725" s="8">
        <v>832.54485267752091</v>
      </c>
      <c r="F1725" s="7"/>
      <c r="G1725" s="7"/>
      <c r="M1725" s="10"/>
      <c r="P1725" s="11"/>
      <c r="Q1725" s="12"/>
    </row>
    <row r="1726" spans="1:17">
      <c r="A1726" s="14">
        <v>41234</v>
      </c>
      <c r="B1726" s="8">
        <v>835.8002119711</v>
      </c>
      <c r="F1726" s="7"/>
      <c r="G1726" s="7"/>
      <c r="M1726" s="10"/>
      <c r="P1726" s="11"/>
      <c r="Q1726" s="12"/>
    </row>
    <row r="1727" spans="1:17">
      <c r="A1727" s="14">
        <v>41236</v>
      </c>
      <c r="B1727" s="8">
        <v>842.65912610519388</v>
      </c>
      <c r="F1727" s="7"/>
      <c r="G1727" s="7"/>
      <c r="M1727" s="10"/>
      <c r="P1727" s="11"/>
      <c r="Q1727" s="12"/>
    </row>
    <row r="1728" spans="1:17">
      <c r="A1728" s="14">
        <v>41239</v>
      </c>
      <c r="B1728" s="8">
        <v>838.71799201391423</v>
      </c>
      <c r="F1728" s="7"/>
      <c r="G1728" s="7"/>
      <c r="M1728" s="10"/>
      <c r="P1728" s="11"/>
      <c r="Q1728" s="12"/>
    </row>
    <row r="1729" spans="1:17">
      <c r="A1729" s="14">
        <v>41240</v>
      </c>
      <c r="B1729" s="8">
        <v>837.71454005204623</v>
      </c>
      <c r="F1729" s="7"/>
      <c r="G1729" s="7"/>
      <c r="M1729" s="10"/>
      <c r="P1729" s="11"/>
      <c r="Q1729" s="12"/>
    </row>
    <row r="1730" spans="1:17">
      <c r="A1730" s="14">
        <v>41241</v>
      </c>
      <c r="B1730" s="8">
        <v>841.53377066635562</v>
      </c>
      <c r="F1730" s="7"/>
      <c r="G1730" s="7"/>
      <c r="M1730" s="10"/>
      <c r="P1730" s="11"/>
      <c r="Q1730" s="12"/>
    </row>
    <row r="1731" spans="1:17">
      <c r="A1731" s="14">
        <v>41242</v>
      </c>
      <c r="B1731" s="8">
        <v>849.46309517415807</v>
      </c>
      <c r="F1731" s="7"/>
      <c r="G1731" s="7"/>
      <c r="M1731" s="10"/>
      <c r="P1731" s="11"/>
      <c r="Q1731" s="12"/>
    </row>
    <row r="1732" spans="1:17">
      <c r="A1732" s="14">
        <v>41243</v>
      </c>
      <c r="B1732" s="8">
        <v>846.9841879790838</v>
      </c>
      <c r="F1732" s="7"/>
      <c r="G1732" s="7"/>
      <c r="M1732" s="10"/>
      <c r="P1732" s="11"/>
      <c r="Q1732" s="12"/>
    </row>
    <row r="1733" spans="1:17">
      <c r="A1733" s="14">
        <v>41246</v>
      </c>
      <c r="B1733" s="8">
        <v>843.43615587022873</v>
      </c>
      <c r="F1733" s="7"/>
      <c r="G1733" s="7"/>
      <c r="M1733" s="10"/>
      <c r="P1733" s="11"/>
      <c r="Q1733" s="12"/>
    </row>
    <row r="1734" spans="1:17">
      <c r="A1734" s="14">
        <v>41247</v>
      </c>
      <c r="B1734" s="8">
        <v>843.80900843954248</v>
      </c>
      <c r="F1734" s="7"/>
      <c r="G1734" s="7"/>
      <c r="M1734" s="10"/>
      <c r="P1734" s="11"/>
      <c r="Q1734" s="12"/>
    </row>
    <row r="1735" spans="1:17">
      <c r="A1735" s="14">
        <v>41248</v>
      </c>
      <c r="B1735" s="8">
        <v>846.60088835353849</v>
      </c>
      <c r="F1735" s="7"/>
      <c r="G1735" s="7"/>
      <c r="M1735" s="10"/>
      <c r="P1735" s="11"/>
      <c r="Q1735" s="12"/>
    </row>
    <row r="1736" spans="1:17">
      <c r="A1736" s="14">
        <v>41249</v>
      </c>
      <c r="B1736" s="8">
        <v>854.10300624533511</v>
      </c>
      <c r="F1736" s="7"/>
      <c r="G1736" s="7"/>
      <c r="M1736" s="10"/>
      <c r="P1736" s="11"/>
      <c r="Q1736" s="12"/>
    </row>
    <row r="1737" spans="1:17">
      <c r="A1737" s="14">
        <v>41250</v>
      </c>
      <c r="B1737" s="8">
        <v>856.50152882208363</v>
      </c>
      <c r="F1737" s="7"/>
      <c r="G1737" s="7"/>
      <c r="M1737" s="10"/>
      <c r="P1737" s="11"/>
      <c r="Q1737" s="12"/>
    </row>
    <row r="1738" spans="1:17">
      <c r="A1738" s="14">
        <v>41253</v>
      </c>
      <c r="B1738" s="8">
        <v>855.3779771391122</v>
      </c>
      <c r="F1738" s="7"/>
      <c r="G1738" s="7"/>
      <c r="M1738" s="10"/>
      <c r="P1738" s="11"/>
      <c r="Q1738" s="12"/>
    </row>
    <row r="1739" spans="1:17">
      <c r="A1739" s="14">
        <v>41254</v>
      </c>
      <c r="B1739" s="8">
        <v>861.50344860165455</v>
      </c>
      <c r="F1739" s="7"/>
      <c r="G1739" s="7"/>
      <c r="M1739" s="10"/>
      <c r="P1739" s="11"/>
      <c r="Q1739" s="12"/>
    </row>
    <row r="1740" spans="1:17">
      <c r="A1740" s="14">
        <v>41255</v>
      </c>
      <c r="B1740" s="8">
        <v>859.75562235533721</v>
      </c>
      <c r="F1740" s="7"/>
      <c r="G1740" s="7"/>
      <c r="M1740" s="10"/>
      <c r="P1740" s="11"/>
      <c r="Q1740" s="12"/>
    </row>
    <row r="1741" spans="1:17">
      <c r="A1741" s="14">
        <v>41256</v>
      </c>
      <c r="B1741" s="8">
        <v>857.0532649785614</v>
      </c>
      <c r="F1741" s="7"/>
      <c r="G1741" s="7"/>
      <c r="M1741" s="10"/>
      <c r="P1741" s="11"/>
      <c r="Q1741" s="12"/>
    </row>
    <row r="1742" spans="1:17">
      <c r="A1742" s="14">
        <v>41257</v>
      </c>
      <c r="B1742" s="8">
        <v>853.35481013973413</v>
      </c>
      <c r="F1742" s="7"/>
      <c r="G1742" s="7"/>
      <c r="M1742" s="10"/>
      <c r="P1742" s="11"/>
      <c r="Q1742" s="12"/>
    </row>
    <row r="1743" spans="1:17">
      <c r="A1743" s="14">
        <v>41260</v>
      </c>
      <c r="B1743" s="8">
        <v>859.1788519748734</v>
      </c>
      <c r="F1743" s="7"/>
      <c r="G1743" s="7"/>
      <c r="M1743" s="10"/>
      <c r="P1743" s="11"/>
      <c r="Q1743" s="12"/>
    </row>
    <row r="1744" spans="1:17">
      <c r="A1744" s="14">
        <v>41261</v>
      </c>
      <c r="B1744" s="8">
        <v>866.23562904130881</v>
      </c>
      <c r="F1744" s="7"/>
      <c r="G1744" s="7"/>
      <c r="M1744" s="10"/>
      <c r="P1744" s="11"/>
      <c r="Q1744" s="12"/>
    </row>
    <row r="1745" spans="1:17">
      <c r="A1745" s="14">
        <v>41262</v>
      </c>
      <c r="B1745" s="8">
        <v>865.35635800561431</v>
      </c>
      <c r="F1745" s="7"/>
      <c r="G1745" s="7"/>
      <c r="M1745" s="10"/>
      <c r="P1745" s="11"/>
      <c r="Q1745" s="12"/>
    </row>
    <row r="1746" spans="1:17">
      <c r="A1746" s="14">
        <v>41263</v>
      </c>
      <c r="B1746" s="8">
        <v>868.99736464691409</v>
      </c>
      <c r="F1746" s="7"/>
      <c r="G1746" s="7"/>
      <c r="M1746" s="10"/>
      <c r="P1746" s="11"/>
      <c r="Q1746" s="12"/>
    </row>
    <row r="1747" spans="1:17">
      <c r="A1747" s="14">
        <v>41264</v>
      </c>
      <c r="B1747" s="8">
        <v>865.36528212288147</v>
      </c>
      <c r="F1747" s="7"/>
      <c r="G1747" s="7"/>
      <c r="M1747" s="10"/>
      <c r="P1747" s="11"/>
      <c r="Q1747" s="12"/>
    </row>
    <row r="1748" spans="1:17">
      <c r="A1748" s="14">
        <v>41267</v>
      </c>
      <c r="B1748" s="8">
        <v>862.97448605912302</v>
      </c>
      <c r="F1748" s="7"/>
      <c r="G1748" s="7"/>
      <c r="M1748" s="10"/>
      <c r="P1748" s="11"/>
      <c r="Q1748" s="12"/>
    </row>
    <row r="1749" spans="1:17">
      <c r="A1749" s="14">
        <v>41270</v>
      </c>
      <c r="B1749" s="8">
        <v>861.00227520188332</v>
      </c>
      <c r="F1749" s="7"/>
      <c r="G1749" s="7"/>
      <c r="M1749" s="10"/>
      <c r="P1749" s="11"/>
      <c r="Q1749" s="12"/>
    </row>
    <row r="1750" spans="1:17">
      <c r="A1750" s="14">
        <v>41271</v>
      </c>
      <c r="B1750" s="8">
        <v>849.6257200996796</v>
      </c>
      <c r="F1750" s="7"/>
      <c r="G1750" s="7"/>
      <c r="M1750" s="10"/>
      <c r="P1750" s="11"/>
      <c r="Q1750" s="12"/>
    </row>
    <row r="1751" spans="1:17">
      <c r="A1751" s="14">
        <v>41274</v>
      </c>
      <c r="B1751" s="8">
        <v>859.89147966844303</v>
      </c>
      <c r="F1751" s="7"/>
      <c r="G1751" s="7"/>
      <c r="M1751" s="10"/>
      <c r="P1751" s="11"/>
      <c r="Q1751" s="12"/>
    </row>
    <row r="1752" spans="1:17">
      <c r="A1752" s="14">
        <v>41276</v>
      </c>
      <c r="B1752" s="8">
        <v>886.20713711630992</v>
      </c>
      <c r="F1752" s="7"/>
      <c r="G1752" s="7"/>
      <c r="M1752" s="10"/>
      <c r="P1752" s="11"/>
      <c r="Q1752" s="12"/>
    </row>
    <row r="1753" spans="1:17">
      <c r="A1753" s="14">
        <v>41277</v>
      </c>
      <c r="B1753" s="8">
        <v>886.54637147428264</v>
      </c>
      <c r="F1753" s="7"/>
      <c r="G1753" s="7"/>
      <c r="M1753" s="10"/>
      <c r="P1753" s="11"/>
      <c r="Q1753" s="12"/>
    </row>
    <row r="1754" spans="1:17">
      <c r="A1754" s="14">
        <v>41278</v>
      </c>
      <c r="B1754" s="8">
        <v>893.66993704664355</v>
      </c>
      <c r="F1754" s="7"/>
      <c r="G1754" s="7"/>
      <c r="M1754" s="10"/>
      <c r="P1754" s="11"/>
      <c r="Q1754" s="12"/>
    </row>
    <row r="1755" spans="1:17">
      <c r="A1755" s="14">
        <v>41281</v>
      </c>
      <c r="B1755" s="8">
        <v>886.87652728558089</v>
      </c>
      <c r="F1755" s="7"/>
      <c r="G1755" s="7"/>
      <c r="M1755" s="10"/>
      <c r="P1755" s="11"/>
      <c r="Q1755" s="12"/>
    </row>
    <row r="1756" spans="1:17">
      <c r="A1756" s="14">
        <v>41282</v>
      </c>
      <c r="B1756" s="8">
        <v>884.48198944269836</v>
      </c>
      <c r="F1756" s="7"/>
      <c r="G1756" s="7"/>
      <c r="M1756" s="10"/>
      <c r="P1756" s="11"/>
      <c r="Q1756" s="12"/>
    </row>
    <row r="1757" spans="1:17">
      <c r="A1757" s="14">
        <v>41283</v>
      </c>
      <c r="B1757" s="8">
        <v>888.90042612049558</v>
      </c>
      <c r="F1757" s="7"/>
      <c r="G1757" s="7"/>
      <c r="M1757" s="10"/>
      <c r="P1757" s="11"/>
      <c r="Q1757" s="12"/>
    </row>
    <row r="1758" spans="1:17">
      <c r="A1758" s="14">
        <v>41284</v>
      </c>
      <c r="B1758" s="8">
        <v>886.30378099373547</v>
      </c>
      <c r="F1758" s="7"/>
      <c r="G1758" s="7"/>
      <c r="M1758" s="10"/>
      <c r="P1758" s="11"/>
      <c r="Q1758" s="12"/>
    </row>
    <row r="1759" spans="1:17">
      <c r="A1759" s="14">
        <v>41285</v>
      </c>
      <c r="B1759" s="8">
        <v>883.43730682145383</v>
      </c>
      <c r="F1759" s="7"/>
      <c r="G1759" s="7"/>
      <c r="M1759" s="10"/>
      <c r="P1759" s="11"/>
      <c r="Q1759" s="12"/>
    </row>
    <row r="1760" spans="1:17">
      <c r="A1760" s="14">
        <v>41288</v>
      </c>
      <c r="B1760" s="8">
        <v>882.87405782230985</v>
      </c>
      <c r="F1760" s="7"/>
      <c r="G1760" s="7"/>
      <c r="M1760" s="10"/>
      <c r="P1760" s="11"/>
      <c r="Q1760" s="12"/>
    </row>
    <row r="1761" spans="1:17">
      <c r="A1761" s="14">
        <v>41289</v>
      </c>
      <c r="B1761" s="8">
        <v>883.78911483551929</v>
      </c>
      <c r="F1761" s="7"/>
      <c r="G1761" s="7"/>
      <c r="M1761" s="10"/>
      <c r="P1761" s="11"/>
      <c r="Q1761" s="12"/>
    </row>
    <row r="1762" spans="1:17">
      <c r="A1762" s="14">
        <v>41290</v>
      </c>
      <c r="B1762" s="8">
        <v>884.72390523722811</v>
      </c>
      <c r="F1762" s="7"/>
      <c r="G1762" s="7"/>
      <c r="M1762" s="10"/>
      <c r="P1762" s="11"/>
      <c r="Q1762" s="12"/>
    </row>
    <row r="1763" spans="1:17">
      <c r="A1763" s="14">
        <v>41291</v>
      </c>
      <c r="B1763" s="8">
        <v>890.09694144688001</v>
      </c>
      <c r="F1763" s="7"/>
      <c r="G1763" s="7"/>
      <c r="M1763" s="10"/>
      <c r="P1763" s="11"/>
      <c r="Q1763" s="12"/>
    </row>
    <row r="1764" spans="1:17">
      <c r="A1764" s="14">
        <v>41292</v>
      </c>
      <c r="B1764" s="8">
        <v>891.79010108439911</v>
      </c>
      <c r="F1764" s="7"/>
      <c r="G1764" s="7"/>
      <c r="M1764" s="10"/>
      <c r="P1764" s="11"/>
      <c r="Q1764" s="12"/>
    </row>
    <row r="1765" spans="1:17">
      <c r="A1765" s="14">
        <v>41296</v>
      </c>
      <c r="B1765" s="8">
        <v>897.0907779495227</v>
      </c>
      <c r="F1765" s="7"/>
      <c r="G1765" s="7"/>
      <c r="M1765" s="10"/>
      <c r="P1765" s="11"/>
      <c r="Q1765" s="12"/>
    </row>
    <row r="1766" spans="1:17">
      <c r="A1766" s="14">
        <v>41297</v>
      </c>
      <c r="B1766" s="8">
        <v>894.1878307594792</v>
      </c>
      <c r="F1766" s="7"/>
      <c r="G1766" s="7"/>
      <c r="M1766" s="10"/>
      <c r="P1766" s="11"/>
      <c r="Q1766" s="12"/>
    </row>
    <row r="1767" spans="1:17">
      <c r="A1767" s="14">
        <v>41298</v>
      </c>
      <c r="B1767" s="8">
        <v>897.28083512382807</v>
      </c>
      <c r="F1767" s="7"/>
      <c r="G1767" s="7"/>
      <c r="M1767" s="10"/>
      <c r="P1767" s="11"/>
      <c r="Q1767" s="12"/>
    </row>
    <row r="1768" spans="1:17">
      <c r="A1768" s="14">
        <v>41299</v>
      </c>
      <c r="B1768" s="8">
        <v>900.34347046671201</v>
      </c>
      <c r="F1768" s="7"/>
      <c r="G1768" s="7"/>
      <c r="M1768" s="10"/>
      <c r="P1768" s="11"/>
      <c r="Q1768" s="12"/>
    </row>
    <row r="1769" spans="1:17">
      <c r="A1769" s="14">
        <v>41302</v>
      </c>
      <c r="B1769" s="8">
        <v>898.863641834595</v>
      </c>
      <c r="F1769" s="7"/>
      <c r="G1769" s="7"/>
      <c r="M1769" s="10"/>
      <c r="P1769" s="11"/>
      <c r="Q1769" s="12"/>
    </row>
    <row r="1770" spans="1:17">
      <c r="A1770" s="14">
        <v>41303</v>
      </c>
      <c r="B1770" s="8">
        <v>900.76301298750593</v>
      </c>
      <c r="F1770" s="7"/>
      <c r="G1770" s="7"/>
      <c r="M1770" s="10"/>
      <c r="P1770" s="11"/>
      <c r="Q1770" s="12"/>
    </row>
    <row r="1771" spans="1:17">
      <c r="A1771" s="14">
        <v>41304</v>
      </c>
      <c r="B1771" s="8">
        <v>891.97392923509017</v>
      </c>
      <c r="F1771" s="7"/>
      <c r="G1771" s="7"/>
      <c r="M1771" s="10"/>
      <c r="P1771" s="11"/>
      <c r="Q1771" s="12"/>
    </row>
    <row r="1772" spans="1:17">
      <c r="A1772" s="14">
        <v>41305</v>
      </c>
      <c r="B1772" s="8">
        <v>886.59425680423442</v>
      </c>
      <c r="F1772" s="7"/>
      <c r="G1772" s="7"/>
      <c r="M1772" s="10"/>
      <c r="P1772" s="11"/>
      <c r="Q1772" s="12"/>
    </row>
    <row r="1773" spans="1:17">
      <c r="A1773" s="14">
        <v>41306</v>
      </c>
      <c r="B1773" s="8">
        <v>888.65712949110593</v>
      </c>
      <c r="F1773" s="7"/>
      <c r="G1773" s="7"/>
      <c r="M1773" s="10"/>
      <c r="P1773" s="11"/>
      <c r="Q1773" s="12"/>
    </row>
    <row r="1774" spans="1:17">
      <c r="A1774" s="14">
        <v>41309</v>
      </c>
      <c r="B1774" s="8">
        <v>872.76243665663981</v>
      </c>
      <c r="F1774" s="7"/>
      <c r="G1774" s="7"/>
      <c r="M1774" s="10"/>
      <c r="P1774" s="11"/>
      <c r="Q1774" s="12"/>
    </row>
    <row r="1775" spans="1:17">
      <c r="A1775" s="14">
        <v>41310</v>
      </c>
      <c r="B1775" s="8">
        <v>880.24536095695771</v>
      </c>
      <c r="F1775" s="7"/>
      <c r="G1775" s="7"/>
      <c r="M1775" s="10"/>
      <c r="P1775" s="11"/>
      <c r="Q1775" s="12"/>
    </row>
    <row r="1776" spans="1:17">
      <c r="A1776" s="14">
        <v>41311</v>
      </c>
      <c r="B1776" s="8">
        <v>878.42892017755048</v>
      </c>
      <c r="F1776" s="7"/>
      <c r="G1776" s="7"/>
      <c r="M1776" s="10"/>
      <c r="P1776" s="11"/>
      <c r="Q1776" s="12"/>
    </row>
    <row r="1777" spans="1:17">
      <c r="A1777" s="14">
        <v>41312</v>
      </c>
      <c r="B1777" s="8">
        <v>878.53013737040214</v>
      </c>
      <c r="F1777" s="7"/>
      <c r="G1777" s="7"/>
      <c r="M1777" s="10"/>
      <c r="P1777" s="11"/>
      <c r="Q1777" s="12"/>
    </row>
    <row r="1778" spans="1:17">
      <c r="A1778" s="14">
        <v>41313</v>
      </c>
      <c r="B1778" s="8">
        <v>888.76361419022533</v>
      </c>
      <c r="F1778" s="7"/>
      <c r="G1778" s="7"/>
      <c r="M1778" s="10"/>
      <c r="P1778" s="11"/>
      <c r="Q1778" s="12"/>
    </row>
    <row r="1779" spans="1:17">
      <c r="A1779" s="14">
        <v>41316</v>
      </c>
      <c r="B1779" s="8">
        <v>884.19735771328078</v>
      </c>
      <c r="F1779" s="7"/>
      <c r="G1779" s="7"/>
      <c r="M1779" s="10"/>
      <c r="P1779" s="11"/>
      <c r="Q1779" s="12"/>
    </row>
    <row r="1780" spans="1:17">
      <c r="A1780" s="14">
        <v>41317</v>
      </c>
      <c r="B1780" s="8">
        <v>888.40443128911272</v>
      </c>
      <c r="F1780" s="7"/>
      <c r="G1780" s="7"/>
      <c r="M1780" s="10"/>
      <c r="P1780" s="11"/>
      <c r="Q1780" s="12"/>
    </row>
    <row r="1781" spans="1:17">
      <c r="A1781" s="14">
        <v>41318</v>
      </c>
      <c r="B1781" s="8">
        <v>889.65218935165103</v>
      </c>
      <c r="F1781" s="7"/>
      <c r="G1781" s="7"/>
      <c r="M1781" s="10"/>
      <c r="P1781" s="11"/>
      <c r="Q1781" s="12"/>
    </row>
    <row r="1782" spans="1:17">
      <c r="A1782" s="14">
        <v>41319</v>
      </c>
      <c r="B1782" s="8">
        <v>890.26891347096443</v>
      </c>
      <c r="F1782" s="7"/>
      <c r="G1782" s="7"/>
      <c r="M1782" s="10"/>
      <c r="P1782" s="11"/>
      <c r="Q1782" s="12"/>
    </row>
    <row r="1783" spans="1:17">
      <c r="A1783" s="14">
        <v>41320</v>
      </c>
      <c r="B1783" s="8">
        <v>885.04746127938802</v>
      </c>
      <c r="F1783" s="7"/>
      <c r="G1783" s="7"/>
      <c r="M1783" s="10"/>
      <c r="P1783" s="11"/>
      <c r="Q1783" s="12"/>
    </row>
    <row r="1784" spans="1:17">
      <c r="A1784" s="14">
        <v>41324</v>
      </c>
      <c r="B1784" s="8">
        <v>894.91655212647595</v>
      </c>
      <c r="F1784" s="7"/>
      <c r="G1784" s="7"/>
      <c r="M1784" s="10"/>
      <c r="P1784" s="11"/>
      <c r="Q1784" s="12"/>
    </row>
    <row r="1785" spans="1:17">
      <c r="A1785" s="14">
        <v>41325</v>
      </c>
      <c r="B1785" s="8">
        <v>883.4170517367038</v>
      </c>
      <c r="F1785" s="7"/>
      <c r="G1785" s="7"/>
      <c r="M1785" s="10"/>
      <c r="P1785" s="11"/>
      <c r="Q1785" s="12"/>
    </row>
    <row r="1786" spans="1:17">
      <c r="A1786" s="14">
        <v>41326</v>
      </c>
      <c r="B1786" s="8">
        <v>873.1086498679075</v>
      </c>
      <c r="F1786" s="7"/>
      <c r="G1786" s="7"/>
      <c r="M1786" s="10"/>
      <c r="P1786" s="11"/>
      <c r="Q1786" s="12"/>
    </row>
    <row r="1787" spans="1:17">
      <c r="A1787" s="14">
        <v>41327</v>
      </c>
      <c r="B1787" s="8">
        <v>887.48334053900714</v>
      </c>
      <c r="F1787" s="7"/>
      <c r="G1787" s="7"/>
      <c r="M1787" s="10"/>
      <c r="P1787" s="11"/>
      <c r="Q1787" s="12"/>
    </row>
    <row r="1788" spans="1:17">
      <c r="A1788" s="14">
        <v>41330</v>
      </c>
      <c r="B1788" s="8">
        <v>881.36503140497666</v>
      </c>
      <c r="F1788" s="7"/>
      <c r="G1788" s="7"/>
      <c r="M1788" s="10"/>
      <c r="P1788" s="11"/>
      <c r="Q1788" s="12"/>
    </row>
    <row r="1789" spans="1:17">
      <c r="A1789" s="14">
        <v>41331</v>
      </c>
      <c r="B1789" s="8">
        <v>874.32677881834002</v>
      </c>
      <c r="F1789" s="7"/>
      <c r="G1789" s="7"/>
      <c r="M1789" s="10"/>
      <c r="P1789" s="11"/>
      <c r="Q1789" s="12"/>
    </row>
    <row r="1790" spans="1:17">
      <c r="A1790" s="14">
        <v>41332</v>
      </c>
      <c r="B1790" s="8">
        <v>887.36357480836818</v>
      </c>
      <c r="F1790" s="7"/>
      <c r="G1790" s="7"/>
      <c r="M1790" s="10"/>
      <c r="P1790" s="11"/>
      <c r="Q1790" s="12"/>
    </row>
    <row r="1791" spans="1:17">
      <c r="A1791" s="14">
        <v>41333</v>
      </c>
      <c r="B1791" s="8">
        <v>891.312186626379</v>
      </c>
      <c r="F1791" s="7"/>
      <c r="G1791" s="7"/>
      <c r="M1791" s="10"/>
      <c r="P1791" s="11"/>
      <c r="Q1791" s="12"/>
    </row>
    <row r="1792" spans="1:17">
      <c r="A1792" s="14">
        <v>41334</v>
      </c>
      <c r="B1792" s="8">
        <v>890.08076587126448</v>
      </c>
      <c r="F1792" s="7"/>
      <c r="G1792" s="7"/>
      <c r="M1792" s="10"/>
      <c r="P1792" s="11"/>
      <c r="Q1792" s="12"/>
    </row>
    <row r="1793" spans="1:17">
      <c r="A1793" s="14">
        <v>41337</v>
      </c>
      <c r="B1793" s="8">
        <v>893.28745526291823</v>
      </c>
      <c r="F1793" s="7"/>
      <c r="G1793" s="7"/>
      <c r="M1793" s="10"/>
      <c r="P1793" s="11"/>
      <c r="Q1793" s="12"/>
    </row>
    <row r="1794" spans="1:17">
      <c r="A1794" s="14">
        <v>41338</v>
      </c>
      <c r="B1794" s="8">
        <v>909.09609265365111</v>
      </c>
      <c r="F1794" s="7"/>
      <c r="G1794" s="7"/>
      <c r="M1794" s="10"/>
      <c r="P1794" s="11"/>
      <c r="Q1794" s="12"/>
    </row>
    <row r="1795" spans="1:17">
      <c r="A1795" s="14">
        <v>41339</v>
      </c>
      <c r="B1795" s="8">
        <v>910.1155818941354</v>
      </c>
      <c r="F1795" s="7"/>
      <c r="G1795" s="7"/>
      <c r="M1795" s="10"/>
      <c r="P1795" s="11"/>
      <c r="Q1795" s="12"/>
    </row>
    <row r="1796" spans="1:17">
      <c r="A1796" s="14">
        <v>41340</v>
      </c>
      <c r="B1796" s="8">
        <v>909.25571310039652</v>
      </c>
      <c r="F1796" s="7"/>
      <c r="G1796" s="7"/>
      <c r="M1796" s="10"/>
      <c r="P1796" s="11"/>
      <c r="Q1796" s="12"/>
    </row>
    <row r="1797" spans="1:17">
      <c r="A1797" s="14">
        <v>41341</v>
      </c>
      <c r="B1797" s="8">
        <v>924.05294274909954</v>
      </c>
      <c r="F1797" s="7"/>
      <c r="G1797" s="7"/>
      <c r="M1797" s="10"/>
      <c r="P1797" s="11"/>
      <c r="Q1797" s="12"/>
    </row>
    <row r="1798" spans="1:17">
      <c r="A1798" s="14">
        <v>41344</v>
      </c>
      <c r="B1798" s="8">
        <v>921.49785369542872</v>
      </c>
      <c r="F1798" s="7"/>
      <c r="G1798" s="7"/>
      <c r="M1798" s="10"/>
      <c r="P1798" s="11"/>
      <c r="Q1798" s="12"/>
    </row>
    <row r="1799" spans="1:17">
      <c r="A1799" s="14">
        <v>41345</v>
      </c>
      <c r="B1799" s="8">
        <v>920.12968765627204</v>
      </c>
      <c r="F1799" s="7"/>
      <c r="G1799" s="7"/>
      <c r="M1799" s="10"/>
      <c r="P1799" s="11"/>
      <c r="Q1799" s="12"/>
    </row>
    <row r="1800" spans="1:17">
      <c r="A1800" s="14">
        <v>41346</v>
      </c>
      <c r="B1800" s="8">
        <v>921.6570588541191</v>
      </c>
      <c r="F1800" s="7"/>
      <c r="G1800" s="7"/>
      <c r="M1800" s="10"/>
      <c r="P1800" s="11"/>
      <c r="Q1800" s="12"/>
    </row>
    <row r="1801" spans="1:17">
      <c r="A1801" s="14">
        <v>41347</v>
      </c>
      <c r="B1801" s="8">
        <v>931.04079420699463</v>
      </c>
      <c r="F1801" s="7"/>
      <c r="G1801" s="7"/>
      <c r="M1801" s="10"/>
      <c r="P1801" s="11"/>
      <c r="Q1801" s="12"/>
    </row>
    <row r="1802" spans="1:17">
      <c r="A1802" s="14">
        <v>41348</v>
      </c>
      <c r="B1802" s="8">
        <v>923.76898644787184</v>
      </c>
      <c r="F1802" s="7"/>
      <c r="G1802" s="7"/>
      <c r="M1802" s="10"/>
      <c r="P1802" s="11"/>
      <c r="Q1802" s="12"/>
    </row>
    <row r="1803" spans="1:17">
      <c r="A1803" s="14">
        <v>41351</v>
      </c>
      <c r="B1803" s="8">
        <v>920.39162448633238</v>
      </c>
      <c r="F1803" s="7"/>
      <c r="G1803" s="7"/>
      <c r="M1803" s="10"/>
      <c r="P1803" s="11"/>
      <c r="Q1803" s="12"/>
    </row>
    <row r="1804" spans="1:17">
      <c r="A1804" s="14">
        <v>41352</v>
      </c>
      <c r="B1804" s="8">
        <v>914.62879713971972</v>
      </c>
      <c r="F1804" s="7"/>
      <c r="G1804" s="7"/>
      <c r="M1804" s="10"/>
      <c r="P1804" s="11"/>
      <c r="Q1804" s="12"/>
    </row>
    <row r="1805" spans="1:17">
      <c r="A1805" s="14">
        <v>41353</v>
      </c>
      <c r="B1805" s="8">
        <v>923.28866717537403</v>
      </c>
      <c r="F1805" s="7"/>
      <c r="G1805" s="7"/>
      <c r="M1805" s="10"/>
      <c r="P1805" s="11"/>
      <c r="Q1805" s="12"/>
    </row>
    <row r="1806" spans="1:17">
      <c r="A1806" s="14">
        <v>41354</v>
      </c>
      <c r="B1806" s="8">
        <v>915.38819968486735</v>
      </c>
      <c r="F1806" s="7"/>
      <c r="G1806" s="7"/>
      <c r="M1806" s="10"/>
      <c r="P1806" s="11"/>
      <c r="Q1806" s="12"/>
    </row>
    <row r="1807" spans="1:17">
      <c r="A1807" s="14">
        <v>41355</v>
      </c>
      <c r="B1807" s="8">
        <v>915.61496292468803</v>
      </c>
      <c r="F1807" s="7"/>
      <c r="G1807" s="7"/>
      <c r="M1807" s="10"/>
      <c r="P1807" s="11"/>
      <c r="Q1807" s="12"/>
    </row>
    <row r="1808" spans="1:17">
      <c r="A1808" s="14">
        <v>41358</v>
      </c>
      <c r="B1808" s="8">
        <v>910.3629623003402</v>
      </c>
      <c r="F1808" s="7"/>
      <c r="G1808" s="7"/>
      <c r="M1808" s="10"/>
      <c r="P1808" s="11"/>
      <c r="Q1808" s="12"/>
    </row>
    <row r="1809" spans="1:17">
      <c r="A1809" s="14">
        <v>41359</v>
      </c>
      <c r="B1809" s="8">
        <v>911.9854336844121</v>
      </c>
      <c r="F1809" s="7"/>
      <c r="G1809" s="7"/>
      <c r="M1809" s="10"/>
      <c r="P1809" s="11"/>
      <c r="Q1809" s="12"/>
    </row>
    <row r="1810" spans="1:17">
      <c r="A1810" s="14">
        <v>41360</v>
      </c>
      <c r="B1810" s="8">
        <v>907.12699302810074</v>
      </c>
      <c r="F1810" s="7"/>
      <c r="G1810" s="7"/>
      <c r="M1810" s="10"/>
      <c r="P1810" s="11"/>
      <c r="Q1810" s="12"/>
    </row>
    <row r="1811" spans="1:17">
      <c r="A1811" s="14">
        <v>41361</v>
      </c>
      <c r="B1811" s="8">
        <v>909.81128696427959</v>
      </c>
      <c r="F1811" s="7"/>
      <c r="G1811" s="7"/>
      <c r="M1811" s="10"/>
      <c r="P1811" s="11"/>
      <c r="Q1811" s="12"/>
    </row>
    <row r="1812" spans="1:17">
      <c r="A1812" s="14">
        <v>41362</v>
      </c>
      <c r="B1812" s="8">
        <v>909.42959428684537</v>
      </c>
      <c r="F1812" s="7"/>
      <c r="G1812" s="7"/>
      <c r="M1812" s="10"/>
      <c r="P1812" s="11"/>
      <c r="Q1812" s="12"/>
    </row>
    <row r="1813" spans="1:17">
      <c r="A1813" s="14">
        <v>41365</v>
      </c>
      <c r="B1813" s="8">
        <v>908.74375133172828</v>
      </c>
      <c r="F1813" s="7"/>
      <c r="G1813" s="7"/>
      <c r="M1813" s="10"/>
      <c r="P1813" s="11"/>
      <c r="Q1813" s="12"/>
    </row>
    <row r="1814" spans="1:17">
      <c r="A1814" s="14">
        <v>41366</v>
      </c>
      <c r="B1814" s="8">
        <v>918.67108811046239</v>
      </c>
      <c r="F1814" s="7"/>
      <c r="G1814" s="7"/>
      <c r="M1814" s="10"/>
      <c r="P1814" s="11"/>
      <c r="Q1814" s="12"/>
    </row>
    <row r="1815" spans="1:17">
      <c r="A1815" s="14">
        <v>41367</v>
      </c>
      <c r="B1815" s="8">
        <v>901.45342566866111</v>
      </c>
      <c r="F1815" s="7"/>
      <c r="G1815" s="7"/>
      <c r="M1815" s="10"/>
      <c r="P1815" s="11"/>
      <c r="Q1815" s="12"/>
    </row>
    <row r="1816" spans="1:17">
      <c r="A1816" s="14">
        <v>41368</v>
      </c>
      <c r="B1816" s="8">
        <v>901.11662611269833</v>
      </c>
      <c r="F1816" s="7"/>
      <c r="G1816" s="7"/>
      <c r="M1816" s="10"/>
      <c r="P1816" s="11"/>
      <c r="Q1816" s="12"/>
    </row>
    <row r="1817" spans="1:17">
      <c r="A1817" s="14">
        <v>41369</v>
      </c>
      <c r="B1817" s="8">
        <v>893.69232655583085</v>
      </c>
      <c r="F1817" s="7"/>
      <c r="G1817" s="7"/>
      <c r="M1817" s="10"/>
      <c r="P1817" s="11"/>
      <c r="Q1817" s="12"/>
    </row>
    <row r="1818" spans="1:17">
      <c r="A1818" s="14">
        <v>41372</v>
      </c>
      <c r="B1818" s="8">
        <v>895.47514447702611</v>
      </c>
      <c r="F1818" s="7"/>
      <c r="G1818" s="7"/>
      <c r="M1818" s="10"/>
      <c r="P1818" s="11"/>
      <c r="Q1818" s="12"/>
    </row>
    <row r="1819" spans="1:17">
      <c r="A1819" s="14">
        <v>41373</v>
      </c>
      <c r="B1819" s="8">
        <v>898.30730013485777</v>
      </c>
      <c r="F1819" s="7"/>
      <c r="G1819" s="7"/>
      <c r="M1819" s="10"/>
      <c r="P1819" s="11"/>
      <c r="Q1819" s="12"/>
    </row>
    <row r="1820" spans="1:17">
      <c r="A1820" s="14">
        <v>41374</v>
      </c>
      <c r="B1820" s="8">
        <v>919.08301986805247</v>
      </c>
      <c r="F1820" s="7"/>
      <c r="G1820" s="7"/>
      <c r="M1820" s="10"/>
      <c r="P1820" s="11"/>
      <c r="Q1820" s="12"/>
    </row>
    <row r="1821" spans="1:17">
      <c r="A1821" s="14">
        <v>41375</v>
      </c>
      <c r="B1821" s="8">
        <v>925.92442482043066</v>
      </c>
      <c r="F1821" s="7"/>
      <c r="G1821" s="7"/>
      <c r="M1821" s="10"/>
      <c r="P1821" s="11"/>
      <c r="Q1821" s="12"/>
    </row>
    <row r="1822" spans="1:17">
      <c r="A1822" s="14">
        <v>41376</v>
      </c>
      <c r="B1822" s="8">
        <v>917.98546698396331</v>
      </c>
      <c r="F1822" s="7"/>
      <c r="G1822" s="7"/>
      <c r="M1822" s="10"/>
      <c r="P1822" s="11"/>
      <c r="Q1822" s="12"/>
    </row>
    <row r="1823" spans="1:17">
      <c r="A1823" s="14">
        <v>41379</v>
      </c>
      <c r="B1823" s="8">
        <v>905.59322771314066</v>
      </c>
      <c r="F1823" s="7"/>
      <c r="G1823" s="7"/>
      <c r="M1823" s="10"/>
      <c r="P1823" s="11"/>
      <c r="Q1823" s="12"/>
    </row>
    <row r="1824" spans="1:17">
      <c r="A1824" s="14">
        <v>41380</v>
      </c>
      <c r="B1824" s="8">
        <v>910.41342720308296</v>
      </c>
      <c r="F1824" s="7"/>
      <c r="G1824" s="7"/>
      <c r="M1824" s="10"/>
      <c r="P1824" s="11"/>
      <c r="Q1824" s="12"/>
    </row>
    <row r="1825" spans="1:17">
      <c r="A1825" s="14">
        <v>41381</v>
      </c>
      <c r="B1825" s="8">
        <v>893.37358778162138</v>
      </c>
      <c r="F1825" s="7"/>
      <c r="G1825" s="7"/>
      <c r="M1825" s="10"/>
      <c r="P1825" s="11"/>
      <c r="Q1825" s="12"/>
    </row>
    <row r="1826" spans="1:17">
      <c r="A1826" s="14">
        <v>41382</v>
      </c>
      <c r="B1826" s="8">
        <v>889.63256719373919</v>
      </c>
      <c r="F1826" s="7"/>
      <c r="G1826" s="7"/>
      <c r="M1826" s="10"/>
      <c r="P1826" s="11"/>
      <c r="Q1826" s="12"/>
    </row>
    <row r="1827" spans="1:17">
      <c r="A1827" s="14">
        <v>41383</v>
      </c>
      <c r="B1827" s="8">
        <v>899.73431378595376</v>
      </c>
      <c r="F1827" s="7"/>
      <c r="G1827" s="7"/>
      <c r="M1827" s="10"/>
      <c r="P1827" s="11"/>
      <c r="Q1827" s="12"/>
    </row>
    <row r="1828" spans="1:17">
      <c r="A1828" s="14">
        <v>41386</v>
      </c>
      <c r="B1828" s="8">
        <v>905.15370690043267</v>
      </c>
      <c r="F1828" s="7"/>
      <c r="G1828" s="7"/>
      <c r="M1828" s="10"/>
      <c r="P1828" s="11"/>
      <c r="Q1828" s="12"/>
    </row>
    <row r="1829" spans="1:17">
      <c r="A1829" s="14">
        <v>41387</v>
      </c>
      <c r="B1829" s="8">
        <v>934.04017385112547</v>
      </c>
      <c r="F1829" s="7"/>
      <c r="G1829" s="7"/>
      <c r="M1829" s="10"/>
      <c r="P1829" s="11"/>
      <c r="Q1829" s="12"/>
    </row>
    <row r="1830" spans="1:17">
      <c r="A1830" s="14">
        <v>41388</v>
      </c>
      <c r="B1830" s="8">
        <v>940.48042623531205</v>
      </c>
      <c r="F1830" s="7"/>
      <c r="G1830" s="7"/>
      <c r="M1830" s="10"/>
      <c r="P1830" s="11"/>
      <c r="Q1830" s="12"/>
    </row>
    <row r="1831" spans="1:17">
      <c r="A1831" s="14">
        <v>41389</v>
      </c>
      <c r="B1831" s="8">
        <v>944.71619869217193</v>
      </c>
      <c r="F1831" s="7"/>
      <c r="G1831" s="7"/>
      <c r="M1831" s="10"/>
      <c r="P1831" s="11"/>
      <c r="Q1831" s="12"/>
    </row>
    <row r="1832" spans="1:17">
      <c r="A1832" s="14">
        <v>41390</v>
      </c>
      <c r="B1832" s="8">
        <v>940.32787920470116</v>
      </c>
      <c r="F1832" s="7"/>
      <c r="G1832" s="7"/>
      <c r="M1832" s="10"/>
      <c r="P1832" s="11"/>
      <c r="Q1832" s="12"/>
    </row>
    <row r="1833" spans="1:17">
      <c r="A1833" s="14">
        <v>41393</v>
      </c>
      <c r="B1833" s="8">
        <v>951.43789981124928</v>
      </c>
      <c r="F1833" s="7"/>
      <c r="G1833" s="7"/>
      <c r="M1833" s="10"/>
      <c r="P1833" s="11"/>
      <c r="Q1833" s="12"/>
    </row>
    <row r="1834" spans="1:17">
      <c r="A1834" s="14">
        <v>41394</v>
      </c>
      <c r="B1834" s="8">
        <v>948.82644480327383</v>
      </c>
      <c r="F1834" s="7"/>
      <c r="G1834" s="7"/>
      <c r="M1834" s="10"/>
      <c r="P1834" s="11"/>
      <c r="Q1834" s="12"/>
    </row>
    <row r="1835" spans="1:17">
      <c r="A1835" s="14">
        <v>41395</v>
      </c>
      <c r="B1835" s="8">
        <v>943.83564366077098</v>
      </c>
      <c r="F1835" s="7"/>
      <c r="G1835" s="7"/>
      <c r="M1835" s="10"/>
      <c r="P1835" s="11"/>
      <c r="Q1835" s="12"/>
    </row>
    <row r="1836" spans="1:17">
      <c r="A1836" s="14">
        <v>41396</v>
      </c>
      <c r="B1836" s="8">
        <v>952.71245578949686</v>
      </c>
      <c r="F1836" s="7"/>
      <c r="G1836" s="7"/>
      <c r="M1836" s="10"/>
      <c r="P1836" s="11"/>
      <c r="Q1836" s="12"/>
    </row>
    <row r="1837" spans="1:17">
      <c r="A1837" s="14">
        <v>41397</v>
      </c>
      <c r="B1837" s="8">
        <v>965.14310538304812</v>
      </c>
      <c r="F1837" s="7"/>
      <c r="G1837" s="7"/>
      <c r="M1837" s="10"/>
      <c r="P1837" s="11"/>
      <c r="Q1837" s="12"/>
    </row>
    <row r="1838" spans="1:17">
      <c r="A1838" s="14">
        <v>41400</v>
      </c>
      <c r="B1838" s="8">
        <v>965.95783590984547</v>
      </c>
      <c r="F1838" s="7"/>
      <c r="G1838" s="7"/>
      <c r="M1838" s="10"/>
      <c r="P1838" s="11"/>
      <c r="Q1838" s="12"/>
    </row>
    <row r="1839" spans="1:17">
      <c r="A1839" s="14">
        <v>41401</v>
      </c>
      <c r="B1839" s="8">
        <v>968.36717412371172</v>
      </c>
      <c r="F1839" s="7"/>
      <c r="G1839" s="7"/>
      <c r="M1839" s="10"/>
      <c r="P1839" s="11"/>
      <c r="Q1839" s="12"/>
    </row>
    <row r="1840" spans="1:17">
      <c r="A1840" s="14">
        <v>41402</v>
      </c>
      <c r="B1840" s="8">
        <v>976.77630902285091</v>
      </c>
      <c r="F1840" s="7"/>
      <c r="G1840" s="7"/>
      <c r="M1840" s="10"/>
      <c r="P1840" s="11"/>
      <c r="Q1840" s="12"/>
    </row>
    <row r="1841" spans="1:17">
      <c r="A1841" s="14">
        <v>41403</v>
      </c>
      <c r="B1841" s="8">
        <v>982.99202268613908</v>
      </c>
      <c r="F1841" s="7"/>
      <c r="G1841" s="7"/>
      <c r="M1841" s="10"/>
      <c r="P1841" s="11"/>
      <c r="Q1841" s="12"/>
    </row>
    <row r="1842" spans="1:17">
      <c r="A1842" s="14">
        <v>41404</v>
      </c>
      <c r="B1842" s="8">
        <v>993.28391614817735</v>
      </c>
      <c r="F1842" s="7"/>
      <c r="G1842" s="7"/>
      <c r="M1842" s="10"/>
      <c r="P1842" s="11"/>
      <c r="Q1842" s="12"/>
    </row>
    <row r="1843" spans="1:17">
      <c r="A1843" s="14">
        <v>41407</v>
      </c>
      <c r="B1843" s="8">
        <v>997.63092807994167</v>
      </c>
      <c r="F1843" s="7"/>
      <c r="G1843" s="7"/>
      <c r="M1843" s="10"/>
      <c r="P1843" s="11"/>
      <c r="Q1843" s="12"/>
    </row>
    <row r="1844" spans="1:17">
      <c r="A1844" s="14">
        <v>41408</v>
      </c>
      <c r="B1844" s="8">
        <v>1002.8081917340951</v>
      </c>
      <c r="F1844" s="7"/>
      <c r="G1844" s="7"/>
      <c r="M1844" s="10"/>
      <c r="P1844" s="11"/>
      <c r="Q1844" s="12"/>
    </row>
    <row r="1845" spans="1:17">
      <c r="A1845" s="14">
        <v>41409</v>
      </c>
      <c r="B1845" s="8">
        <v>1016.5207048511329</v>
      </c>
      <c r="F1845" s="7"/>
      <c r="G1845" s="7"/>
      <c r="M1845" s="10"/>
      <c r="P1845" s="11"/>
      <c r="Q1845" s="12"/>
    </row>
    <row r="1846" spans="1:17">
      <c r="A1846" s="14">
        <v>41410</v>
      </c>
      <c r="B1846" s="8">
        <v>1017.7939199140048</v>
      </c>
      <c r="F1846" s="7"/>
      <c r="G1846" s="7"/>
      <c r="M1846" s="10"/>
      <c r="P1846" s="11"/>
      <c r="Q1846" s="12"/>
    </row>
    <row r="1847" spans="1:17">
      <c r="A1847" s="14">
        <v>41411</v>
      </c>
      <c r="B1847" s="8">
        <v>1025.7955124207197</v>
      </c>
      <c r="F1847" s="7"/>
      <c r="G1847" s="7"/>
      <c r="M1847" s="10"/>
      <c r="P1847" s="11"/>
      <c r="Q1847" s="12"/>
    </row>
    <row r="1848" spans="1:17">
      <c r="A1848" s="14">
        <v>41414</v>
      </c>
      <c r="B1848" s="8">
        <v>1027.3680976369242</v>
      </c>
      <c r="F1848" s="7"/>
      <c r="G1848" s="7"/>
      <c r="M1848" s="10"/>
      <c r="P1848" s="11"/>
      <c r="Q1848" s="12"/>
    </row>
    <row r="1849" spans="1:17">
      <c r="A1849" s="14">
        <v>41415</v>
      </c>
      <c r="B1849" s="8">
        <v>1024.459002172913</v>
      </c>
      <c r="F1849" s="7"/>
      <c r="G1849" s="7"/>
      <c r="M1849" s="10"/>
      <c r="P1849" s="11"/>
      <c r="Q1849" s="12"/>
    </row>
    <row r="1850" spans="1:17">
      <c r="A1850" s="14">
        <v>41416</v>
      </c>
      <c r="B1850" s="8">
        <v>1020.0595765754185</v>
      </c>
      <c r="F1850" s="7"/>
      <c r="G1850" s="7"/>
      <c r="M1850" s="10"/>
      <c r="P1850" s="11"/>
      <c r="Q1850" s="12"/>
    </row>
    <row r="1851" spans="1:17">
      <c r="A1851" s="14">
        <v>41417</v>
      </c>
      <c r="B1851" s="8">
        <v>1008.0043618642009</v>
      </c>
      <c r="F1851" s="7"/>
      <c r="G1851" s="7"/>
      <c r="M1851" s="10"/>
      <c r="P1851" s="11"/>
      <c r="Q1851" s="12"/>
    </row>
    <row r="1852" spans="1:17">
      <c r="A1852" s="14">
        <v>41418</v>
      </c>
      <c r="B1852" s="8">
        <v>1007.9439170893136</v>
      </c>
      <c r="F1852" s="7"/>
      <c r="G1852" s="7"/>
      <c r="M1852" s="10"/>
      <c r="P1852" s="11"/>
      <c r="Q1852" s="12"/>
    </row>
    <row r="1853" spans="1:17">
      <c r="A1853" s="14">
        <v>41421</v>
      </c>
      <c r="B1853" s="8">
        <v>1012.4571128443902</v>
      </c>
      <c r="F1853" s="7"/>
      <c r="G1853" s="7"/>
      <c r="M1853" s="10"/>
      <c r="P1853" s="11"/>
      <c r="Q1853" s="12"/>
    </row>
    <row r="1854" spans="1:17">
      <c r="A1854" s="14">
        <v>41422</v>
      </c>
      <c r="B1854" s="8">
        <v>1031.958409182887</v>
      </c>
      <c r="F1854" s="7"/>
      <c r="G1854" s="7"/>
      <c r="M1854" s="10"/>
      <c r="P1854" s="11"/>
      <c r="Q1854" s="12"/>
    </row>
    <row r="1855" spans="1:17">
      <c r="A1855" s="14">
        <v>41423</v>
      </c>
      <c r="B1855" s="8">
        <v>1021.3715309616389</v>
      </c>
      <c r="F1855" s="7"/>
      <c r="G1855" s="7"/>
      <c r="M1855" s="10"/>
      <c r="P1855" s="11"/>
      <c r="Q1855" s="12"/>
    </row>
    <row r="1856" spans="1:17">
      <c r="A1856" s="14">
        <v>41424</v>
      </c>
      <c r="B1856" s="8">
        <v>1031.5949277350035</v>
      </c>
      <c r="F1856" s="7"/>
      <c r="G1856" s="7"/>
      <c r="M1856" s="10"/>
      <c r="P1856" s="11"/>
      <c r="Q1856" s="12"/>
    </row>
    <row r="1857" spans="1:17">
      <c r="A1857" s="14">
        <v>41425</v>
      </c>
      <c r="B1857" s="8">
        <v>1019.2006477969835</v>
      </c>
      <c r="F1857" s="7"/>
      <c r="G1857" s="7"/>
      <c r="M1857" s="10"/>
      <c r="P1857" s="11"/>
      <c r="Q1857" s="12"/>
    </row>
    <row r="1858" spans="1:17">
      <c r="A1858" s="14">
        <v>41428</v>
      </c>
      <c r="B1858" s="8">
        <v>1011.0893797014523</v>
      </c>
      <c r="F1858" s="7"/>
      <c r="G1858" s="7"/>
      <c r="M1858" s="10"/>
      <c r="P1858" s="11"/>
      <c r="Q1858" s="12"/>
    </row>
    <row r="1859" spans="1:17">
      <c r="A1859" s="14">
        <v>41429</v>
      </c>
      <c r="B1859" s="8">
        <v>1011.0424833076194</v>
      </c>
      <c r="F1859" s="7"/>
      <c r="G1859" s="7"/>
      <c r="M1859" s="10"/>
      <c r="P1859" s="11"/>
      <c r="Q1859" s="12"/>
    </row>
    <row r="1860" spans="1:17">
      <c r="A1860" s="14">
        <v>41430</v>
      </c>
      <c r="B1860" s="8">
        <v>997.1147107612228</v>
      </c>
      <c r="F1860" s="7"/>
      <c r="G1860" s="7"/>
      <c r="M1860" s="10"/>
      <c r="P1860" s="11"/>
      <c r="Q1860" s="12"/>
    </row>
    <row r="1861" spans="1:17">
      <c r="A1861" s="14">
        <v>41431</v>
      </c>
      <c r="B1861" s="8">
        <v>993.48215915043522</v>
      </c>
      <c r="F1861" s="7"/>
      <c r="G1861" s="7"/>
      <c r="M1861" s="10"/>
      <c r="P1861" s="11"/>
      <c r="Q1861" s="12"/>
    </row>
    <row r="1862" spans="1:17">
      <c r="A1862" s="14">
        <v>41432</v>
      </c>
      <c r="B1862" s="8">
        <v>1009.5200580836886</v>
      </c>
      <c r="F1862" s="7"/>
      <c r="G1862" s="7"/>
      <c r="M1862" s="10"/>
      <c r="P1862" s="11"/>
      <c r="Q1862" s="12"/>
    </row>
    <row r="1863" spans="1:17">
      <c r="A1863" s="14">
        <v>41435</v>
      </c>
      <c r="B1863" s="8">
        <v>1005.1862603396121</v>
      </c>
      <c r="F1863" s="7"/>
      <c r="G1863" s="7"/>
      <c r="M1863" s="10"/>
      <c r="P1863" s="11"/>
      <c r="Q1863" s="12"/>
    </row>
    <row r="1864" spans="1:17">
      <c r="A1864" s="14">
        <v>41436</v>
      </c>
      <c r="B1864" s="8">
        <v>987.47046991161744</v>
      </c>
      <c r="F1864" s="7"/>
      <c r="G1864" s="7"/>
      <c r="M1864" s="10"/>
      <c r="P1864" s="11"/>
      <c r="Q1864" s="12"/>
    </row>
    <row r="1865" spans="1:17">
      <c r="A1865" s="14">
        <v>41437</v>
      </c>
      <c r="B1865" s="8">
        <v>979.40324327710277</v>
      </c>
      <c r="F1865" s="7"/>
      <c r="G1865" s="7"/>
      <c r="M1865" s="10"/>
      <c r="P1865" s="11"/>
      <c r="Q1865" s="12"/>
    </row>
    <row r="1866" spans="1:17">
      <c r="A1866" s="14">
        <v>41438</v>
      </c>
      <c r="B1866" s="8">
        <v>984.8256246420101</v>
      </c>
      <c r="F1866" s="7"/>
      <c r="G1866" s="7"/>
      <c r="M1866" s="10"/>
      <c r="P1866" s="11"/>
      <c r="Q1866" s="12"/>
    </row>
    <row r="1867" spans="1:17">
      <c r="A1867" s="14">
        <v>41439</v>
      </c>
      <c r="B1867" s="8">
        <v>983.01708733422004</v>
      </c>
      <c r="F1867" s="7"/>
      <c r="G1867" s="7"/>
      <c r="M1867" s="10"/>
      <c r="P1867" s="11"/>
      <c r="Q1867" s="12"/>
    </row>
    <row r="1868" spans="1:17">
      <c r="A1868" s="14">
        <v>41442</v>
      </c>
      <c r="B1868" s="8">
        <v>991.84722989671548</v>
      </c>
      <c r="F1868" s="7"/>
      <c r="G1868" s="7"/>
      <c r="M1868" s="10"/>
      <c r="P1868" s="11"/>
      <c r="Q1868" s="12"/>
    </row>
    <row r="1869" spans="1:17">
      <c r="A1869" s="14">
        <v>41443</v>
      </c>
      <c r="B1869" s="8">
        <v>997.51024538057857</v>
      </c>
      <c r="F1869" s="7"/>
      <c r="G1869" s="7"/>
      <c r="M1869" s="10"/>
      <c r="P1869" s="11"/>
      <c r="Q1869" s="12"/>
    </row>
    <row r="1870" spans="1:17">
      <c r="A1870" s="14">
        <v>41444</v>
      </c>
      <c r="B1870" s="8">
        <v>996.48048986011293</v>
      </c>
      <c r="F1870" s="7"/>
      <c r="G1870" s="7"/>
      <c r="M1870" s="10"/>
      <c r="P1870" s="11"/>
      <c r="Q1870" s="12"/>
    </row>
    <row r="1871" spans="1:17">
      <c r="A1871" s="14">
        <v>41445</v>
      </c>
      <c r="B1871" s="8">
        <v>967.50802357498458</v>
      </c>
      <c r="F1871" s="7"/>
      <c r="G1871" s="7"/>
      <c r="M1871" s="10"/>
      <c r="P1871" s="11"/>
      <c r="Q1871" s="12"/>
    </row>
    <row r="1872" spans="1:17">
      <c r="A1872" s="14">
        <v>41446</v>
      </c>
      <c r="B1872" s="8">
        <v>954.26854671592207</v>
      </c>
      <c r="F1872" s="7"/>
      <c r="G1872" s="7"/>
      <c r="M1872" s="10"/>
      <c r="P1872" s="11"/>
      <c r="Q1872" s="12"/>
    </row>
    <row r="1873" spans="1:17">
      <c r="A1873" s="14">
        <v>41449</v>
      </c>
      <c r="B1873" s="8">
        <v>943.68543786780572</v>
      </c>
      <c r="F1873" s="7"/>
      <c r="G1873" s="7"/>
      <c r="M1873" s="10"/>
      <c r="P1873" s="11"/>
      <c r="Q1873" s="12"/>
    </row>
    <row r="1874" spans="1:17">
      <c r="A1874" s="14">
        <v>41450</v>
      </c>
      <c r="B1874" s="8">
        <v>955.35213807344894</v>
      </c>
      <c r="F1874" s="7"/>
      <c r="G1874" s="7"/>
      <c r="M1874" s="10"/>
      <c r="P1874" s="11"/>
      <c r="Q1874" s="12"/>
    </row>
    <row r="1875" spans="1:17">
      <c r="A1875" s="14">
        <v>41451</v>
      </c>
      <c r="B1875" s="8">
        <v>972.28388316677888</v>
      </c>
      <c r="F1875" s="7"/>
      <c r="G1875" s="7"/>
      <c r="M1875" s="10"/>
      <c r="P1875" s="11"/>
      <c r="Q1875" s="12"/>
    </row>
    <row r="1876" spans="1:17">
      <c r="A1876" s="14">
        <v>41452</v>
      </c>
      <c r="B1876" s="8">
        <v>977.42090562697206</v>
      </c>
      <c r="F1876" s="7"/>
      <c r="G1876" s="7"/>
      <c r="M1876" s="10"/>
      <c r="P1876" s="11"/>
      <c r="Q1876" s="12"/>
    </row>
    <row r="1877" spans="1:17">
      <c r="A1877" s="14">
        <v>41453</v>
      </c>
      <c r="B1877" s="8">
        <v>969.02734692641468</v>
      </c>
      <c r="F1877" s="7"/>
      <c r="G1877" s="7"/>
      <c r="M1877" s="10"/>
      <c r="P1877" s="11"/>
      <c r="Q1877" s="12"/>
    </row>
    <row r="1878" spans="1:17">
      <c r="A1878" s="14">
        <v>41456</v>
      </c>
      <c r="B1878" s="8">
        <v>981.72991512332328</v>
      </c>
      <c r="F1878" s="7"/>
      <c r="G1878" s="7"/>
      <c r="M1878" s="10"/>
      <c r="P1878" s="11"/>
      <c r="Q1878" s="12"/>
    </row>
    <row r="1879" spans="1:17">
      <c r="A1879" s="14">
        <v>41457</v>
      </c>
      <c r="B1879" s="8">
        <v>979.58736561676358</v>
      </c>
      <c r="F1879" s="7"/>
      <c r="G1879" s="7"/>
      <c r="M1879" s="10"/>
      <c r="P1879" s="11"/>
      <c r="Q1879" s="12"/>
    </row>
    <row r="1880" spans="1:17">
      <c r="A1880" s="14">
        <v>41458</v>
      </c>
      <c r="B1880" s="8">
        <v>974.30259582375788</v>
      </c>
      <c r="F1880" s="7"/>
      <c r="G1880" s="7"/>
      <c r="M1880" s="10"/>
      <c r="P1880" s="11"/>
      <c r="Q1880" s="12"/>
    </row>
    <row r="1881" spans="1:17">
      <c r="A1881" s="14">
        <v>41459</v>
      </c>
      <c r="B1881" s="8">
        <v>990.45376623582308</v>
      </c>
      <c r="F1881" s="7"/>
      <c r="G1881" s="7"/>
      <c r="M1881" s="10"/>
      <c r="P1881" s="11"/>
      <c r="Q1881" s="12"/>
    </row>
    <row r="1882" spans="1:17">
      <c r="A1882" s="14">
        <v>41460</v>
      </c>
      <c r="B1882" s="8">
        <v>990.59563018133815</v>
      </c>
      <c r="F1882" s="7"/>
      <c r="G1882" s="7"/>
      <c r="M1882" s="10"/>
      <c r="P1882" s="11"/>
      <c r="Q1882" s="12"/>
    </row>
    <row r="1883" spans="1:17">
      <c r="A1883" s="14">
        <v>41463</v>
      </c>
      <c r="B1883" s="8">
        <v>1004.6056389782592</v>
      </c>
      <c r="F1883" s="7"/>
      <c r="G1883" s="7"/>
      <c r="M1883" s="10"/>
      <c r="P1883" s="11"/>
      <c r="Q1883" s="12"/>
    </row>
    <row r="1884" spans="1:17">
      <c r="A1884" s="14">
        <v>41464</v>
      </c>
      <c r="B1884" s="8">
        <v>1010.1245046085235</v>
      </c>
      <c r="F1884" s="7"/>
      <c r="G1884" s="7"/>
      <c r="M1884" s="10"/>
      <c r="P1884" s="11"/>
      <c r="Q1884" s="12"/>
    </row>
    <row r="1885" spans="1:17">
      <c r="A1885" s="14">
        <v>41465</v>
      </c>
      <c r="B1885" s="8">
        <v>1009.6608397642766</v>
      </c>
      <c r="F1885" s="7"/>
      <c r="G1885" s="7"/>
      <c r="M1885" s="10"/>
      <c r="P1885" s="11"/>
      <c r="Q1885" s="12"/>
    </row>
    <row r="1886" spans="1:17">
      <c r="A1886" s="14">
        <v>41466</v>
      </c>
      <c r="B1886" s="8">
        <v>1018.6476691811553</v>
      </c>
      <c r="F1886" s="7"/>
      <c r="G1886" s="7"/>
      <c r="M1886" s="10"/>
      <c r="P1886" s="11"/>
      <c r="Q1886" s="12"/>
    </row>
    <row r="1887" spans="1:17">
      <c r="A1887" s="14">
        <v>41467</v>
      </c>
      <c r="B1887" s="8">
        <v>1023.3033412481216</v>
      </c>
      <c r="F1887" s="7"/>
      <c r="G1887" s="7"/>
      <c r="M1887" s="10"/>
      <c r="P1887" s="11"/>
      <c r="Q1887" s="12"/>
    </row>
    <row r="1888" spans="1:17">
      <c r="A1888" s="14">
        <v>41470</v>
      </c>
      <c r="B1888" s="8">
        <v>1025.0330431889367</v>
      </c>
      <c r="F1888" s="7"/>
      <c r="G1888" s="7"/>
      <c r="M1888" s="10"/>
      <c r="P1888" s="11"/>
      <c r="Q1888" s="12"/>
    </row>
    <row r="1889" spans="1:17">
      <c r="A1889" s="14">
        <v>41471</v>
      </c>
      <c r="B1889" s="8">
        <v>1014.125446537656</v>
      </c>
      <c r="F1889" s="7"/>
      <c r="G1889" s="7"/>
      <c r="M1889" s="10"/>
      <c r="P1889" s="11"/>
      <c r="Q1889" s="12"/>
    </row>
    <row r="1890" spans="1:17">
      <c r="A1890" s="14">
        <v>41472</v>
      </c>
      <c r="B1890" s="8">
        <v>1024.6107521830977</v>
      </c>
      <c r="F1890" s="7"/>
      <c r="G1890" s="7"/>
      <c r="M1890" s="10"/>
      <c r="P1890" s="11"/>
      <c r="Q1890" s="12"/>
    </row>
    <row r="1891" spans="1:17">
      <c r="A1891" s="14">
        <v>41473</v>
      </c>
      <c r="B1891" s="8">
        <v>1033.7601769857822</v>
      </c>
      <c r="F1891" s="7"/>
      <c r="G1891" s="7"/>
      <c r="M1891" s="10"/>
      <c r="P1891" s="11"/>
      <c r="Q1891" s="12"/>
    </row>
    <row r="1892" spans="1:17">
      <c r="A1892" s="14">
        <v>41474</v>
      </c>
      <c r="B1892" s="8">
        <v>1033.4964623836877</v>
      </c>
      <c r="F1892" s="7"/>
      <c r="G1892" s="7"/>
      <c r="M1892" s="10"/>
      <c r="P1892" s="11"/>
      <c r="Q1892" s="12"/>
    </row>
    <row r="1893" spans="1:17">
      <c r="A1893" s="14">
        <v>41477</v>
      </c>
      <c r="B1893" s="8">
        <v>1036.14398803463</v>
      </c>
      <c r="F1893" s="7"/>
      <c r="G1893" s="7"/>
      <c r="M1893" s="10"/>
      <c r="P1893" s="11"/>
      <c r="Q1893" s="12"/>
    </row>
    <row r="1894" spans="1:17">
      <c r="A1894" s="14">
        <v>41478</v>
      </c>
      <c r="B1894" s="8">
        <v>1035.9567246274751</v>
      </c>
      <c r="F1894" s="7"/>
      <c r="G1894" s="7"/>
      <c r="M1894" s="10"/>
      <c r="P1894" s="11"/>
      <c r="Q1894" s="12"/>
    </row>
    <row r="1895" spans="1:17">
      <c r="A1895" s="14">
        <v>41479</v>
      </c>
      <c r="B1895" s="8">
        <v>1041.8616077621302</v>
      </c>
      <c r="F1895" s="7"/>
      <c r="G1895" s="7"/>
      <c r="M1895" s="10"/>
      <c r="P1895" s="11"/>
      <c r="Q1895" s="12"/>
    </row>
    <row r="1896" spans="1:17">
      <c r="A1896" s="14">
        <v>41480</v>
      </c>
      <c r="B1896" s="8">
        <v>1044.6398050148382</v>
      </c>
      <c r="F1896" s="7"/>
      <c r="G1896" s="7"/>
      <c r="M1896" s="10"/>
      <c r="P1896" s="11"/>
      <c r="Q1896" s="12"/>
    </row>
    <row r="1897" spans="1:17">
      <c r="A1897" s="14">
        <v>41481</v>
      </c>
      <c r="B1897" s="8">
        <v>1044.0481027053036</v>
      </c>
      <c r="F1897" s="7"/>
      <c r="G1897" s="7"/>
      <c r="M1897" s="10"/>
      <c r="P1897" s="11"/>
      <c r="Q1897" s="12"/>
    </row>
    <row r="1898" spans="1:17">
      <c r="A1898" s="14">
        <v>41484</v>
      </c>
      <c r="B1898" s="8">
        <v>1040.4994666618952</v>
      </c>
      <c r="F1898" s="7"/>
      <c r="G1898" s="7"/>
      <c r="M1898" s="10"/>
      <c r="P1898" s="11"/>
      <c r="Q1898" s="12"/>
    </row>
    <row r="1899" spans="1:17">
      <c r="A1899" s="14">
        <v>41485</v>
      </c>
      <c r="B1899" s="8">
        <v>1042.175800832171</v>
      </c>
      <c r="F1899" s="7"/>
      <c r="G1899" s="7"/>
      <c r="M1899" s="10"/>
      <c r="P1899" s="11"/>
      <c r="Q1899" s="12"/>
    </row>
    <row r="1900" spans="1:17">
      <c r="A1900" s="14">
        <v>41486</v>
      </c>
      <c r="B1900" s="8">
        <v>1046.0429190714294</v>
      </c>
      <c r="F1900" s="7"/>
      <c r="G1900" s="7"/>
      <c r="M1900" s="10"/>
      <c r="P1900" s="11"/>
      <c r="Q1900" s="12"/>
    </row>
    <row r="1901" spans="1:17">
      <c r="A1901" s="14">
        <v>41487</v>
      </c>
      <c r="B1901" s="8">
        <v>1067.2237182105341</v>
      </c>
      <c r="F1901" s="7"/>
      <c r="G1901" s="7"/>
      <c r="M1901" s="10"/>
      <c r="P1901" s="11"/>
      <c r="Q1901" s="12"/>
    </row>
    <row r="1902" spans="1:17">
      <c r="A1902" s="14">
        <v>41488</v>
      </c>
      <c r="B1902" s="8">
        <v>1066.8215974951431</v>
      </c>
      <c r="F1902" s="7"/>
      <c r="G1902" s="7"/>
      <c r="M1902" s="10"/>
      <c r="P1902" s="11"/>
      <c r="Q1902" s="12"/>
    </row>
    <row r="1903" spans="1:17">
      <c r="A1903" s="14">
        <v>41491</v>
      </c>
      <c r="B1903" s="8">
        <v>1067.7658372098758</v>
      </c>
      <c r="F1903" s="7"/>
      <c r="G1903" s="7"/>
      <c r="M1903" s="10"/>
      <c r="P1903" s="11"/>
      <c r="Q1903" s="12"/>
    </row>
    <row r="1904" spans="1:17">
      <c r="A1904" s="14">
        <v>41492</v>
      </c>
      <c r="B1904" s="8">
        <v>1061.698568506388</v>
      </c>
      <c r="F1904" s="7"/>
      <c r="G1904" s="7"/>
      <c r="M1904" s="10"/>
      <c r="P1904" s="11"/>
      <c r="Q1904" s="12"/>
    </row>
    <row r="1905" spans="1:17">
      <c r="A1905" s="14">
        <v>41493</v>
      </c>
      <c r="B1905" s="8">
        <v>1058.9505948932779</v>
      </c>
      <c r="F1905" s="7"/>
      <c r="G1905" s="7"/>
      <c r="M1905" s="10"/>
      <c r="P1905" s="11"/>
      <c r="Q1905" s="12"/>
    </row>
    <row r="1906" spans="1:17">
      <c r="A1906" s="14">
        <v>41494</v>
      </c>
      <c r="B1906" s="8">
        <v>1074.1136514337998</v>
      </c>
      <c r="F1906" s="7"/>
      <c r="G1906" s="7"/>
      <c r="M1906" s="10"/>
      <c r="P1906" s="11"/>
      <c r="Q1906" s="12"/>
    </row>
    <row r="1907" spans="1:17">
      <c r="A1907" s="14">
        <v>41495</v>
      </c>
      <c r="B1907" s="8">
        <v>1076.223125582891</v>
      </c>
      <c r="F1907" s="7"/>
      <c r="G1907" s="7"/>
      <c r="M1907" s="10"/>
      <c r="P1907" s="11"/>
      <c r="Q1907" s="12"/>
    </row>
    <row r="1908" spans="1:17">
      <c r="A1908" s="14">
        <v>41498</v>
      </c>
      <c r="B1908" s="8">
        <v>1074.655980209639</v>
      </c>
      <c r="F1908" s="7"/>
      <c r="G1908" s="7"/>
      <c r="M1908" s="10"/>
      <c r="P1908" s="11"/>
      <c r="Q1908" s="12"/>
    </row>
    <row r="1909" spans="1:17">
      <c r="A1909" s="14">
        <v>41499</v>
      </c>
      <c r="B1909" s="8">
        <v>1076.4310063482512</v>
      </c>
      <c r="F1909" s="7"/>
      <c r="G1909" s="7"/>
      <c r="M1909" s="10"/>
      <c r="P1909" s="11"/>
      <c r="Q1909" s="12"/>
    </row>
    <row r="1910" spans="1:17">
      <c r="A1910" s="14">
        <v>41500</v>
      </c>
      <c r="B1910" s="8">
        <v>1077.3861191286865</v>
      </c>
      <c r="F1910" s="7"/>
      <c r="G1910" s="7"/>
      <c r="M1910" s="10"/>
      <c r="P1910" s="11"/>
      <c r="Q1910" s="12"/>
    </row>
    <row r="1911" spans="1:17">
      <c r="A1911" s="14">
        <v>41501</v>
      </c>
      <c r="B1911" s="8">
        <v>1067.4129916428421</v>
      </c>
      <c r="F1911" s="7"/>
      <c r="G1911" s="7"/>
      <c r="M1911" s="10"/>
      <c r="P1911" s="11"/>
      <c r="Q1911" s="12"/>
    </row>
    <row r="1912" spans="1:17">
      <c r="A1912" s="14">
        <v>41502</v>
      </c>
      <c r="B1912" s="8">
        <v>1073.3300545947691</v>
      </c>
      <c r="F1912" s="7"/>
      <c r="G1912" s="7"/>
      <c r="M1912" s="10"/>
      <c r="P1912" s="11"/>
      <c r="Q1912" s="12"/>
    </row>
    <row r="1913" spans="1:17">
      <c r="A1913" s="14">
        <v>41505</v>
      </c>
      <c r="B1913" s="8">
        <v>1059.5726576354707</v>
      </c>
      <c r="F1913" s="7"/>
      <c r="G1913" s="7"/>
      <c r="M1913" s="10"/>
      <c r="P1913" s="11"/>
      <c r="Q1913" s="12"/>
    </row>
    <row r="1914" spans="1:17">
      <c r="A1914" s="14">
        <v>41506</v>
      </c>
      <c r="B1914" s="8">
        <v>1056.2145891922087</v>
      </c>
      <c r="F1914" s="7"/>
      <c r="G1914" s="7"/>
      <c r="M1914" s="10"/>
      <c r="P1914" s="11"/>
      <c r="Q1914" s="12"/>
    </row>
    <row r="1915" spans="1:17">
      <c r="A1915" s="14">
        <v>41507</v>
      </c>
      <c r="B1915" s="8">
        <v>1052.7200376337619</v>
      </c>
      <c r="F1915" s="7"/>
      <c r="G1915" s="7"/>
      <c r="M1915" s="10"/>
      <c r="P1915" s="11"/>
      <c r="Q1915" s="12"/>
    </row>
    <row r="1916" spans="1:17">
      <c r="A1916" s="14">
        <v>41508</v>
      </c>
      <c r="B1916" s="8">
        <v>1070.6266271307106</v>
      </c>
      <c r="F1916" s="7"/>
      <c r="G1916" s="7"/>
      <c r="M1916" s="10"/>
      <c r="P1916" s="11"/>
      <c r="Q1916" s="12"/>
    </row>
    <row r="1917" spans="1:17">
      <c r="A1917" s="14">
        <v>41509</v>
      </c>
      <c r="B1917" s="8">
        <v>1075.1859147294838</v>
      </c>
      <c r="F1917" s="7"/>
      <c r="G1917" s="7"/>
      <c r="M1917" s="10"/>
      <c r="P1917" s="11"/>
      <c r="Q1917" s="12"/>
    </row>
    <row r="1918" spans="1:17">
      <c r="A1918" s="14">
        <v>41512</v>
      </c>
      <c r="B1918" s="8">
        <v>1071.6511791143196</v>
      </c>
      <c r="F1918" s="7"/>
      <c r="G1918" s="7"/>
      <c r="M1918" s="10"/>
      <c r="P1918" s="11"/>
      <c r="Q1918" s="12"/>
    </row>
    <row r="1919" spans="1:17">
      <c r="A1919" s="14">
        <v>41513</v>
      </c>
      <c r="B1919" s="8">
        <v>1045.2586429332453</v>
      </c>
      <c r="F1919" s="7"/>
      <c r="G1919" s="7"/>
      <c r="M1919" s="10"/>
      <c r="P1919" s="11"/>
      <c r="Q1919" s="12"/>
    </row>
    <row r="1920" spans="1:17">
      <c r="A1920" s="14">
        <v>41514</v>
      </c>
      <c r="B1920" s="8">
        <v>1046.4480494543557</v>
      </c>
      <c r="F1920" s="7"/>
      <c r="G1920" s="7"/>
      <c r="M1920" s="10"/>
      <c r="P1920" s="11"/>
      <c r="Q1920" s="12"/>
    </row>
    <row r="1921" spans="1:17">
      <c r="A1921" s="14">
        <v>41515</v>
      </c>
      <c r="B1921" s="8">
        <v>1053.6291441070521</v>
      </c>
      <c r="F1921" s="7"/>
      <c r="G1921" s="7"/>
      <c r="M1921" s="10"/>
      <c r="P1921" s="11"/>
      <c r="Q1921" s="12"/>
    </row>
    <row r="1922" spans="1:17">
      <c r="A1922" s="14">
        <v>41516</v>
      </c>
      <c r="B1922" s="8">
        <v>1045.1133228158685</v>
      </c>
      <c r="F1922" s="7"/>
      <c r="G1922" s="7"/>
      <c r="M1922" s="10"/>
      <c r="P1922" s="11"/>
      <c r="Q1922" s="12"/>
    </row>
    <row r="1923" spans="1:17">
      <c r="A1923" s="14">
        <v>41519</v>
      </c>
      <c r="B1923" s="8">
        <v>1055.65758892747</v>
      </c>
      <c r="F1923" s="7"/>
      <c r="G1923" s="7"/>
      <c r="M1923" s="10"/>
      <c r="P1923" s="11"/>
      <c r="Q1923" s="12"/>
    </row>
    <row r="1924" spans="1:17">
      <c r="A1924" s="14">
        <v>41520</v>
      </c>
      <c r="B1924" s="8">
        <v>1055.5624777786147</v>
      </c>
      <c r="F1924" s="7"/>
      <c r="G1924" s="7"/>
      <c r="M1924" s="10"/>
      <c r="P1924" s="11"/>
      <c r="Q1924" s="12"/>
    </row>
    <row r="1925" spans="1:17">
      <c r="A1925" s="14">
        <v>41521</v>
      </c>
      <c r="B1925" s="8">
        <v>1061.9559156201753</v>
      </c>
      <c r="F1925" s="7"/>
      <c r="G1925" s="7"/>
      <c r="M1925" s="10"/>
      <c r="P1925" s="11"/>
      <c r="Q1925" s="12"/>
    </row>
    <row r="1926" spans="1:17">
      <c r="A1926" s="14">
        <v>41522</v>
      </c>
      <c r="B1926" s="8">
        <v>1067.3674807499026</v>
      </c>
      <c r="F1926" s="7"/>
      <c r="G1926" s="7"/>
      <c r="M1926" s="10"/>
      <c r="P1926" s="11"/>
      <c r="Q1926" s="12"/>
    </row>
    <row r="1927" spans="1:17">
      <c r="A1927" s="14">
        <v>41523</v>
      </c>
      <c r="B1927" s="8">
        <v>1071.4794734940351</v>
      </c>
      <c r="F1927" s="7"/>
      <c r="G1927" s="7"/>
      <c r="M1927" s="10"/>
      <c r="P1927" s="11"/>
      <c r="Q1927" s="12"/>
    </row>
    <row r="1928" spans="1:17">
      <c r="A1928" s="14">
        <v>41526</v>
      </c>
      <c r="B1928" s="8">
        <v>1078.8319304342679</v>
      </c>
      <c r="F1928" s="7"/>
      <c r="G1928" s="7"/>
      <c r="M1928" s="10"/>
      <c r="P1928" s="11"/>
      <c r="Q1928" s="12"/>
    </row>
    <row r="1929" spans="1:17">
      <c r="A1929" s="14">
        <v>41527</v>
      </c>
      <c r="B1929" s="8">
        <v>1100.4891619006435</v>
      </c>
      <c r="F1929" s="7"/>
      <c r="G1929" s="7"/>
      <c r="M1929" s="10"/>
      <c r="P1929" s="11"/>
      <c r="Q1929" s="12"/>
    </row>
    <row r="1930" spans="1:17">
      <c r="A1930" s="14">
        <v>41528</v>
      </c>
      <c r="B1930" s="8">
        <v>1100.0700096170915</v>
      </c>
      <c r="F1930" s="7"/>
      <c r="G1930" s="7"/>
      <c r="M1930" s="10"/>
      <c r="P1930" s="11"/>
      <c r="Q1930" s="12"/>
    </row>
    <row r="1931" spans="1:17">
      <c r="A1931" s="14">
        <v>41529</v>
      </c>
      <c r="B1931" s="8">
        <v>1097.9411210885783</v>
      </c>
      <c r="F1931" s="7"/>
      <c r="G1931" s="7"/>
      <c r="M1931" s="10"/>
      <c r="P1931" s="11"/>
      <c r="Q1931" s="12"/>
    </row>
    <row r="1932" spans="1:17">
      <c r="A1932" s="14">
        <v>41530</v>
      </c>
      <c r="B1932" s="8">
        <v>1098.5155627002662</v>
      </c>
      <c r="F1932" s="7"/>
      <c r="G1932" s="7"/>
      <c r="M1932" s="10"/>
      <c r="P1932" s="11"/>
      <c r="Q1932" s="12"/>
    </row>
    <row r="1933" spans="1:17">
      <c r="A1933" s="14">
        <v>41533</v>
      </c>
      <c r="B1933" s="8">
        <v>1105.8751891448887</v>
      </c>
      <c r="F1933" s="7"/>
      <c r="G1933" s="7"/>
      <c r="M1933" s="10"/>
      <c r="P1933" s="11"/>
      <c r="Q1933" s="12"/>
    </row>
    <row r="1934" spans="1:17">
      <c r="A1934" s="14">
        <v>41534</v>
      </c>
      <c r="B1934" s="8">
        <v>1106.4291507069161</v>
      </c>
      <c r="F1934" s="7"/>
      <c r="G1934" s="7"/>
      <c r="M1934" s="10"/>
      <c r="P1934" s="11"/>
      <c r="Q1934" s="12"/>
    </row>
    <row r="1935" spans="1:17">
      <c r="A1935" s="14">
        <v>41535</v>
      </c>
      <c r="B1935" s="8">
        <v>1121.5631685197964</v>
      </c>
      <c r="F1935" s="7"/>
      <c r="G1935" s="7"/>
      <c r="M1935" s="10"/>
      <c r="P1935" s="11"/>
      <c r="Q1935" s="12"/>
    </row>
    <row r="1936" spans="1:17">
      <c r="A1936" s="14">
        <v>41536</v>
      </c>
      <c r="B1936" s="8">
        <v>1129.1746998602268</v>
      </c>
      <c r="F1936" s="7"/>
      <c r="G1936" s="7"/>
      <c r="M1936" s="10"/>
      <c r="P1936" s="11"/>
      <c r="Q1936" s="12"/>
    </row>
    <row r="1937" spans="1:17">
      <c r="A1937" s="14">
        <v>41537</v>
      </c>
      <c r="B1937" s="8">
        <v>1127.9191314535485</v>
      </c>
      <c r="F1937" s="7"/>
      <c r="G1937" s="7"/>
      <c r="M1937" s="10"/>
      <c r="P1937" s="11"/>
      <c r="Q1937" s="12"/>
    </row>
    <row r="1938" spans="1:17">
      <c r="A1938" s="14">
        <v>41540</v>
      </c>
      <c r="B1938" s="8">
        <v>1116.8693404430621</v>
      </c>
      <c r="F1938" s="7"/>
      <c r="G1938" s="7"/>
      <c r="M1938" s="10"/>
      <c r="P1938" s="11"/>
      <c r="Q1938" s="12"/>
    </row>
    <row r="1939" spans="1:17">
      <c r="A1939" s="14">
        <v>41541</v>
      </c>
      <c r="B1939" s="8">
        <v>1120.45249198892</v>
      </c>
      <c r="F1939" s="7"/>
      <c r="G1939" s="7"/>
      <c r="M1939" s="10"/>
      <c r="P1939" s="11"/>
      <c r="Q1939" s="12"/>
    </row>
    <row r="1940" spans="1:17">
      <c r="A1940" s="14">
        <v>41542</v>
      </c>
      <c r="B1940" s="8">
        <v>1121.4168739957634</v>
      </c>
      <c r="F1940" s="7"/>
      <c r="G1940" s="7"/>
      <c r="M1940" s="10"/>
      <c r="P1940" s="11"/>
      <c r="Q1940" s="12"/>
    </row>
    <row r="1941" spans="1:17">
      <c r="A1941" s="14">
        <v>41543</v>
      </c>
      <c r="B1941" s="8">
        <v>1120.0025599497185</v>
      </c>
      <c r="F1941" s="7"/>
      <c r="G1941" s="7"/>
      <c r="M1941" s="10"/>
      <c r="P1941" s="11"/>
      <c r="Q1941" s="12"/>
    </row>
    <row r="1942" spans="1:17">
      <c r="A1942" s="14">
        <v>41544</v>
      </c>
      <c r="B1942" s="8">
        <v>1117.1243771080663</v>
      </c>
      <c r="F1942" s="7"/>
      <c r="G1942" s="7"/>
      <c r="M1942" s="10"/>
      <c r="P1942" s="11"/>
      <c r="Q1942" s="12"/>
    </row>
    <row r="1943" spans="1:17">
      <c r="A1943" s="14">
        <v>41547</v>
      </c>
      <c r="B1943" s="8">
        <v>1107.6426076038078</v>
      </c>
      <c r="F1943" s="7"/>
      <c r="G1943" s="7"/>
      <c r="M1943" s="10"/>
      <c r="P1943" s="11"/>
      <c r="Q1943" s="12"/>
    </row>
    <row r="1944" spans="1:17">
      <c r="A1944" s="14">
        <v>41548</v>
      </c>
      <c r="B1944" s="8">
        <v>1124.9692013415761</v>
      </c>
      <c r="F1944" s="7"/>
      <c r="G1944" s="7"/>
      <c r="M1944" s="10"/>
      <c r="P1944" s="11"/>
      <c r="Q1944" s="12"/>
    </row>
    <row r="1945" spans="1:17">
      <c r="A1945" s="14">
        <v>41549</v>
      </c>
      <c r="B1945" s="8">
        <v>1123.5621747580915</v>
      </c>
      <c r="F1945" s="7"/>
      <c r="G1945" s="7"/>
      <c r="M1945" s="10"/>
      <c r="P1945" s="11"/>
      <c r="Q1945" s="12"/>
    </row>
    <row r="1946" spans="1:17">
      <c r="A1946" s="14">
        <v>41550</v>
      </c>
      <c r="B1946" s="8">
        <v>1112.2420223448148</v>
      </c>
      <c r="F1946" s="7"/>
      <c r="G1946" s="7"/>
      <c r="M1946" s="10"/>
      <c r="P1946" s="11"/>
      <c r="Q1946" s="12"/>
    </row>
    <row r="1947" spans="1:17">
      <c r="A1947" s="14">
        <v>41551</v>
      </c>
      <c r="B1947" s="8">
        <v>1125.1605083190273</v>
      </c>
      <c r="F1947" s="7"/>
      <c r="G1947" s="7"/>
      <c r="M1947" s="10"/>
      <c r="P1947" s="11"/>
      <c r="Q1947" s="12"/>
    </row>
    <row r="1948" spans="1:17">
      <c r="A1948" s="14">
        <v>41554</v>
      </c>
      <c r="B1948" s="8">
        <v>1116.6406175400436</v>
      </c>
      <c r="F1948" s="7"/>
      <c r="G1948" s="7"/>
      <c r="M1948" s="10"/>
      <c r="P1948" s="11"/>
      <c r="Q1948" s="12"/>
    </row>
    <row r="1949" spans="1:17">
      <c r="A1949" s="14">
        <v>41555</v>
      </c>
      <c r="B1949" s="8">
        <v>1099.350103831564</v>
      </c>
      <c r="F1949" s="7"/>
      <c r="G1949" s="7"/>
      <c r="M1949" s="10"/>
      <c r="P1949" s="11"/>
      <c r="Q1949" s="12"/>
    </row>
    <row r="1950" spans="1:17">
      <c r="A1950" s="14">
        <v>41556</v>
      </c>
      <c r="B1950" s="8">
        <v>1094.9294506896676</v>
      </c>
      <c r="F1950" s="7"/>
      <c r="G1950" s="7"/>
      <c r="M1950" s="10"/>
      <c r="P1950" s="11"/>
      <c r="Q1950" s="12"/>
    </row>
    <row r="1951" spans="1:17">
      <c r="A1951" s="14">
        <v>41557</v>
      </c>
      <c r="B1951" s="8">
        <v>1124.2089451881561</v>
      </c>
      <c r="F1951" s="7"/>
      <c r="G1951" s="7"/>
      <c r="M1951" s="10"/>
      <c r="P1951" s="11"/>
      <c r="Q1951" s="12"/>
    </row>
    <row r="1952" spans="1:17">
      <c r="A1952" s="14">
        <v>41558</v>
      </c>
      <c r="B1952" s="8">
        <v>1128.1036297849212</v>
      </c>
      <c r="F1952" s="7"/>
      <c r="G1952" s="7"/>
      <c r="M1952" s="10"/>
      <c r="P1952" s="11"/>
      <c r="Q1952" s="12"/>
    </row>
    <row r="1953" spans="1:17">
      <c r="A1953" s="14">
        <v>41561</v>
      </c>
      <c r="B1953" s="8">
        <v>1127.7776728799913</v>
      </c>
      <c r="F1953" s="7"/>
      <c r="G1953" s="7"/>
      <c r="M1953" s="10"/>
      <c r="P1953" s="11"/>
      <c r="Q1953" s="12"/>
    </row>
    <row r="1954" spans="1:17">
      <c r="A1954" s="14">
        <v>41562</v>
      </c>
      <c r="B1954" s="8">
        <v>1126.548170066698</v>
      </c>
      <c r="F1954" s="7"/>
      <c r="G1954" s="7"/>
      <c r="M1954" s="10"/>
      <c r="P1954" s="11"/>
      <c r="Q1954" s="12"/>
    </row>
    <row r="1955" spans="1:17">
      <c r="A1955" s="14">
        <v>41563</v>
      </c>
      <c r="B1955" s="8">
        <v>1134.700389654166</v>
      </c>
      <c r="F1955" s="7"/>
      <c r="G1955" s="7"/>
      <c r="M1955" s="10"/>
      <c r="P1955" s="11"/>
      <c r="Q1955" s="12"/>
    </row>
    <row r="1956" spans="1:17">
      <c r="A1956" s="14">
        <v>41564</v>
      </c>
      <c r="B1956" s="8">
        <v>1134.954631179231</v>
      </c>
      <c r="F1956" s="7"/>
      <c r="G1956" s="7"/>
      <c r="M1956" s="10"/>
      <c r="P1956" s="11"/>
      <c r="Q1956" s="12"/>
    </row>
    <row r="1957" spans="1:17">
      <c r="A1957" s="14">
        <v>41565</v>
      </c>
      <c r="B1957" s="8">
        <v>1141.2514994330693</v>
      </c>
      <c r="F1957" s="7"/>
      <c r="G1957" s="7"/>
      <c r="M1957" s="10"/>
      <c r="P1957" s="11"/>
      <c r="Q1957" s="12"/>
    </row>
    <row r="1958" spans="1:17">
      <c r="A1958" s="14">
        <v>41568</v>
      </c>
      <c r="B1958" s="8">
        <v>1144.0525503881779</v>
      </c>
      <c r="F1958" s="7"/>
      <c r="G1958" s="7"/>
      <c r="M1958" s="10"/>
      <c r="P1958" s="11"/>
      <c r="Q1958" s="12"/>
    </row>
    <row r="1959" spans="1:17">
      <c r="A1959" s="14">
        <v>41569</v>
      </c>
      <c r="B1959" s="8">
        <v>1141.7099475947064</v>
      </c>
      <c r="F1959" s="7"/>
      <c r="G1959" s="7"/>
      <c r="M1959" s="10"/>
      <c r="P1959" s="11"/>
      <c r="Q1959" s="12"/>
    </row>
    <row r="1960" spans="1:17">
      <c r="A1960" s="14">
        <v>41570</v>
      </c>
      <c r="B1960" s="8">
        <v>1129.4433271481116</v>
      </c>
      <c r="F1960" s="7"/>
      <c r="G1960" s="7"/>
      <c r="M1960" s="10"/>
      <c r="P1960" s="11"/>
      <c r="Q1960" s="12"/>
    </row>
    <row r="1961" spans="1:17">
      <c r="A1961" s="14">
        <v>41571</v>
      </c>
      <c r="B1961" s="8">
        <v>1141.5587457948418</v>
      </c>
      <c r="F1961" s="7"/>
      <c r="G1961" s="7"/>
      <c r="M1961" s="10"/>
      <c r="P1961" s="11"/>
      <c r="Q1961" s="12"/>
    </row>
    <row r="1962" spans="1:17">
      <c r="A1962" s="14">
        <v>41572</v>
      </c>
      <c r="B1962" s="8">
        <v>1137.4939580160781</v>
      </c>
      <c r="F1962" s="7"/>
      <c r="G1962" s="7"/>
      <c r="M1962" s="10"/>
      <c r="P1962" s="11"/>
      <c r="Q1962" s="12"/>
    </row>
    <row r="1963" spans="1:17">
      <c r="A1963" s="14">
        <v>41575</v>
      </c>
      <c r="B1963" s="8">
        <v>1126.0063123322589</v>
      </c>
      <c r="F1963" s="7"/>
      <c r="G1963" s="7"/>
      <c r="M1963" s="10"/>
      <c r="P1963" s="11"/>
      <c r="Q1963" s="12"/>
    </row>
    <row r="1964" spans="1:17">
      <c r="A1964" s="14">
        <v>41576</v>
      </c>
      <c r="B1964" s="8">
        <v>1138.6707569858493</v>
      </c>
      <c r="F1964" s="7"/>
      <c r="G1964" s="7"/>
      <c r="M1964" s="10"/>
      <c r="P1964" s="11"/>
      <c r="Q1964" s="12"/>
    </row>
    <row r="1965" spans="1:17">
      <c r="A1965" s="14">
        <v>41577</v>
      </c>
      <c r="B1965" s="8">
        <v>1132.5103562333918</v>
      </c>
      <c r="F1965" s="7"/>
      <c r="G1965" s="7"/>
      <c r="M1965" s="10"/>
      <c r="P1965" s="11"/>
      <c r="Q1965" s="12"/>
    </row>
    <row r="1966" spans="1:17">
      <c r="A1966" s="14">
        <v>41578</v>
      </c>
      <c r="B1966" s="8">
        <v>1138.3622905508971</v>
      </c>
      <c r="F1966" s="7"/>
      <c r="G1966" s="7"/>
      <c r="M1966" s="10"/>
      <c r="P1966" s="11"/>
      <c r="Q1966" s="12"/>
    </row>
    <row r="1967" spans="1:17">
      <c r="A1967" s="14">
        <v>41579</v>
      </c>
      <c r="B1967" s="8">
        <v>1137.6077471864735</v>
      </c>
      <c r="F1967" s="7"/>
      <c r="G1967" s="7"/>
      <c r="M1967" s="10"/>
      <c r="P1967" s="11"/>
      <c r="Q1967" s="12"/>
    </row>
    <row r="1968" spans="1:17">
      <c r="A1968" s="14">
        <v>41582</v>
      </c>
      <c r="B1968" s="8">
        <v>1142.0188463482677</v>
      </c>
      <c r="F1968" s="7"/>
      <c r="G1968" s="7"/>
      <c r="M1968" s="10"/>
      <c r="P1968" s="11"/>
      <c r="Q1968" s="12"/>
    </row>
    <row r="1969" spans="1:17">
      <c r="A1969" s="14">
        <v>41583</v>
      </c>
      <c r="B1969" s="8">
        <v>1132.6678689812522</v>
      </c>
      <c r="F1969" s="7"/>
      <c r="G1969" s="7"/>
      <c r="M1969" s="10"/>
      <c r="P1969" s="11"/>
      <c r="Q1969" s="12"/>
    </row>
    <row r="1970" spans="1:17">
      <c r="A1970" s="14">
        <v>41584</v>
      </c>
      <c r="B1970" s="8">
        <v>1131.3556929143465</v>
      </c>
      <c r="F1970" s="7"/>
      <c r="G1970" s="7"/>
      <c r="M1970" s="10"/>
      <c r="P1970" s="11"/>
      <c r="Q1970" s="12"/>
    </row>
    <row r="1971" spans="1:17">
      <c r="A1971" s="14">
        <v>41585</v>
      </c>
      <c r="B1971" s="8">
        <v>1115.3412259234428</v>
      </c>
      <c r="F1971" s="7"/>
      <c r="G1971" s="7"/>
      <c r="M1971" s="10"/>
      <c r="P1971" s="11"/>
      <c r="Q1971" s="12"/>
    </row>
    <row r="1972" spans="1:17">
      <c r="A1972" s="14">
        <v>41586</v>
      </c>
      <c r="B1972" s="8">
        <v>1122.6078409428953</v>
      </c>
      <c r="F1972" s="7"/>
      <c r="G1972" s="7"/>
      <c r="M1972" s="10"/>
      <c r="P1972" s="11"/>
      <c r="Q1972" s="12"/>
    </row>
    <row r="1973" spans="1:17">
      <c r="A1973" s="14">
        <v>41589</v>
      </c>
      <c r="B1973" s="8">
        <v>1129.1630856162121</v>
      </c>
      <c r="F1973" s="7"/>
      <c r="G1973" s="7"/>
      <c r="M1973" s="10"/>
      <c r="P1973" s="11"/>
      <c r="Q1973" s="12"/>
    </row>
    <row r="1974" spans="1:17">
      <c r="A1974" s="14">
        <v>41590</v>
      </c>
      <c r="B1974" s="8">
        <v>1122.4659703490181</v>
      </c>
      <c r="F1974" s="7"/>
      <c r="G1974" s="7"/>
      <c r="M1974" s="10"/>
      <c r="P1974" s="11"/>
      <c r="Q1974" s="12"/>
    </row>
    <row r="1975" spans="1:17">
      <c r="A1975" s="14">
        <v>41591</v>
      </c>
      <c r="B1975" s="8">
        <v>1125.6217400490348</v>
      </c>
      <c r="F1975" s="7"/>
      <c r="G1975" s="7"/>
      <c r="M1975" s="10"/>
      <c r="P1975" s="11"/>
      <c r="Q1975" s="12"/>
    </row>
    <row r="1976" spans="1:17">
      <c r="A1976" s="14">
        <v>41592</v>
      </c>
      <c r="B1976" s="8">
        <v>1135.1874733126558</v>
      </c>
      <c r="F1976" s="7"/>
      <c r="G1976" s="7"/>
      <c r="M1976" s="10"/>
      <c r="P1976" s="11"/>
      <c r="Q1976" s="12"/>
    </row>
    <row r="1977" spans="1:17">
      <c r="A1977" s="14">
        <v>41593</v>
      </c>
      <c r="B1977" s="8">
        <v>1136.7994715769651</v>
      </c>
      <c r="F1977" s="7"/>
      <c r="G1977" s="7"/>
      <c r="M1977" s="10"/>
      <c r="P1977" s="11"/>
      <c r="Q1977" s="12"/>
    </row>
    <row r="1978" spans="1:17">
      <c r="A1978" s="14">
        <v>41596</v>
      </c>
      <c r="B1978" s="8">
        <v>1134.8838352266891</v>
      </c>
      <c r="F1978" s="7"/>
      <c r="G1978" s="7"/>
      <c r="M1978" s="10"/>
      <c r="P1978" s="11"/>
      <c r="Q1978" s="12"/>
    </row>
    <row r="1979" spans="1:17">
      <c r="A1979" s="14">
        <v>41597</v>
      </c>
      <c r="B1979" s="8">
        <v>1128.6545529327373</v>
      </c>
      <c r="F1979" s="7"/>
      <c r="G1979" s="7"/>
      <c r="M1979" s="10"/>
      <c r="P1979" s="11"/>
      <c r="Q1979" s="12"/>
    </row>
    <row r="1980" spans="1:17">
      <c r="A1980" s="14">
        <v>41598</v>
      </c>
      <c r="B1980" s="8">
        <v>1122.3572531652526</v>
      </c>
      <c r="F1980" s="7"/>
      <c r="G1980" s="7"/>
      <c r="M1980" s="10"/>
      <c r="P1980" s="11"/>
      <c r="Q1980" s="12"/>
    </row>
    <row r="1981" spans="1:17">
      <c r="A1981" s="14">
        <v>41599</v>
      </c>
      <c r="B1981" s="8">
        <v>1128.4678297427281</v>
      </c>
      <c r="F1981" s="7"/>
      <c r="G1981" s="7"/>
      <c r="M1981" s="10"/>
      <c r="P1981" s="11"/>
      <c r="Q1981" s="12"/>
    </row>
    <row r="1982" spans="1:17">
      <c r="A1982" s="14">
        <v>41600</v>
      </c>
      <c r="B1982" s="8">
        <v>1134.0193004792925</v>
      </c>
      <c r="F1982" s="7"/>
      <c r="G1982" s="7"/>
      <c r="M1982" s="10"/>
      <c r="P1982" s="11"/>
      <c r="Q1982" s="12"/>
    </row>
    <row r="1983" spans="1:17">
      <c r="A1983" s="14">
        <v>41603</v>
      </c>
      <c r="B1983" s="8">
        <v>1136.7067725993907</v>
      </c>
      <c r="F1983" s="7"/>
      <c r="G1983" s="7"/>
      <c r="M1983" s="10"/>
      <c r="P1983" s="11"/>
      <c r="Q1983" s="12"/>
    </row>
    <row r="1984" spans="1:17">
      <c r="A1984" s="14">
        <v>41604</v>
      </c>
      <c r="B1984" s="8">
        <v>1138.9493909053635</v>
      </c>
      <c r="F1984" s="7"/>
      <c r="G1984" s="7"/>
      <c r="M1984" s="10"/>
      <c r="P1984" s="11"/>
      <c r="Q1984" s="12"/>
    </row>
    <row r="1985" spans="1:17">
      <c r="A1985" s="14">
        <v>41605</v>
      </c>
      <c r="B1985" s="8">
        <v>1145.9304820275454</v>
      </c>
      <c r="F1985" s="7"/>
      <c r="G1985" s="7"/>
      <c r="M1985" s="10"/>
      <c r="P1985" s="11"/>
      <c r="Q1985" s="12"/>
    </row>
    <row r="1986" spans="1:17">
      <c r="A1986" s="14">
        <v>41606</v>
      </c>
      <c r="B1986" s="8">
        <v>1148.7975272373892</v>
      </c>
      <c r="F1986" s="7"/>
      <c r="G1986" s="7"/>
      <c r="M1986" s="10"/>
      <c r="P1986" s="11"/>
      <c r="Q1986" s="12"/>
    </row>
    <row r="1987" spans="1:17">
      <c r="A1987" s="14">
        <v>41607</v>
      </c>
      <c r="B1987" s="8">
        <v>1146.0365607984422</v>
      </c>
      <c r="F1987" s="7"/>
      <c r="G1987" s="7"/>
      <c r="M1987" s="10"/>
      <c r="P1987" s="11"/>
      <c r="Q1987" s="12"/>
    </row>
    <row r="1988" spans="1:17">
      <c r="A1988" s="14">
        <v>41610</v>
      </c>
      <c r="B1988" s="8">
        <v>1140.0568701197042</v>
      </c>
      <c r="F1988" s="7"/>
      <c r="G1988" s="7"/>
      <c r="M1988" s="10"/>
      <c r="P1988" s="11"/>
      <c r="Q1988" s="12"/>
    </row>
    <row r="1989" spans="1:17">
      <c r="A1989" s="14">
        <v>41611</v>
      </c>
      <c r="B1989" s="8">
        <v>1128.7401624178183</v>
      </c>
      <c r="F1989" s="7"/>
      <c r="G1989" s="7"/>
      <c r="M1989" s="10"/>
      <c r="P1989" s="11"/>
      <c r="Q1989" s="12"/>
    </row>
    <row r="1990" spans="1:17">
      <c r="A1990" s="14">
        <v>41612</v>
      </c>
      <c r="B1990" s="8">
        <v>1123.9939539700517</v>
      </c>
      <c r="F1990" s="7"/>
      <c r="G1990" s="7"/>
      <c r="M1990" s="10"/>
      <c r="P1990" s="11"/>
      <c r="Q1990" s="12"/>
    </row>
    <row r="1991" spans="1:17">
      <c r="A1991" s="14">
        <v>41613</v>
      </c>
      <c r="B1991" s="8">
        <v>1110.9412639641175</v>
      </c>
      <c r="F1991" s="7"/>
      <c r="G1991" s="7"/>
      <c r="M1991" s="10"/>
      <c r="P1991" s="11"/>
      <c r="Q1991" s="12"/>
    </row>
    <row r="1992" spans="1:17">
      <c r="A1992" s="14">
        <v>41614</v>
      </c>
      <c r="B1992" s="8">
        <v>1120.5061931412358</v>
      </c>
      <c r="F1992" s="7"/>
      <c r="G1992" s="7"/>
      <c r="M1992" s="10"/>
      <c r="P1992" s="11"/>
      <c r="Q1992" s="12"/>
    </row>
    <row r="1993" spans="1:17">
      <c r="A1993" s="14">
        <v>41617</v>
      </c>
      <c r="B1993" s="8">
        <v>1122.2235451601744</v>
      </c>
      <c r="F1993" s="7"/>
      <c r="G1993" s="7"/>
      <c r="M1993" s="10"/>
      <c r="P1993" s="11"/>
      <c r="Q1993" s="12"/>
    </row>
    <row r="1994" spans="1:17">
      <c r="A1994" s="14">
        <v>41618</v>
      </c>
      <c r="B1994" s="8">
        <v>1116.4146638291268</v>
      </c>
      <c r="F1994" s="7"/>
      <c r="G1994" s="7"/>
      <c r="M1994" s="10"/>
      <c r="P1994" s="11"/>
      <c r="Q1994" s="12"/>
    </row>
    <row r="1995" spans="1:17">
      <c r="A1995" s="14">
        <v>41619</v>
      </c>
      <c r="B1995" s="8">
        <v>1106.4783206194559</v>
      </c>
      <c r="F1995" s="7"/>
      <c r="G1995" s="7"/>
      <c r="M1995" s="10"/>
      <c r="P1995" s="11"/>
      <c r="Q1995" s="12"/>
    </row>
    <row r="1996" spans="1:17">
      <c r="A1996" s="14">
        <v>41620</v>
      </c>
      <c r="B1996" s="8">
        <v>1100.536197221048</v>
      </c>
      <c r="F1996" s="7"/>
      <c r="G1996" s="7"/>
      <c r="M1996" s="10"/>
      <c r="P1996" s="11"/>
      <c r="Q1996" s="12"/>
    </row>
    <row r="1997" spans="1:17">
      <c r="A1997" s="14">
        <v>41621</v>
      </c>
      <c r="B1997" s="8">
        <v>1104.4813858076113</v>
      </c>
      <c r="F1997" s="7"/>
      <c r="G1997" s="7"/>
      <c r="M1997" s="10"/>
      <c r="P1997" s="11"/>
      <c r="Q1997" s="12"/>
    </row>
    <row r="1998" spans="1:17">
      <c r="A1998" s="14">
        <v>41624</v>
      </c>
      <c r="B1998" s="8">
        <v>1116.2808111721772</v>
      </c>
      <c r="F1998" s="7"/>
      <c r="G1998" s="7"/>
      <c r="M1998" s="10"/>
      <c r="P1998" s="11"/>
      <c r="Q1998" s="12"/>
    </row>
    <row r="1999" spans="1:17">
      <c r="A1999" s="14">
        <v>41625</v>
      </c>
      <c r="B1999" s="8">
        <v>1107.8429485293332</v>
      </c>
      <c r="F1999" s="7"/>
      <c r="G1999" s="7"/>
      <c r="M1999" s="10"/>
      <c r="P1999" s="11"/>
      <c r="Q1999" s="12"/>
    </row>
    <row r="2000" spans="1:17">
      <c r="A2000" s="14">
        <v>41626</v>
      </c>
      <c r="B2000" s="8">
        <v>1123.4137797635001</v>
      </c>
      <c r="F2000" s="7"/>
      <c r="G2000" s="7"/>
      <c r="M2000" s="10"/>
      <c r="P2000" s="11"/>
      <c r="Q2000" s="12"/>
    </row>
    <row r="2001" spans="1:17">
      <c r="A2001" s="14">
        <v>41627</v>
      </c>
      <c r="B2001" s="8">
        <v>1131.2562690194413</v>
      </c>
      <c r="F2001" s="7"/>
      <c r="G2001" s="7"/>
      <c r="M2001" s="10"/>
      <c r="P2001" s="11"/>
      <c r="Q2001" s="12"/>
    </row>
    <row r="2002" spans="1:17">
      <c r="A2002" s="14">
        <v>41628</v>
      </c>
      <c r="B2002" s="8">
        <v>1140.1851829261202</v>
      </c>
      <c r="F2002" s="7"/>
      <c r="G2002" s="7"/>
      <c r="M2002" s="10"/>
      <c r="P2002" s="11"/>
      <c r="Q2002" s="12"/>
    </row>
    <row r="2003" spans="1:17">
      <c r="A2003" s="14">
        <v>41631</v>
      </c>
      <c r="B2003" s="8">
        <v>1147.9255023872488</v>
      </c>
      <c r="F2003" s="7"/>
      <c r="G2003" s="7"/>
      <c r="M2003" s="10"/>
      <c r="P2003" s="11"/>
      <c r="Q2003" s="12"/>
    </row>
    <row r="2004" spans="1:17">
      <c r="A2004" s="14">
        <v>41632</v>
      </c>
      <c r="B2004" s="8">
        <v>1151.1353997393567</v>
      </c>
      <c r="F2004" s="7"/>
      <c r="G2004" s="7"/>
      <c r="M2004" s="10"/>
      <c r="P2004" s="11"/>
      <c r="Q2004" s="12"/>
    </row>
    <row r="2005" spans="1:17">
      <c r="A2005" s="14">
        <v>41633</v>
      </c>
      <c r="B2005" s="8">
        <v>1150.7537070619223</v>
      </c>
      <c r="F2005" s="7"/>
      <c r="G2005" s="7"/>
      <c r="M2005" s="10"/>
      <c r="P2005" s="11"/>
      <c r="Q2005" s="12"/>
    </row>
    <row r="2006" spans="1:17">
      <c r="A2006" s="14">
        <v>41634</v>
      </c>
      <c r="B2006" s="8">
        <v>1152.7656161556606</v>
      </c>
      <c r="F2006" s="7"/>
      <c r="G2006" s="7"/>
      <c r="M2006" s="10"/>
      <c r="P2006" s="11"/>
      <c r="Q2006" s="12"/>
    </row>
    <row r="2007" spans="1:17">
      <c r="A2007" s="14">
        <v>41635</v>
      </c>
      <c r="B2007" s="8">
        <v>1157.2763576917246</v>
      </c>
      <c r="F2007" s="7"/>
      <c r="G2007" s="7"/>
      <c r="M2007" s="10"/>
      <c r="P2007" s="11"/>
      <c r="Q2007" s="12"/>
    </row>
    <row r="2008" spans="1:17">
      <c r="A2008" s="14">
        <v>41638</v>
      </c>
      <c r="B2008" s="8">
        <v>1155.6747086906289</v>
      </c>
      <c r="F2008" s="7"/>
      <c r="G2008" s="7"/>
      <c r="M2008" s="10"/>
      <c r="P2008" s="11"/>
      <c r="Q2008" s="12"/>
    </row>
    <row r="2009" spans="1:17">
      <c r="A2009" s="14">
        <v>41639</v>
      </c>
      <c r="B2009" s="8">
        <v>1157.7166928372988</v>
      </c>
      <c r="F2009" s="7"/>
      <c r="G2009" s="7"/>
      <c r="M2009" s="10"/>
      <c r="P2009" s="11"/>
      <c r="Q2009" s="12"/>
    </row>
    <row r="2010" spans="1:17">
      <c r="A2010" s="14">
        <v>41640</v>
      </c>
      <c r="B2010" s="8">
        <v>1157.3350001598656</v>
      </c>
      <c r="F2010" s="7"/>
      <c r="G2010" s="7"/>
      <c r="M2010" s="10"/>
      <c r="P2010" s="11"/>
      <c r="Q2010" s="12"/>
    </row>
    <row r="2011" spans="1:17">
      <c r="A2011" s="14">
        <v>41641</v>
      </c>
      <c r="B2011" s="8">
        <v>1145.6791533746477</v>
      </c>
      <c r="F2011" s="7"/>
      <c r="G2011" s="7"/>
      <c r="M2011" s="10"/>
      <c r="P2011" s="11"/>
      <c r="Q2011" s="12"/>
    </row>
    <row r="2012" spans="1:17">
      <c r="A2012" s="14">
        <v>41642</v>
      </c>
      <c r="B2012" s="8">
        <v>1146.550666896519</v>
      </c>
      <c r="F2012" s="7"/>
      <c r="G2012" s="7"/>
      <c r="M2012" s="10"/>
      <c r="P2012" s="11"/>
      <c r="Q2012" s="12"/>
    </row>
    <row r="2013" spans="1:17">
      <c r="A2013" s="14">
        <v>41645</v>
      </c>
      <c r="B2013" s="8">
        <v>1143.5212344453976</v>
      </c>
      <c r="F2013" s="7"/>
      <c r="G2013" s="7"/>
      <c r="M2013" s="10"/>
      <c r="P2013" s="11"/>
      <c r="Q2013" s="12"/>
    </row>
    <row r="2014" spans="1:17">
      <c r="A2014" s="14">
        <v>41646</v>
      </c>
      <c r="B2014" s="8">
        <v>1154.6027710029346</v>
      </c>
      <c r="F2014" s="7"/>
      <c r="G2014" s="7"/>
      <c r="M2014" s="10"/>
      <c r="P2014" s="11"/>
      <c r="Q2014" s="12"/>
    </row>
    <row r="2015" spans="1:17">
      <c r="A2015" s="14">
        <v>41647</v>
      </c>
      <c r="B2015" s="8">
        <v>1159.4209734155475</v>
      </c>
      <c r="F2015" s="7"/>
      <c r="G2015" s="7"/>
      <c r="M2015" s="10"/>
      <c r="P2015" s="11"/>
      <c r="Q2015" s="12"/>
    </row>
    <row r="2016" spans="1:17">
      <c r="A2016" s="14">
        <v>41648</v>
      </c>
      <c r="B2016" s="8">
        <v>1152.6628200964585</v>
      </c>
      <c r="F2016" s="7"/>
      <c r="G2016" s="7"/>
      <c r="M2016" s="10"/>
      <c r="P2016" s="11"/>
      <c r="Q2016" s="12"/>
    </row>
    <row r="2017" spans="1:17">
      <c r="A2017" s="14">
        <v>41649</v>
      </c>
      <c r="B2017" s="8">
        <v>1153.6211989094072</v>
      </c>
      <c r="F2017" s="7"/>
      <c r="G2017" s="7"/>
      <c r="M2017" s="10"/>
      <c r="P2017" s="11"/>
      <c r="Q2017" s="12"/>
    </row>
    <row r="2018" spans="1:17">
      <c r="A2018" s="14">
        <v>41652</v>
      </c>
      <c r="B2018" s="8">
        <v>1147.9675675951169</v>
      </c>
      <c r="F2018" s="7"/>
      <c r="G2018" s="7"/>
      <c r="M2018" s="10"/>
      <c r="P2018" s="11"/>
      <c r="Q2018" s="12"/>
    </row>
    <row r="2019" spans="1:17">
      <c r="A2019" s="14">
        <v>41653</v>
      </c>
      <c r="B2019" s="8">
        <v>1158.8029162538583</v>
      </c>
      <c r="F2019" s="7"/>
      <c r="G2019" s="7"/>
      <c r="M2019" s="10"/>
      <c r="P2019" s="11"/>
      <c r="Q2019" s="12"/>
    </row>
    <row r="2020" spans="1:17">
      <c r="A2020" s="14">
        <v>41654</v>
      </c>
      <c r="B2020" s="8">
        <v>1175.9311471443809</v>
      </c>
      <c r="F2020" s="7"/>
      <c r="G2020" s="7"/>
      <c r="M2020" s="10"/>
      <c r="P2020" s="11"/>
      <c r="Q2020" s="12"/>
    </row>
    <row r="2021" spans="1:17">
      <c r="A2021" s="14">
        <v>41655</v>
      </c>
      <c r="B2021" s="8">
        <v>1170.4870473028111</v>
      </c>
      <c r="F2021" s="7"/>
      <c r="G2021" s="7"/>
      <c r="M2021" s="10"/>
      <c r="P2021" s="11"/>
      <c r="Q2021" s="12"/>
    </row>
    <row r="2022" spans="1:17">
      <c r="A2022" s="14">
        <v>41656</v>
      </c>
      <c r="B2022" s="8">
        <v>1168.1233351788567</v>
      </c>
      <c r="F2022" s="7"/>
      <c r="G2022" s="7"/>
      <c r="M2022" s="10"/>
      <c r="P2022" s="11"/>
      <c r="Q2022" s="12"/>
    </row>
    <row r="2023" spans="1:17">
      <c r="A2023" s="14">
        <v>41659</v>
      </c>
      <c r="B2023" s="8">
        <v>1167.3329809871743</v>
      </c>
      <c r="F2023" s="7"/>
      <c r="G2023" s="7"/>
      <c r="M2023" s="10"/>
      <c r="P2023" s="11"/>
      <c r="Q2023" s="12"/>
    </row>
    <row r="2024" spans="1:17">
      <c r="A2024" s="14">
        <v>41660</v>
      </c>
      <c r="B2024" s="8">
        <v>1167.1526347252127</v>
      </c>
      <c r="F2024" s="7"/>
      <c r="G2024" s="7"/>
      <c r="M2024" s="10"/>
      <c r="P2024" s="11"/>
      <c r="Q2024" s="12"/>
    </row>
    <row r="2025" spans="1:17">
      <c r="A2025" s="14">
        <v>41661</v>
      </c>
      <c r="B2025" s="8">
        <v>1167.3037196150901</v>
      </c>
      <c r="F2025" s="7"/>
      <c r="G2025" s="7"/>
      <c r="M2025" s="10"/>
      <c r="P2025" s="11"/>
      <c r="Q2025" s="12"/>
    </row>
    <row r="2026" spans="1:17">
      <c r="A2026" s="14">
        <v>41662</v>
      </c>
      <c r="B2026" s="8">
        <v>1161.9213457948772</v>
      </c>
      <c r="F2026" s="7"/>
      <c r="G2026" s="7"/>
      <c r="M2026" s="10"/>
      <c r="P2026" s="11"/>
      <c r="Q2026" s="12"/>
    </row>
    <row r="2027" spans="1:17">
      <c r="A2027" s="14">
        <v>41663</v>
      </c>
      <c r="B2027" s="8">
        <v>1132.3533572467593</v>
      </c>
      <c r="F2027" s="7"/>
      <c r="G2027" s="7"/>
      <c r="M2027" s="10"/>
      <c r="P2027" s="11"/>
      <c r="Q2027" s="12"/>
    </row>
    <row r="2028" spans="1:17">
      <c r="A2028" s="14">
        <v>41666</v>
      </c>
      <c r="B2028" s="8">
        <v>1123.7750496757251</v>
      </c>
      <c r="F2028" s="7"/>
      <c r="G2028" s="7"/>
      <c r="M2028" s="10"/>
      <c r="P2028" s="11"/>
      <c r="Q2028" s="12"/>
    </row>
    <row r="2029" spans="1:17">
      <c r="A2029" s="14">
        <v>41667</v>
      </c>
      <c r="B2029" s="8">
        <v>1136.8649312403443</v>
      </c>
      <c r="F2029" s="7"/>
      <c r="G2029" s="7"/>
      <c r="M2029" s="10"/>
      <c r="P2029" s="11"/>
      <c r="Q2029" s="12"/>
    </row>
    <row r="2030" spans="1:17">
      <c r="A2030" s="14">
        <v>41668</v>
      </c>
      <c r="B2030" s="8">
        <v>1126.2283945389549</v>
      </c>
      <c r="F2030" s="7"/>
      <c r="G2030" s="7"/>
      <c r="M2030" s="10"/>
      <c r="P2030" s="11"/>
      <c r="Q2030" s="12"/>
    </row>
    <row r="2031" spans="1:17">
      <c r="A2031" s="14">
        <v>41669</v>
      </c>
      <c r="B2031" s="8">
        <v>1139.9461596199317</v>
      </c>
      <c r="F2031" s="7"/>
      <c r="G2031" s="7"/>
      <c r="M2031" s="10"/>
      <c r="P2031" s="11"/>
      <c r="Q2031" s="12"/>
    </row>
    <row r="2032" spans="1:17">
      <c r="A2032" s="14">
        <v>41670</v>
      </c>
      <c r="B2032" s="8">
        <v>1135.9597442156864</v>
      </c>
      <c r="F2032" s="7"/>
      <c r="G2032" s="7"/>
      <c r="M2032" s="10"/>
      <c r="P2032" s="11"/>
      <c r="Q2032" s="12"/>
    </row>
    <row r="2033" spans="1:17">
      <c r="A2033" s="14">
        <v>41673</v>
      </c>
      <c r="B2033" s="8">
        <v>1111.0141672719196</v>
      </c>
      <c r="F2033" s="7"/>
      <c r="G2033" s="7"/>
      <c r="M2033" s="10"/>
      <c r="P2033" s="11"/>
      <c r="Q2033" s="12"/>
    </row>
    <row r="2034" spans="1:17">
      <c r="A2034" s="14">
        <v>41674</v>
      </c>
      <c r="B2034" s="8">
        <v>1118.6400128217579</v>
      </c>
      <c r="F2034" s="7"/>
      <c r="G2034" s="7"/>
      <c r="M2034" s="10"/>
      <c r="P2034" s="11"/>
      <c r="Q2034" s="12"/>
    </row>
    <row r="2035" spans="1:17">
      <c r="A2035" s="14">
        <v>41675</v>
      </c>
      <c r="B2035" s="8">
        <v>1118.7638988626336</v>
      </c>
      <c r="F2035" s="7"/>
      <c r="G2035" s="7"/>
      <c r="M2035" s="10"/>
      <c r="P2035" s="11"/>
      <c r="Q2035" s="12"/>
    </row>
    <row r="2036" spans="1:17">
      <c r="A2036" s="14">
        <v>41676</v>
      </c>
      <c r="B2036" s="8">
        <v>1131.7875681237081</v>
      </c>
      <c r="F2036" s="7"/>
      <c r="G2036" s="7"/>
      <c r="M2036" s="10"/>
      <c r="P2036" s="11"/>
      <c r="Q2036" s="12"/>
    </row>
    <row r="2037" spans="1:17">
      <c r="A2037" s="14">
        <v>41677</v>
      </c>
      <c r="B2037" s="8">
        <v>1149.687040319574</v>
      </c>
      <c r="F2037" s="7"/>
      <c r="G2037" s="7"/>
      <c r="M2037" s="10"/>
      <c r="P2037" s="11"/>
      <c r="Q2037" s="12"/>
    </row>
    <row r="2038" spans="1:17">
      <c r="A2038" s="14">
        <v>41680</v>
      </c>
      <c r="B2038" s="8">
        <v>1148.999249395401</v>
      </c>
      <c r="F2038" s="7"/>
      <c r="G2038" s="7"/>
      <c r="M2038" s="10"/>
      <c r="P2038" s="11"/>
      <c r="Q2038" s="12"/>
    </row>
    <row r="2039" spans="1:17">
      <c r="A2039" s="14">
        <v>41681</v>
      </c>
      <c r="B2039" s="8">
        <v>1164.2662149424762</v>
      </c>
      <c r="F2039" s="7"/>
      <c r="G2039" s="7"/>
      <c r="M2039" s="10"/>
      <c r="P2039" s="11"/>
      <c r="Q2039" s="12"/>
    </row>
    <row r="2040" spans="1:17">
      <c r="A2040" s="14">
        <v>41682</v>
      </c>
      <c r="B2040" s="8">
        <v>1171.4612164158434</v>
      </c>
      <c r="F2040" s="7"/>
      <c r="G2040" s="7"/>
      <c r="M2040" s="10"/>
      <c r="P2040" s="11"/>
      <c r="Q2040" s="12"/>
    </row>
    <row r="2041" spans="1:17">
      <c r="A2041" s="14">
        <v>41683</v>
      </c>
      <c r="B2041" s="8">
        <v>1178.8706377775532</v>
      </c>
      <c r="F2041" s="7"/>
      <c r="G2041" s="7"/>
      <c r="M2041" s="10"/>
      <c r="P2041" s="11"/>
      <c r="Q2041" s="12"/>
    </row>
    <row r="2042" spans="1:17">
      <c r="A2042" s="14">
        <v>41684</v>
      </c>
      <c r="B2042" s="8">
        <v>1184.5072923539738</v>
      </c>
      <c r="F2042" s="7"/>
      <c r="G2042" s="7"/>
      <c r="M2042" s="10"/>
      <c r="P2042" s="11"/>
      <c r="Q2042" s="12"/>
    </row>
    <row r="2043" spans="1:17">
      <c r="A2043" s="14">
        <v>41687</v>
      </c>
      <c r="B2043" s="8">
        <v>1184.5491468737571</v>
      </c>
      <c r="F2043" s="7"/>
      <c r="G2043" s="7"/>
      <c r="M2043" s="10"/>
      <c r="P2043" s="11"/>
      <c r="Q2043" s="12"/>
    </row>
    <row r="2044" spans="1:17">
      <c r="A2044" s="14">
        <v>41688</v>
      </c>
      <c r="B2044" s="8">
        <v>1184.2115219441291</v>
      </c>
      <c r="F2044" s="7"/>
      <c r="G2044" s="7"/>
      <c r="M2044" s="10"/>
      <c r="P2044" s="11"/>
      <c r="Q2044" s="12"/>
    </row>
    <row r="2045" spans="1:17">
      <c r="A2045" s="14">
        <v>41689</v>
      </c>
      <c r="B2045" s="8">
        <v>1176.3581857672605</v>
      </c>
      <c r="F2045" s="7"/>
      <c r="G2045" s="7"/>
      <c r="M2045" s="10"/>
      <c r="P2045" s="11"/>
      <c r="Q2045" s="12"/>
    </row>
    <row r="2046" spans="1:17">
      <c r="A2046" s="14">
        <v>41690</v>
      </c>
      <c r="B2046" s="8">
        <v>1184.6868929072589</v>
      </c>
      <c r="F2046" s="7"/>
      <c r="G2046" s="7"/>
      <c r="M2046" s="10"/>
      <c r="P2046" s="11"/>
      <c r="Q2046" s="12"/>
    </row>
    <row r="2047" spans="1:17">
      <c r="A2047" s="14">
        <v>41691</v>
      </c>
      <c r="B2047" s="8">
        <v>1190.128869432041</v>
      </c>
      <c r="F2047" s="7"/>
      <c r="G2047" s="7"/>
      <c r="M2047" s="10"/>
      <c r="P2047" s="11"/>
      <c r="Q2047" s="12"/>
    </row>
    <row r="2048" spans="1:17">
      <c r="A2048" s="14">
        <v>41694</v>
      </c>
      <c r="B2048" s="8">
        <v>1199.7303794819697</v>
      </c>
      <c r="F2048" s="7"/>
      <c r="G2048" s="7"/>
      <c r="M2048" s="10"/>
      <c r="P2048" s="11"/>
      <c r="Q2048" s="12"/>
    </row>
    <row r="2049" spans="1:17">
      <c r="A2049" s="14">
        <v>41695</v>
      </c>
      <c r="B2049" s="8">
        <v>1206.2871553704401</v>
      </c>
      <c r="F2049" s="7"/>
      <c r="G2049" s="7"/>
      <c r="M2049" s="10"/>
      <c r="P2049" s="11"/>
      <c r="Q2049" s="12"/>
    </row>
    <row r="2050" spans="1:17">
      <c r="A2050" s="14">
        <v>41696</v>
      </c>
      <c r="B2050" s="8">
        <v>1205.046281911757</v>
      </c>
      <c r="F2050" s="7"/>
      <c r="G2050" s="7"/>
      <c r="M2050" s="10"/>
      <c r="P2050" s="11"/>
      <c r="Q2050" s="12"/>
    </row>
    <row r="2051" spans="1:17">
      <c r="A2051" s="14">
        <v>41697</v>
      </c>
      <c r="B2051" s="8">
        <v>1206.918327675862</v>
      </c>
      <c r="F2051" s="7"/>
      <c r="G2051" s="7"/>
      <c r="M2051" s="10"/>
      <c r="P2051" s="11"/>
      <c r="Q2051" s="12"/>
    </row>
    <row r="2052" spans="1:17">
      <c r="A2052" s="14">
        <v>41698</v>
      </c>
      <c r="B2052" s="8">
        <v>1203.9581442464653</v>
      </c>
      <c r="F2052" s="7"/>
      <c r="G2052" s="7"/>
      <c r="M2052" s="10"/>
      <c r="P2052" s="11"/>
      <c r="Q2052" s="12"/>
    </row>
    <row r="2053" spans="1:17">
      <c r="A2053" s="14">
        <v>41701</v>
      </c>
      <c r="B2053" s="8">
        <v>1180.1387084203968</v>
      </c>
      <c r="F2053" s="7"/>
      <c r="G2053" s="7"/>
      <c r="M2053" s="10"/>
      <c r="P2053" s="11"/>
      <c r="Q2053" s="12"/>
    </row>
    <row r="2054" spans="1:17">
      <c r="A2054" s="14">
        <v>41702</v>
      </c>
      <c r="B2054" s="8">
        <v>1208.479661950357</v>
      </c>
      <c r="F2054" s="7"/>
      <c r="G2054" s="7"/>
      <c r="M2054" s="10"/>
      <c r="P2054" s="11"/>
      <c r="Q2054" s="12"/>
    </row>
    <row r="2055" spans="1:17">
      <c r="A2055" s="14">
        <v>41703</v>
      </c>
      <c r="B2055" s="8">
        <v>1212.5444185896499</v>
      </c>
      <c r="F2055" s="7"/>
      <c r="G2055" s="7"/>
      <c r="M2055" s="10"/>
      <c r="P2055" s="11"/>
      <c r="Q2055" s="12"/>
    </row>
    <row r="2056" spans="1:17">
      <c r="A2056" s="14">
        <v>41704</v>
      </c>
      <c r="B2056" s="8">
        <v>1215.3836274576418</v>
      </c>
      <c r="F2056" s="7"/>
      <c r="G2056" s="7"/>
      <c r="M2056" s="10"/>
      <c r="P2056" s="11"/>
      <c r="Q2056" s="12"/>
    </row>
    <row r="2057" spans="1:17">
      <c r="A2057" s="14">
        <v>41705</v>
      </c>
      <c r="B2057" s="8">
        <v>1205.9023950550045</v>
      </c>
      <c r="F2057" s="7"/>
      <c r="G2057" s="7"/>
      <c r="M2057" s="10"/>
      <c r="P2057" s="11"/>
      <c r="Q2057" s="12"/>
    </row>
    <row r="2058" spans="1:17">
      <c r="A2058" s="14">
        <v>41708</v>
      </c>
      <c r="B2058" s="8">
        <v>1201.2281192366411</v>
      </c>
      <c r="F2058" s="7"/>
      <c r="G2058" s="7"/>
      <c r="M2058" s="10"/>
      <c r="P2058" s="11"/>
      <c r="Q2058" s="12"/>
    </row>
    <row r="2059" spans="1:17">
      <c r="A2059" s="14">
        <v>41709</v>
      </c>
      <c r="B2059" s="8">
        <v>1196.0623950549166</v>
      </c>
      <c r="F2059" s="7"/>
      <c r="G2059" s="7"/>
      <c r="M2059" s="10"/>
      <c r="P2059" s="11"/>
      <c r="Q2059" s="12"/>
    </row>
    <row r="2060" spans="1:17">
      <c r="A2060" s="14">
        <v>41710</v>
      </c>
      <c r="B2060" s="8">
        <v>1193.9085506346128</v>
      </c>
      <c r="F2060" s="7"/>
      <c r="G2060" s="7"/>
      <c r="M2060" s="10"/>
      <c r="P2060" s="11"/>
      <c r="Q2060" s="12"/>
    </row>
    <row r="2061" spans="1:17">
      <c r="A2061" s="14">
        <v>41711</v>
      </c>
      <c r="B2061" s="8">
        <v>1175.5486898950896</v>
      </c>
      <c r="F2061" s="7"/>
      <c r="G2061" s="7"/>
      <c r="M2061" s="10"/>
      <c r="P2061" s="11"/>
      <c r="Q2061" s="12"/>
    </row>
    <row r="2062" spans="1:17">
      <c r="A2062" s="14">
        <v>41712</v>
      </c>
      <c r="B2062" s="8">
        <v>1163.6608463625757</v>
      </c>
      <c r="F2062" s="7"/>
      <c r="G2062" s="7"/>
      <c r="M2062" s="10"/>
      <c r="P2062" s="11"/>
      <c r="Q2062" s="12"/>
    </row>
    <row r="2063" spans="1:17">
      <c r="A2063" s="14">
        <v>41715</v>
      </c>
      <c r="B2063" s="8">
        <v>1180.5687599194146</v>
      </c>
      <c r="F2063" s="7"/>
      <c r="G2063" s="7"/>
      <c r="M2063" s="10"/>
      <c r="P2063" s="11"/>
      <c r="Q2063" s="12"/>
    </row>
    <row r="2064" spans="1:17">
      <c r="A2064" s="14">
        <v>41716</v>
      </c>
      <c r="B2064" s="8">
        <v>1190.9561005536377</v>
      </c>
      <c r="F2064" s="7"/>
      <c r="G2064" s="7"/>
      <c r="M2064" s="10"/>
      <c r="P2064" s="11"/>
      <c r="Q2064" s="12"/>
    </row>
    <row r="2065" spans="1:17">
      <c r="A2065" s="14">
        <v>41717</v>
      </c>
      <c r="B2065" s="8">
        <v>1190.9537372179768</v>
      </c>
      <c r="F2065" s="7"/>
      <c r="G2065" s="7"/>
      <c r="M2065" s="10"/>
      <c r="P2065" s="11"/>
      <c r="Q2065" s="12"/>
    </row>
    <row r="2066" spans="1:17">
      <c r="A2066" s="14">
        <v>41718</v>
      </c>
      <c r="B2066" s="8">
        <v>1200.922695853187</v>
      </c>
      <c r="F2066" s="7"/>
      <c r="G2066" s="7"/>
      <c r="M2066" s="10"/>
      <c r="P2066" s="11"/>
      <c r="Q2066" s="12"/>
    </row>
    <row r="2067" spans="1:17">
      <c r="A2067" s="14">
        <v>41719</v>
      </c>
      <c r="B2067" s="8">
        <v>1192.6010652552052</v>
      </c>
      <c r="F2067" s="7"/>
      <c r="G2067" s="7"/>
      <c r="M2067" s="10"/>
      <c r="P2067" s="11"/>
      <c r="Q2067" s="12"/>
    </row>
    <row r="2068" spans="1:17">
      <c r="A2068" s="14">
        <v>41722</v>
      </c>
      <c r="B2068" s="8">
        <v>1173.6816398829769</v>
      </c>
      <c r="F2068" s="7"/>
      <c r="G2068" s="7"/>
      <c r="M2068" s="10"/>
      <c r="P2068" s="11"/>
      <c r="Q2068" s="12"/>
    </row>
    <row r="2069" spans="1:17">
      <c r="A2069" s="14">
        <v>41723</v>
      </c>
      <c r="B2069" s="8">
        <v>1179.3393435707549</v>
      </c>
      <c r="F2069" s="7"/>
      <c r="G2069" s="7"/>
      <c r="M2069" s="10"/>
      <c r="P2069" s="11"/>
      <c r="Q2069" s="12"/>
    </row>
    <row r="2070" spans="1:17">
      <c r="A2070" s="14">
        <v>41724</v>
      </c>
      <c r="B2070" s="8">
        <v>1178.5537586052826</v>
      </c>
      <c r="F2070" s="7"/>
      <c r="G2070" s="7"/>
      <c r="M2070" s="10"/>
      <c r="P2070" s="11"/>
      <c r="Q2070" s="12"/>
    </row>
    <row r="2071" spans="1:17">
      <c r="A2071" s="14">
        <v>41725</v>
      </c>
      <c r="B2071" s="8">
        <v>1175.2552824528591</v>
      </c>
      <c r="F2071" s="7"/>
      <c r="G2071" s="7"/>
      <c r="M2071" s="10"/>
      <c r="P2071" s="11"/>
      <c r="Q2071" s="12"/>
    </row>
    <row r="2072" spans="1:17">
      <c r="A2072" s="14">
        <v>41726</v>
      </c>
      <c r="B2072" s="8">
        <v>1181.3165795338086</v>
      </c>
      <c r="F2072" s="7"/>
      <c r="G2072" s="7"/>
      <c r="M2072" s="10"/>
      <c r="P2072" s="11"/>
      <c r="Q2072" s="12"/>
    </row>
    <row r="2073" spans="1:17">
      <c r="A2073" s="14">
        <v>41729</v>
      </c>
      <c r="B2073" s="8">
        <v>1184.1986764608328</v>
      </c>
      <c r="F2073" s="7"/>
      <c r="G2073" s="7"/>
      <c r="M2073" s="10"/>
      <c r="P2073" s="11"/>
      <c r="Q2073" s="12"/>
    </row>
    <row r="2074" spans="1:17">
      <c r="A2074" s="14">
        <v>41730</v>
      </c>
      <c r="B2074" s="8">
        <v>1203.7932395380474</v>
      </c>
      <c r="F2074" s="7"/>
      <c r="G2074" s="7"/>
      <c r="M2074" s="10"/>
      <c r="P2074" s="11"/>
      <c r="Q2074" s="12"/>
    </row>
    <row r="2075" spans="1:17">
      <c r="A2075" s="14">
        <v>41731</v>
      </c>
      <c r="B2075" s="8">
        <v>1205.1392754782137</v>
      </c>
      <c r="F2075" s="7"/>
      <c r="G2075" s="7"/>
      <c r="M2075" s="10"/>
      <c r="P2075" s="11"/>
      <c r="Q2075" s="12"/>
    </row>
    <row r="2076" spans="1:17">
      <c r="A2076" s="14">
        <v>41732</v>
      </c>
      <c r="B2076" s="8">
        <v>1202.7834901501521</v>
      </c>
      <c r="F2076" s="7"/>
      <c r="G2076" s="7"/>
      <c r="M2076" s="10"/>
      <c r="P2076" s="11"/>
      <c r="Q2076" s="12"/>
    </row>
    <row r="2077" spans="1:17">
      <c r="A2077" s="14">
        <v>41733</v>
      </c>
      <c r="B2077" s="8">
        <v>1192.0072461057914</v>
      </c>
      <c r="F2077" s="7"/>
      <c r="G2077" s="7"/>
      <c r="M2077" s="10"/>
      <c r="P2077" s="11"/>
      <c r="Q2077" s="12"/>
    </row>
    <row r="2078" spans="1:17">
      <c r="A2078" s="14">
        <v>41736</v>
      </c>
      <c r="B2078" s="8">
        <v>1173.3546845949209</v>
      </c>
      <c r="F2078" s="7"/>
      <c r="G2078" s="7"/>
      <c r="M2078" s="10"/>
      <c r="P2078" s="11"/>
      <c r="Q2078" s="12"/>
    </row>
    <row r="2079" spans="1:17">
      <c r="A2079" s="14">
        <v>41737</v>
      </c>
      <c r="B2079" s="8">
        <v>1172.7240908437216</v>
      </c>
      <c r="F2079" s="7"/>
      <c r="G2079" s="7"/>
      <c r="M2079" s="10"/>
      <c r="P2079" s="11"/>
      <c r="Q2079" s="12"/>
    </row>
    <row r="2080" spans="1:17">
      <c r="A2080" s="14">
        <v>41738</v>
      </c>
      <c r="B2080" s="8">
        <v>1179.9750558495427</v>
      </c>
      <c r="F2080" s="7"/>
      <c r="G2080" s="7"/>
      <c r="M2080" s="10"/>
      <c r="P2080" s="11"/>
      <c r="Q2080" s="12"/>
    </row>
    <row r="2081" spans="1:17">
      <c r="A2081" s="14">
        <v>41739</v>
      </c>
      <c r="B2081" s="8">
        <v>1157.8962198655072</v>
      </c>
      <c r="F2081" s="7"/>
      <c r="G2081" s="7"/>
      <c r="M2081" s="10"/>
      <c r="P2081" s="11"/>
      <c r="Q2081" s="12"/>
    </row>
    <row r="2082" spans="1:17">
      <c r="A2082" s="14">
        <v>41740</v>
      </c>
      <c r="B2082" s="8">
        <v>1141.5968585960229</v>
      </c>
      <c r="F2082" s="7"/>
      <c r="G2082" s="7"/>
      <c r="M2082" s="10"/>
      <c r="P2082" s="11"/>
      <c r="Q2082" s="12"/>
    </row>
    <row r="2083" spans="1:17">
      <c r="A2083" s="14">
        <v>41743</v>
      </c>
      <c r="B2083" s="8">
        <v>1144.7382805285963</v>
      </c>
      <c r="F2083" s="7"/>
      <c r="G2083" s="7"/>
      <c r="M2083" s="10"/>
      <c r="P2083" s="11"/>
      <c r="Q2083" s="12"/>
    </row>
    <row r="2084" spans="1:17">
      <c r="A2084" s="14">
        <v>41744</v>
      </c>
      <c r="B2084" s="8">
        <v>1139.0985377577138</v>
      </c>
      <c r="F2084" s="7"/>
      <c r="G2084" s="7"/>
      <c r="M2084" s="10"/>
      <c r="P2084" s="11"/>
      <c r="Q2084" s="12"/>
    </row>
    <row r="2085" spans="1:17">
      <c r="A2085" s="14">
        <v>41745</v>
      </c>
      <c r="B2085" s="8">
        <v>1155.1232680090336</v>
      </c>
      <c r="F2085" s="7"/>
      <c r="G2085" s="7"/>
      <c r="M2085" s="10"/>
      <c r="P2085" s="11"/>
      <c r="Q2085" s="12"/>
    </row>
    <row r="2086" spans="1:17">
      <c r="A2086" s="14">
        <v>41746</v>
      </c>
      <c r="B2086" s="8">
        <v>1163.5406156033996</v>
      </c>
      <c r="F2086" s="7"/>
      <c r="G2086" s="7"/>
      <c r="M2086" s="10"/>
      <c r="P2086" s="11"/>
      <c r="Q2086" s="12"/>
    </row>
    <row r="2087" spans="1:17">
      <c r="A2087" s="14">
        <v>41747</v>
      </c>
      <c r="B2087" s="8">
        <v>1163.1589229259657</v>
      </c>
      <c r="F2087" s="7"/>
      <c r="G2087" s="7"/>
      <c r="M2087" s="10"/>
      <c r="P2087" s="11"/>
      <c r="Q2087" s="12"/>
    </row>
    <row r="2088" spans="1:17">
      <c r="A2088" s="14">
        <v>41750</v>
      </c>
      <c r="B2088" s="8">
        <v>1163.91947356013</v>
      </c>
      <c r="F2088" s="7"/>
      <c r="G2088" s="7"/>
      <c r="M2088" s="10"/>
      <c r="P2088" s="11"/>
      <c r="Q2088" s="12"/>
    </row>
    <row r="2089" spans="1:17">
      <c r="A2089" s="14">
        <v>41751</v>
      </c>
      <c r="B2089" s="8">
        <v>1180.8981822978315</v>
      </c>
      <c r="F2089" s="7"/>
      <c r="G2089" s="7"/>
      <c r="M2089" s="10"/>
      <c r="P2089" s="11"/>
      <c r="Q2089" s="12"/>
    </row>
    <row r="2090" spans="1:17">
      <c r="A2090" s="14">
        <v>41752</v>
      </c>
      <c r="B2090" s="8">
        <v>1168.3810773657547</v>
      </c>
      <c r="F2090" s="7"/>
      <c r="G2090" s="7"/>
      <c r="M2090" s="10"/>
      <c r="P2090" s="11"/>
      <c r="Q2090" s="12"/>
    </row>
    <row r="2091" spans="1:17">
      <c r="A2091" s="14">
        <v>41753</v>
      </c>
      <c r="B2091" s="8">
        <v>1170.1810106179425</v>
      </c>
      <c r="F2091" s="7"/>
      <c r="G2091" s="7"/>
      <c r="M2091" s="10"/>
      <c r="P2091" s="11"/>
      <c r="Q2091" s="12"/>
    </row>
    <row r="2092" spans="1:17">
      <c r="A2092" s="14">
        <v>41754</v>
      </c>
      <c r="B2092" s="8">
        <v>1148.4692881409255</v>
      </c>
      <c r="F2092" s="7"/>
      <c r="G2092" s="7"/>
      <c r="M2092" s="10"/>
      <c r="P2092" s="11"/>
      <c r="Q2092" s="12"/>
    </row>
    <row r="2093" spans="1:17">
      <c r="A2093" s="14">
        <v>41757</v>
      </c>
      <c r="B2093" s="8">
        <v>1144.267054094772</v>
      </c>
      <c r="F2093" s="7"/>
      <c r="G2093" s="7"/>
      <c r="M2093" s="10"/>
      <c r="P2093" s="11"/>
      <c r="Q2093" s="12"/>
    </row>
    <row r="2094" spans="1:17">
      <c r="A2094" s="14">
        <v>41758</v>
      </c>
      <c r="B2094" s="8">
        <v>1158.3529693080282</v>
      </c>
      <c r="F2094" s="7"/>
      <c r="G2094" s="7"/>
      <c r="M2094" s="10"/>
      <c r="P2094" s="11"/>
      <c r="Q2094" s="12"/>
    </row>
    <row r="2095" spans="1:17">
      <c r="A2095" s="14">
        <v>41759</v>
      </c>
      <c r="B2095" s="8">
        <v>1156.7233613199512</v>
      </c>
      <c r="F2095" s="7"/>
      <c r="G2095" s="7"/>
      <c r="M2095" s="10"/>
      <c r="P2095" s="11"/>
      <c r="Q2095" s="12"/>
    </row>
    <row r="2096" spans="1:17">
      <c r="A2096" s="14">
        <v>41760</v>
      </c>
      <c r="B2096" s="8">
        <v>1159.2944573583804</v>
      </c>
      <c r="F2096" s="7"/>
      <c r="G2096" s="7"/>
      <c r="M2096" s="10"/>
      <c r="P2096" s="11"/>
      <c r="Q2096" s="12"/>
    </row>
    <row r="2097" spans="1:17">
      <c r="A2097" s="14">
        <v>41761</v>
      </c>
      <c r="B2097" s="8">
        <v>1156.7504891525241</v>
      </c>
      <c r="F2097" s="7"/>
      <c r="G2097" s="7"/>
      <c r="M2097" s="10"/>
      <c r="P2097" s="11"/>
      <c r="Q2097" s="12"/>
    </row>
    <row r="2098" spans="1:17">
      <c r="A2098" s="14">
        <v>41764</v>
      </c>
      <c r="B2098" s="8">
        <v>1156.0566543174193</v>
      </c>
      <c r="F2098" s="7"/>
      <c r="G2098" s="7"/>
      <c r="M2098" s="10"/>
      <c r="P2098" s="11"/>
      <c r="Q2098" s="12"/>
    </row>
    <row r="2099" spans="1:17">
      <c r="A2099" s="14">
        <v>41765</v>
      </c>
      <c r="B2099" s="8">
        <v>1142.1091834749634</v>
      </c>
      <c r="F2099" s="7"/>
      <c r="G2099" s="7"/>
      <c r="M2099" s="10"/>
      <c r="P2099" s="11"/>
      <c r="Q2099" s="12"/>
    </row>
    <row r="2100" spans="1:17">
      <c r="A2100" s="14">
        <v>41766</v>
      </c>
      <c r="B2100" s="8">
        <v>1136.3307754064676</v>
      </c>
      <c r="F2100" s="7"/>
      <c r="G2100" s="7"/>
      <c r="M2100" s="10"/>
      <c r="P2100" s="11"/>
      <c r="Q2100" s="12"/>
    </row>
    <row r="2101" spans="1:17">
      <c r="A2101" s="14">
        <v>41767</v>
      </c>
      <c r="B2101" s="8">
        <v>1146.0941993884012</v>
      </c>
      <c r="F2101" s="7"/>
      <c r="G2101" s="7"/>
      <c r="M2101" s="10"/>
      <c r="P2101" s="11"/>
      <c r="Q2101" s="12"/>
    </row>
    <row r="2102" spans="1:17">
      <c r="A2102" s="14">
        <v>41768</v>
      </c>
      <c r="B2102" s="8">
        <v>1143.3698629948331</v>
      </c>
      <c r="F2102" s="7"/>
      <c r="G2102" s="7"/>
      <c r="M2102" s="10"/>
      <c r="P2102" s="11"/>
      <c r="Q2102" s="12"/>
    </row>
    <row r="2103" spans="1:17">
      <c r="A2103" s="14">
        <v>41771</v>
      </c>
      <c r="B2103" s="8">
        <v>1156.9867692075054</v>
      </c>
      <c r="F2103" s="7"/>
      <c r="G2103" s="7"/>
      <c r="M2103" s="10"/>
      <c r="P2103" s="11"/>
      <c r="Q2103" s="12"/>
    </row>
    <row r="2104" spans="1:17">
      <c r="A2104" s="14">
        <v>41772</v>
      </c>
      <c r="B2104" s="8">
        <v>1153.6959472035514</v>
      </c>
      <c r="F2104" s="7"/>
      <c r="G2104" s="7"/>
      <c r="M2104" s="10"/>
      <c r="P2104" s="11"/>
      <c r="Q2104" s="12"/>
    </row>
    <row r="2105" spans="1:17">
      <c r="A2105" s="14">
        <v>41773</v>
      </c>
      <c r="B2105" s="8">
        <v>1148.8965115897061</v>
      </c>
      <c r="F2105" s="7"/>
      <c r="G2105" s="7"/>
      <c r="M2105" s="10"/>
      <c r="P2105" s="11"/>
      <c r="Q2105" s="12"/>
    </row>
    <row r="2106" spans="1:17">
      <c r="A2106" s="14">
        <v>41774</v>
      </c>
      <c r="B2106" s="8">
        <v>1129.8106153873844</v>
      </c>
      <c r="F2106" s="7"/>
      <c r="G2106" s="7"/>
      <c r="M2106" s="10"/>
      <c r="P2106" s="11"/>
      <c r="Q2106" s="12"/>
    </row>
    <row r="2107" spans="1:17">
      <c r="A2107" s="14">
        <v>41775</v>
      </c>
      <c r="B2107" s="8">
        <v>1135.8918084277955</v>
      </c>
      <c r="F2107" s="7"/>
      <c r="G2107" s="7"/>
      <c r="M2107" s="10"/>
      <c r="P2107" s="11"/>
      <c r="Q2107" s="12"/>
    </row>
    <row r="2108" spans="1:17">
      <c r="A2108" s="14">
        <v>41778</v>
      </c>
      <c r="B2108" s="8">
        <v>1140.9204017798559</v>
      </c>
      <c r="F2108" s="7"/>
      <c r="G2108" s="7"/>
      <c r="M2108" s="10"/>
      <c r="P2108" s="11"/>
      <c r="Q2108" s="12"/>
    </row>
    <row r="2109" spans="1:17">
      <c r="A2109" s="14">
        <v>41779</v>
      </c>
      <c r="B2109" s="8">
        <v>1140.44231276812</v>
      </c>
      <c r="F2109" s="7"/>
      <c r="G2109" s="7"/>
      <c r="M2109" s="10"/>
      <c r="P2109" s="11"/>
      <c r="Q2109" s="12"/>
    </row>
    <row r="2110" spans="1:17">
      <c r="A2110" s="14">
        <v>41780</v>
      </c>
      <c r="B2110" s="8">
        <v>1149.4410514253027</v>
      </c>
      <c r="F2110" s="7"/>
      <c r="G2110" s="7"/>
      <c r="M2110" s="10"/>
      <c r="P2110" s="11"/>
      <c r="Q2110" s="12"/>
    </row>
    <row r="2111" spans="1:17">
      <c r="A2111" s="14">
        <v>41781</v>
      </c>
      <c r="B2111" s="8">
        <v>1156.3541614452702</v>
      </c>
      <c r="F2111" s="7"/>
      <c r="G2111" s="7"/>
      <c r="M2111" s="10"/>
      <c r="P2111" s="11"/>
      <c r="Q2111" s="12"/>
    </row>
    <row r="2112" spans="1:17">
      <c r="A2112" s="14">
        <v>41782</v>
      </c>
      <c r="B2112" s="8">
        <v>1164.887618639272</v>
      </c>
      <c r="F2112" s="7"/>
      <c r="G2112" s="7"/>
      <c r="M2112" s="10"/>
      <c r="P2112" s="11"/>
      <c r="Q2112" s="12"/>
    </row>
    <row r="2113" spans="1:17">
      <c r="A2113" s="14">
        <v>41785</v>
      </c>
      <c r="B2113" s="8">
        <v>1171.8578875412063</v>
      </c>
      <c r="F2113" s="7"/>
      <c r="G2113" s="7"/>
      <c r="M2113" s="10"/>
      <c r="P2113" s="11"/>
      <c r="Q2113" s="12"/>
    </row>
    <row r="2114" spans="1:17">
      <c r="A2114" s="14">
        <v>41786</v>
      </c>
      <c r="B2114" s="8">
        <v>1182.3072143918737</v>
      </c>
      <c r="F2114" s="7"/>
      <c r="G2114" s="7"/>
      <c r="M2114" s="10"/>
      <c r="P2114" s="11"/>
      <c r="Q2114" s="12"/>
    </row>
    <row r="2115" spans="1:17">
      <c r="A2115" s="14">
        <v>41787</v>
      </c>
      <c r="B2115" s="8">
        <v>1183.6826504693461</v>
      </c>
      <c r="F2115" s="7"/>
      <c r="G2115" s="7"/>
      <c r="M2115" s="10"/>
      <c r="P2115" s="11"/>
      <c r="Q2115" s="12"/>
    </row>
    <row r="2116" spans="1:17">
      <c r="A2116" s="14">
        <v>41788</v>
      </c>
      <c r="B2116" s="8">
        <v>1186.0629471905663</v>
      </c>
      <c r="F2116" s="7"/>
      <c r="G2116" s="7"/>
      <c r="M2116" s="10"/>
      <c r="P2116" s="11"/>
      <c r="Q2116" s="12"/>
    </row>
    <row r="2117" spans="1:17">
      <c r="A2117" s="14">
        <v>41789</v>
      </c>
      <c r="B2117" s="8">
        <v>1185.4775891932168</v>
      </c>
      <c r="F2117" s="7"/>
      <c r="G2117" s="7"/>
      <c r="M2117" s="10"/>
      <c r="P2117" s="11"/>
      <c r="Q2117" s="12"/>
    </row>
    <row r="2118" spans="1:17">
      <c r="A2118" s="14">
        <v>41792</v>
      </c>
      <c r="B2118" s="8">
        <v>1184.1271123956974</v>
      </c>
      <c r="F2118" s="7"/>
      <c r="G2118" s="7"/>
      <c r="M2118" s="10"/>
      <c r="P2118" s="11"/>
      <c r="Q2118" s="12"/>
    </row>
    <row r="2119" spans="1:17">
      <c r="A2119" s="14">
        <v>41793</v>
      </c>
      <c r="B2119" s="8">
        <v>1181.2806714830649</v>
      </c>
      <c r="F2119" s="7"/>
      <c r="G2119" s="7"/>
      <c r="M2119" s="10"/>
      <c r="P2119" s="11"/>
      <c r="Q2119" s="12"/>
    </row>
    <row r="2120" spans="1:17">
      <c r="A2120" s="14">
        <v>41794</v>
      </c>
      <c r="B2120" s="8">
        <v>1181.5487522338804</v>
      </c>
      <c r="F2120" s="7"/>
      <c r="G2120" s="7"/>
      <c r="M2120" s="10"/>
      <c r="P2120" s="11"/>
      <c r="Q2120" s="12"/>
    </row>
    <row r="2121" spans="1:17">
      <c r="A2121" s="14">
        <v>41795</v>
      </c>
      <c r="B2121" s="8">
        <v>1194.7526843920764</v>
      </c>
      <c r="F2121" s="7"/>
      <c r="G2121" s="7"/>
      <c r="M2121" s="10"/>
      <c r="P2121" s="11"/>
      <c r="Q2121" s="12"/>
    </row>
    <row r="2122" spans="1:17">
      <c r="A2122" s="14">
        <v>41796</v>
      </c>
      <c r="B2122" s="8">
        <v>1208.1640717649327</v>
      </c>
      <c r="F2122" s="7"/>
      <c r="G2122" s="7"/>
      <c r="M2122" s="10"/>
      <c r="P2122" s="11"/>
      <c r="Q2122" s="12"/>
    </row>
    <row r="2123" spans="1:17">
      <c r="A2123" s="14">
        <v>41799</v>
      </c>
      <c r="B2123" s="8">
        <v>1208.4175794527368</v>
      </c>
      <c r="F2123" s="7"/>
      <c r="G2123" s="7"/>
      <c r="M2123" s="10"/>
      <c r="P2123" s="11"/>
      <c r="Q2123" s="12"/>
    </row>
    <row r="2124" spans="1:17">
      <c r="A2124" s="14">
        <v>41800</v>
      </c>
      <c r="B2124" s="8">
        <v>1206.6748021577134</v>
      </c>
      <c r="F2124" s="7"/>
      <c r="G2124" s="7"/>
      <c r="M2124" s="10"/>
      <c r="P2124" s="11"/>
      <c r="Q2124" s="12"/>
    </row>
    <row r="2125" spans="1:17">
      <c r="A2125" s="14">
        <v>41801</v>
      </c>
      <c r="B2125" s="8">
        <v>1202.7123994615306</v>
      </c>
      <c r="F2125" s="7"/>
      <c r="G2125" s="7"/>
      <c r="M2125" s="10"/>
      <c r="P2125" s="11"/>
      <c r="Q2125" s="12"/>
    </row>
    <row r="2126" spans="1:17">
      <c r="A2126" s="14">
        <v>41802</v>
      </c>
      <c r="B2126" s="8">
        <v>1195.3471869795806</v>
      </c>
      <c r="F2126" s="7"/>
      <c r="G2126" s="7"/>
      <c r="M2126" s="10"/>
      <c r="P2126" s="11"/>
      <c r="Q2126" s="12"/>
    </row>
    <row r="2127" spans="1:17">
      <c r="A2127" s="14">
        <v>41803</v>
      </c>
      <c r="B2127" s="8">
        <v>1193.4203971230368</v>
      </c>
      <c r="F2127" s="7"/>
      <c r="G2127" s="7"/>
      <c r="M2127" s="10"/>
      <c r="P2127" s="11"/>
      <c r="Q2127" s="12"/>
    </row>
    <row r="2128" spans="1:17">
      <c r="A2128" s="14">
        <v>41806</v>
      </c>
      <c r="B2128" s="8">
        <v>1192.1680939162334</v>
      </c>
      <c r="F2128" s="7"/>
      <c r="G2128" s="7"/>
      <c r="M2128" s="10"/>
      <c r="P2128" s="11"/>
      <c r="Q2128" s="12"/>
    </row>
    <row r="2129" spans="1:17">
      <c r="A2129" s="14">
        <v>41807</v>
      </c>
      <c r="B2129" s="8">
        <v>1199.041077017702</v>
      </c>
      <c r="F2129" s="7"/>
      <c r="G2129" s="7"/>
      <c r="M2129" s="10"/>
      <c r="P2129" s="11"/>
      <c r="Q2129" s="12"/>
    </row>
    <row r="2130" spans="1:17">
      <c r="A2130" s="14">
        <v>41808</v>
      </c>
      <c r="B2130" s="8">
        <v>1204.993452700357</v>
      </c>
      <c r="F2130" s="7"/>
      <c r="G2130" s="7"/>
      <c r="M2130" s="10"/>
      <c r="P2130" s="11"/>
      <c r="Q2130" s="12"/>
    </row>
    <row r="2131" spans="1:17">
      <c r="A2131" s="14">
        <v>41809</v>
      </c>
      <c r="B2131" s="8">
        <v>1208.7434956057737</v>
      </c>
      <c r="F2131" s="7"/>
      <c r="G2131" s="7"/>
      <c r="M2131" s="10"/>
      <c r="P2131" s="11"/>
      <c r="Q2131" s="12"/>
    </row>
    <row r="2132" spans="1:17">
      <c r="A2132" s="14">
        <v>41810</v>
      </c>
      <c r="B2132" s="8">
        <v>1205.2514471050301</v>
      </c>
      <c r="F2132" s="7"/>
      <c r="G2132" s="7"/>
      <c r="M2132" s="10"/>
      <c r="P2132" s="11"/>
      <c r="Q2132" s="12"/>
    </row>
    <row r="2133" spans="1:17">
      <c r="A2133" s="14">
        <v>41813</v>
      </c>
      <c r="B2133" s="8">
        <v>1200.8021378215942</v>
      </c>
      <c r="F2133" s="7"/>
      <c r="G2133" s="7"/>
      <c r="M2133" s="10"/>
      <c r="P2133" s="11"/>
      <c r="Q2133" s="12"/>
    </row>
    <row r="2134" spans="1:17">
      <c r="A2134" s="14">
        <v>41814</v>
      </c>
      <c r="B2134" s="8">
        <v>1195.6977256490363</v>
      </c>
      <c r="F2134" s="7"/>
      <c r="G2134" s="7"/>
      <c r="M2134" s="10"/>
      <c r="P2134" s="11"/>
      <c r="Q2134" s="12"/>
    </row>
    <row r="2135" spans="1:17">
      <c r="A2135" s="14">
        <v>41815</v>
      </c>
      <c r="B2135" s="8">
        <v>1191.5751765426742</v>
      </c>
      <c r="F2135" s="7"/>
      <c r="G2135" s="7"/>
      <c r="M2135" s="10"/>
      <c r="P2135" s="11"/>
      <c r="Q2135" s="12"/>
    </row>
    <row r="2136" spans="1:17">
      <c r="A2136" s="14">
        <v>41816</v>
      </c>
      <c r="B2136" s="8">
        <v>1186.3637865260885</v>
      </c>
      <c r="F2136" s="7"/>
      <c r="G2136" s="7"/>
      <c r="M2136" s="10"/>
      <c r="P2136" s="11"/>
      <c r="Q2136" s="12"/>
    </row>
    <row r="2137" spans="1:17">
      <c r="A2137" s="14">
        <v>41817</v>
      </c>
      <c r="B2137" s="8">
        <v>1186.8416230516032</v>
      </c>
      <c r="F2137" s="7"/>
      <c r="G2137" s="7"/>
      <c r="M2137" s="10"/>
      <c r="P2137" s="11"/>
      <c r="Q2137" s="12"/>
    </row>
    <row r="2138" spans="1:17">
      <c r="A2138" s="14">
        <v>41820</v>
      </c>
      <c r="B2138" s="8">
        <v>1185.0760596418468</v>
      </c>
      <c r="F2138" s="7"/>
      <c r="G2138" s="7"/>
      <c r="M2138" s="10"/>
      <c r="P2138" s="11"/>
      <c r="Q2138" s="12"/>
    </row>
    <row r="2139" spans="1:17">
      <c r="A2139" s="14">
        <v>41821</v>
      </c>
      <c r="B2139" s="8">
        <v>1201.2597548402327</v>
      </c>
      <c r="F2139" s="7"/>
      <c r="G2139" s="7"/>
      <c r="M2139" s="10"/>
      <c r="P2139" s="11"/>
      <c r="Q2139" s="12"/>
    </row>
    <row r="2140" spans="1:17">
      <c r="A2140" s="14">
        <v>41822</v>
      </c>
      <c r="B2140" s="8">
        <v>1197.381353384601</v>
      </c>
      <c r="F2140" s="7"/>
      <c r="G2140" s="7"/>
      <c r="M2140" s="10"/>
      <c r="P2140" s="11"/>
      <c r="Q2140" s="12"/>
    </row>
    <row r="2141" spans="1:17">
      <c r="A2141" s="14">
        <v>41823</v>
      </c>
      <c r="B2141" s="8">
        <v>1209.7661190964657</v>
      </c>
      <c r="F2141" s="7"/>
      <c r="G2141" s="7"/>
      <c r="M2141" s="10"/>
      <c r="P2141" s="11"/>
      <c r="Q2141" s="12"/>
    </row>
    <row r="2142" spans="1:17">
      <c r="A2142" s="14">
        <v>41824</v>
      </c>
      <c r="B2142" s="8">
        <v>1203.7922644227174</v>
      </c>
      <c r="F2142" s="7"/>
      <c r="G2142" s="7"/>
      <c r="M2142" s="10"/>
      <c r="P2142" s="11"/>
      <c r="Q2142" s="12"/>
    </row>
    <row r="2143" spans="1:17">
      <c r="A2143" s="14">
        <v>41827</v>
      </c>
      <c r="B2143" s="8">
        <v>1189.1061841925421</v>
      </c>
      <c r="F2143" s="7"/>
      <c r="G2143" s="7"/>
      <c r="M2143" s="10"/>
      <c r="P2143" s="11"/>
      <c r="Q2143" s="12"/>
    </row>
    <row r="2144" spans="1:17">
      <c r="A2144" s="14">
        <v>41828</v>
      </c>
      <c r="B2144" s="8">
        <v>1167.0835486922731</v>
      </c>
      <c r="F2144" s="7"/>
      <c r="G2144" s="7"/>
      <c r="M2144" s="10"/>
      <c r="P2144" s="11"/>
      <c r="Q2144" s="12"/>
    </row>
    <row r="2145" spans="1:17">
      <c r="A2145" s="14">
        <v>41829</v>
      </c>
      <c r="B2145" s="8">
        <v>1172.7917186864404</v>
      </c>
      <c r="F2145" s="7"/>
      <c r="G2145" s="7"/>
      <c r="M2145" s="10"/>
      <c r="P2145" s="11"/>
      <c r="Q2145" s="12"/>
    </row>
    <row r="2146" spans="1:17">
      <c r="A2146" s="14">
        <v>41830</v>
      </c>
      <c r="B2146" s="8">
        <v>1158.5867653089215</v>
      </c>
      <c r="F2146" s="7"/>
      <c r="G2146" s="7"/>
      <c r="M2146" s="10"/>
      <c r="P2146" s="11"/>
      <c r="Q2146" s="12"/>
    </row>
    <row r="2147" spans="1:17">
      <c r="A2147" s="14">
        <v>41831</v>
      </c>
      <c r="B2147" s="8">
        <v>1159.0813542174558</v>
      </c>
      <c r="F2147" s="7"/>
      <c r="G2147" s="7"/>
      <c r="M2147" s="10"/>
      <c r="P2147" s="11"/>
      <c r="Q2147" s="12"/>
    </row>
    <row r="2148" spans="1:17">
      <c r="A2148" s="14">
        <v>41834</v>
      </c>
      <c r="B2148" s="8">
        <v>1167.4768143726037</v>
      </c>
      <c r="F2148" s="7"/>
      <c r="G2148" s="7"/>
      <c r="M2148" s="10"/>
      <c r="P2148" s="11"/>
      <c r="Q2148" s="12"/>
    </row>
    <row r="2149" spans="1:17">
      <c r="A2149" s="14">
        <v>41835</v>
      </c>
      <c r="B2149" s="8">
        <v>1160.8861441894467</v>
      </c>
      <c r="F2149" s="7"/>
      <c r="G2149" s="7"/>
      <c r="M2149" s="10"/>
      <c r="P2149" s="11"/>
      <c r="Q2149" s="12"/>
    </row>
    <row r="2150" spans="1:17">
      <c r="A2150" s="14">
        <v>41836</v>
      </c>
      <c r="B2150" s="8">
        <v>1171.5643195993889</v>
      </c>
      <c r="F2150" s="7"/>
      <c r="G2150" s="7"/>
      <c r="M2150" s="10"/>
      <c r="P2150" s="11"/>
      <c r="Q2150" s="12"/>
    </row>
    <row r="2151" spans="1:17">
      <c r="A2151" s="14">
        <v>41837</v>
      </c>
      <c r="B2151" s="8">
        <v>1157.3772415889737</v>
      </c>
      <c r="F2151" s="7"/>
      <c r="G2151" s="7"/>
      <c r="M2151" s="10"/>
      <c r="P2151" s="11"/>
      <c r="Q2151" s="12"/>
    </row>
    <row r="2152" spans="1:17">
      <c r="A2152" s="14">
        <v>41838</v>
      </c>
      <c r="B2152" s="8">
        <v>1163.3754914157794</v>
      </c>
      <c r="F2152" s="7"/>
      <c r="G2152" s="7"/>
      <c r="M2152" s="10"/>
      <c r="P2152" s="11"/>
      <c r="Q2152" s="12"/>
    </row>
    <row r="2153" spans="1:17">
      <c r="A2153" s="14">
        <v>41841</v>
      </c>
      <c r="B2153" s="8">
        <v>1157.1714362148689</v>
      </c>
      <c r="F2153" s="7"/>
      <c r="G2153" s="7"/>
      <c r="M2153" s="10"/>
      <c r="P2153" s="11"/>
      <c r="Q2153" s="12"/>
    </row>
    <row r="2154" spans="1:17">
      <c r="A2154" s="14">
        <v>41842</v>
      </c>
      <c r="B2154" s="8">
        <v>1166.1785670171089</v>
      </c>
      <c r="F2154" s="7"/>
      <c r="G2154" s="7"/>
      <c r="M2154" s="10"/>
      <c r="P2154" s="11"/>
      <c r="Q2154" s="12"/>
    </row>
    <row r="2155" spans="1:17">
      <c r="A2155" s="14">
        <v>41843</v>
      </c>
      <c r="B2155" s="8">
        <v>1167.7181778655909</v>
      </c>
      <c r="F2155" s="7"/>
      <c r="G2155" s="7"/>
      <c r="M2155" s="10"/>
      <c r="P2155" s="11"/>
      <c r="Q2155" s="12"/>
    </row>
    <row r="2156" spans="1:17">
      <c r="A2156" s="14">
        <v>41844</v>
      </c>
      <c r="B2156" s="8">
        <v>1175.2815456112087</v>
      </c>
      <c r="F2156" s="7"/>
      <c r="G2156" s="7"/>
      <c r="M2156" s="10"/>
      <c r="P2156" s="11"/>
      <c r="Q2156" s="12"/>
    </row>
    <row r="2157" spans="1:17">
      <c r="A2157" s="14">
        <v>41845</v>
      </c>
      <c r="B2157" s="8">
        <v>1163.2396051080427</v>
      </c>
      <c r="F2157" s="7"/>
      <c r="G2157" s="7"/>
      <c r="M2157" s="10"/>
      <c r="P2157" s="11"/>
      <c r="Q2157" s="12"/>
    </row>
    <row r="2158" spans="1:17">
      <c r="A2158" s="14">
        <v>41848</v>
      </c>
      <c r="B2158" s="8">
        <v>1161.0798896756201</v>
      </c>
      <c r="F2158" s="7"/>
      <c r="G2158" s="7"/>
      <c r="M2158" s="10"/>
      <c r="P2158" s="11"/>
      <c r="Q2158" s="12"/>
    </row>
    <row r="2159" spans="1:17">
      <c r="A2159" s="14">
        <v>41849</v>
      </c>
      <c r="B2159" s="8">
        <v>1163.509491471734</v>
      </c>
      <c r="F2159" s="7"/>
      <c r="G2159" s="7"/>
      <c r="M2159" s="10"/>
      <c r="P2159" s="11"/>
      <c r="Q2159" s="12"/>
    </row>
    <row r="2160" spans="1:17">
      <c r="A2160" s="14">
        <v>41850</v>
      </c>
      <c r="B2160" s="8">
        <v>1168.9316722304047</v>
      </c>
      <c r="F2160" s="7"/>
      <c r="G2160" s="7"/>
      <c r="M2160" s="10"/>
      <c r="P2160" s="11"/>
      <c r="Q2160" s="12"/>
    </row>
    <row r="2161" spans="1:17">
      <c r="A2161" s="14">
        <v>41851</v>
      </c>
      <c r="B2161" s="8">
        <v>1143.3004692451018</v>
      </c>
      <c r="F2161" s="7"/>
      <c r="G2161" s="7"/>
      <c r="M2161" s="10"/>
      <c r="P2161" s="11"/>
      <c r="Q2161" s="12"/>
    </row>
    <row r="2162" spans="1:17">
      <c r="A2162" s="14">
        <v>41852</v>
      </c>
      <c r="B2162" s="8">
        <v>1133.1039155899691</v>
      </c>
      <c r="F2162" s="7"/>
      <c r="G2162" s="7"/>
      <c r="M2162" s="10"/>
      <c r="P2162" s="11"/>
      <c r="Q2162" s="12"/>
    </row>
    <row r="2163" spans="1:17">
      <c r="A2163" s="14">
        <v>41855</v>
      </c>
      <c r="B2163" s="8">
        <v>1135.3431449057271</v>
      </c>
      <c r="F2163" s="7"/>
      <c r="G2163" s="7"/>
      <c r="M2163" s="10"/>
      <c r="P2163" s="11"/>
      <c r="Q2163" s="12"/>
    </row>
    <row r="2164" spans="1:17">
      <c r="A2164" s="14">
        <v>41856</v>
      </c>
      <c r="B2164" s="8">
        <v>1129.7800433031589</v>
      </c>
      <c r="F2164" s="7"/>
      <c r="G2164" s="7"/>
      <c r="M2164" s="10"/>
      <c r="P2164" s="11"/>
      <c r="Q2164" s="12"/>
    </row>
    <row r="2165" spans="1:17">
      <c r="A2165" s="14">
        <v>41857</v>
      </c>
      <c r="B2165" s="8">
        <v>1126.0691876275052</v>
      </c>
      <c r="F2165" s="7"/>
      <c r="G2165" s="7"/>
      <c r="M2165" s="10"/>
      <c r="P2165" s="11"/>
      <c r="Q2165" s="12"/>
    </row>
    <row r="2166" spans="1:17">
      <c r="A2166" s="14">
        <v>41858</v>
      </c>
      <c r="B2166" s="8">
        <v>1118.679615629261</v>
      </c>
      <c r="F2166" s="7"/>
      <c r="G2166" s="7"/>
      <c r="M2166" s="10"/>
      <c r="P2166" s="11"/>
      <c r="Q2166" s="12"/>
    </row>
    <row r="2167" spans="1:17">
      <c r="A2167" s="14">
        <v>41859</v>
      </c>
      <c r="B2167" s="8">
        <v>1124.3114457691247</v>
      </c>
      <c r="F2167" s="7"/>
      <c r="G2167" s="7"/>
      <c r="M2167" s="10"/>
      <c r="P2167" s="11"/>
      <c r="Q2167" s="12"/>
    </row>
    <row r="2168" spans="1:17">
      <c r="A2168" s="14">
        <v>41862</v>
      </c>
      <c r="B2168" s="8">
        <v>1136.1979357403588</v>
      </c>
      <c r="F2168" s="7"/>
      <c r="G2168" s="7"/>
      <c r="M2168" s="10"/>
      <c r="P2168" s="11"/>
      <c r="Q2168" s="12"/>
    </row>
    <row r="2169" spans="1:17">
      <c r="A2169" s="14">
        <v>41863</v>
      </c>
      <c r="B2169" s="8">
        <v>1131.6985811898785</v>
      </c>
      <c r="F2169" s="7"/>
      <c r="G2169" s="7"/>
      <c r="M2169" s="10"/>
      <c r="P2169" s="11"/>
      <c r="Q2169" s="12"/>
    </row>
    <row r="2170" spans="1:17">
      <c r="A2170" s="14">
        <v>41864</v>
      </c>
      <c r="B2170" s="8">
        <v>1140.0961646051808</v>
      </c>
      <c r="F2170" s="7"/>
      <c r="G2170" s="7"/>
      <c r="M2170" s="10"/>
      <c r="P2170" s="11"/>
      <c r="Q2170" s="12"/>
    </row>
    <row r="2171" spans="1:17">
      <c r="A2171" s="14">
        <v>41865</v>
      </c>
      <c r="B2171" s="8">
        <v>1140.6710037503087</v>
      </c>
      <c r="F2171" s="7"/>
      <c r="G2171" s="7"/>
      <c r="M2171" s="10"/>
      <c r="P2171" s="11"/>
      <c r="Q2171" s="12"/>
    </row>
    <row r="2172" spans="1:17">
      <c r="A2172" s="14">
        <v>41866</v>
      </c>
      <c r="B2172" s="8">
        <v>1136.5709129063309</v>
      </c>
      <c r="F2172" s="7"/>
      <c r="G2172" s="7"/>
      <c r="M2172" s="10"/>
      <c r="P2172" s="11"/>
      <c r="Q2172" s="12"/>
    </row>
    <row r="2173" spans="1:17">
      <c r="A2173" s="14">
        <v>41869</v>
      </c>
      <c r="B2173" s="8">
        <v>1148.0669972883727</v>
      </c>
      <c r="F2173" s="7"/>
      <c r="G2173" s="7"/>
      <c r="M2173" s="10"/>
      <c r="P2173" s="11"/>
      <c r="Q2173" s="12"/>
    </row>
    <row r="2174" spans="1:17">
      <c r="A2174" s="14">
        <v>41870</v>
      </c>
      <c r="B2174" s="8">
        <v>1156.367082256043</v>
      </c>
      <c r="F2174" s="7"/>
      <c r="G2174" s="7"/>
      <c r="M2174" s="10"/>
      <c r="P2174" s="11"/>
      <c r="Q2174" s="12"/>
    </row>
    <row r="2175" spans="1:17">
      <c r="A2175" s="14">
        <v>41871</v>
      </c>
      <c r="B2175" s="8">
        <v>1156.1116975673372</v>
      </c>
      <c r="F2175" s="7"/>
      <c r="G2175" s="7"/>
      <c r="M2175" s="10"/>
      <c r="P2175" s="11"/>
      <c r="Q2175" s="12"/>
    </row>
    <row r="2176" spans="1:17">
      <c r="A2176" s="14">
        <v>41872</v>
      </c>
      <c r="B2176" s="8">
        <v>1167.3462761741673</v>
      </c>
      <c r="F2176" s="7"/>
      <c r="G2176" s="7"/>
      <c r="M2176" s="10"/>
      <c r="P2176" s="11"/>
      <c r="Q2176" s="12"/>
    </row>
    <row r="2177" spans="1:17">
      <c r="A2177" s="14">
        <v>41873</v>
      </c>
      <c r="B2177" s="8">
        <v>1164.568820260447</v>
      </c>
      <c r="F2177" s="7"/>
      <c r="G2177" s="7"/>
      <c r="M2177" s="10"/>
      <c r="P2177" s="11"/>
      <c r="Q2177" s="12"/>
    </row>
    <row r="2178" spans="1:17">
      <c r="A2178" s="14">
        <v>41876</v>
      </c>
      <c r="B2178" s="8">
        <v>1177.0951875150618</v>
      </c>
      <c r="F2178" s="7"/>
      <c r="G2178" s="7"/>
      <c r="M2178" s="10"/>
      <c r="P2178" s="11"/>
      <c r="Q2178" s="12"/>
    </row>
    <row r="2179" spans="1:17">
      <c r="A2179" s="14">
        <v>41877</v>
      </c>
      <c r="B2179" s="8">
        <v>1184.5603003591543</v>
      </c>
      <c r="F2179" s="7"/>
      <c r="G2179" s="7"/>
      <c r="M2179" s="10"/>
      <c r="P2179" s="11"/>
      <c r="Q2179" s="12"/>
    </row>
    <row r="2180" spans="1:17">
      <c r="A2180" s="14">
        <v>41878</v>
      </c>
      <c r="B2180" s="8">
        <v>1183.811871499639</v>
      </c>
      <c r="F2180" s="7"/>
      <c r="G2180" s="7"/>
      <c r="M2180" s="10"/>
      <c r="P2180" s="11"/>
      <c r="Q2180" s="12"/>
    </row>
    <row r="2181" spans="1:17">
      <c r="A2181" s="14">
        <v>41879</v>
      </c>
      <c r="B2181" s="8">
        <v>1175.6155552293346</v>
      </c>
      <c r="F2181" s="7"/>
      <c r="G2181" s="7"/>
      <c r="M2181" s="10"/>
      <c r="P2181" s="11"/>
      <c r="Q2181" s="12"/>
    </row>
    <row r="2182" spans="1:17">
      <c r="A2182" s="14">
        <v>41880</v>
      </c>
      <c r="B2182" s="8">
        <v>1178.7690395685361</v>
      </c>
      <c r="F2182" s="7"/>
      <c r="G2182" s="7"/>
      <c r="M2182" s="10"/>
      <c r="P2182" s="11"/>
      <c r="Q2182" s="12"/>
    </row>
    <row r="2183" spans="1:17">
      <c r="A2183" s="14">
        <v>41883</v>
      </c>
      <c r="B2183" s="8">
        <v>1177.5200841657561</v>
      </c>
      <c r="F2183" s="7"/>
      <c r="G2183" s="7"/>
      <c r="M2183" s="10"/>
      <c r="P2183" s="11"/>
      <c r="Q2183" s="12"/>
    </row>
    <row r="2184" spans="1:17">
      <c r="A2184" s="14">
        <v>41884</v>
      </c>
      <c r="B2184" s="8">
        <v>1184.3320417098323</v>
      </c>
      <c r="F2184" s="7"/>
      <c r="G2184" s="7"/>
      <c r="M2184" s="10"/>
      <c r="P2184" s="11"/>
      <c r="Q2184" s="12"/>
    </row>
    <row r="2185" spans="1:17">
      <c r="A2185" s="14">
        <v>41885</v>
      </c>
      <c r="B2185" s="8">
        <v>1190.7066131024917</v>
      </c>
      <c r="F2185" s="7"/>
      <c r="G2185" s="7"/>
      <c r="M2185" s="10"/>
      <c r="P2185" s="11"/>
      <c r="Q2185" s="12"/>
    </row>
    <row r="2186" spans="1:17">
      <c r="A2186" s="14">
        <v>41886</v>
      </c>
      <c r="B2186" s="8">
        <v>1205.5932278855269</v>
      </c>
      <c r="F2186" s="7"/>
      <c r="G2186" s="7"/>
      <c r="M2186" s="10"/>
      <c r="P2186" s="11"/>
      <c r="Q2186" s="12"/>
    </row>
    <row r="2187" spans="1:17">
      <c r="A2187" s="14">
        <v>41887</v>
      </c>
      <c r="B2187" s="8">
        <v>1208.4258995597211</v>
      </c>
      <c r="F2187" s="7"/>
      <c r="G2187" s="7"/>
      <c r="M2187" s="10"/>
      <c r="P2187" s="11"/>
      <c r="Q2187" s="12"/>
    </row>
    <row r="2188" spans="1:17">
      <c r="A2188" s="14">
        <v>41890</v>
      </c>
      <c r="B2188" s="8">
        <v>1207.1334618840583</v>
      </c>
      <c r="F2188" s="7"/>
      <c r="G2188" s="7"/>
      <c r="M2188" s="10"/>
      <c r="P2188" s="11"/>
      <c r="Q2188" s="12"/>
    </row>
    <row r="2189" spans="1:17">
      <c r="A2189" s="14">
        <v>41891</v>
      </c>
      <c r="B2189" s="8">
        <v>1194.7436135362389</v>
      </c>
      <c r="F2189" s="7"/>
      <c r="G2189" s="7"/>
      <c r="M2189" s="10"/>
      <c r="P2189" s="11"/>
      <c r="Q2189" s="12"/>
    </row>
    <row r="2190" spans="1:17">
      <c r="A2190" s="14">
        <v>41892</v>
      </c>
      <c r="B2190" s="8">
        <v>1197.8995959317751</v>
      </c>
      <c r="F2190" s="7"/>
      <c r="G2190" s="7"/>
      <c r="M2190" s="10"/>
      <c r="P2190" s="11"/>
      <c r="Q2190" s="12"/>
    </row>
    <row r="2191" spans="1:17">
      <c r="A2191" s="14">
        <v>41893</v>
      </c>
      <c r="B2191" s="8">
        <v>1197.5887053230852</v>
      </c>
      <c r="F2191" s="7"/>
      <c r="G2191" s="7"/>
      <c r="M2191" s="10"/>
      <c r="P2191" s="11"/>
      <c r="Q2191" s="12"/>
    </row>
    <row r="2192" spans="1:17">
      <c r="A2192" s="14">
        <v>41894</v>
      </c>
      <c r="B2192" s="8">
        <v>1193.2570471454683</v>
      </c>
      <c r="F2192" s="7"/>
      <c r="G2192" s="7"/>
      <c r="M2192" s="10"/>
      <c r="P2192" s="11"/>
      <c r="Q2192" s="12"/>
    </row>
    <row r="2193" spans="1:17">
      <c r="A2193" s="14">
        <v>41897</v>
      </c>
      <c r="B2193" s="8">
        <v>1183.4869628623087</v>
      </c>
      <c r="F2193" s="7"/>
      <c r="G2193" s="7"/>
      <c r="M2193" s="10"/>
      <c r="P2193" s="11"/>
      <c r="Q2193" s="12"/>
    </row>
    <row r="2194" spans="1:17">
      <c r="A2194" s="14">
        <v>41898</v>
      </c>
      <c r="B2194" s="8">
        <v>1184.5059745466731</v>
      </c>
      <c r="F2194" s="7"/>
      <c r="G2194" s="7"/>
      <c r="M2194" s="10"/>
      <c r="P2194" s="11"/>
      <c r="Q2194" s="12"/>
    </row>
    <row r="2195" spans="1:17">
      <c r="A2195" s="14">
        <v>41899</v>
      </c>
      <c r="B2195" s="8">
        <v>1187.8093175146528</v>
      </c>
      <c r="F2195" s="7"/>
      <c r="G2195" s="7"/>
      <c r="M2195" s="10"/>
      <c r="P2195" s="11"/>
      <c r="Q2195" s="12"/>
    </row>
    <row r="2196" spans="1:17">
      <c r="A2196" s="14">
        <v>41900</v>
      </c>
      <c r="B2196" s="8">
        <v>1199.5661469429469</v>
      </c>
      <c r="F2196" s="7"/>
      <c r="G2196" s="7"/>
      <c r="M2196" s="10"/>
      <c r="P2196" s="11"/>
      <c r="Q2196" s="12"/>
    </row>
    <row r="2197" spans="1:17">
      <c r="A2197" s="14">
        <v>41901</v>
      </c>
      <c r="B2197" s="8">
        <v>1195.5846175211768</v>
      </c>
      <c r="F2197" s="7"/>
      <c r="G2197" s="7"/>
      <c r="M2197" s="10"/>
      <c r="P2197" s="11"/>
      <c r="Q2197" s="12"/>
    </row>
    <row r="2198" spans="1:17">
      <c r="A2198" s="14">
        <v>41904</v>
      </c>
      <c r="B2198" s="8">
        <v>1181.1637965526756</v>
      </c>
      <c r="F2198" s="7"/>
      <c r="G2198" s="7"/>
      <c r="M2198" s="10"/>
      <c r="P2198" s="11"/>
      <c r="Q2198" s="12"/>
    </row>
    <row r="2199" spans="1:17">
      <c r="A2199" s="14">
        <v>41905</v>
      </c>
      <c r="B2199" s="8">
        <v>1168.2049986821701</v>
      </c>
      <c r="F2199" s="7"/>
      <c r="G2199" s="7"/>
      <c r="M2199" s="10"/>
      <c r="P2199" s="11"/>
      <c r="Q2199" s="12"/>
    </row>
    <row r="2200" spans="1:17">
      <c r="A2200" s="14">
        <v>41906</v>
      </c>
      <c r="B2200" s="8">
        <v>1180.9956091779804</v>
      </c>
      <c r="F2200" s="7"/>
      <c r="G2200" s="7"/>
      <c r="M2200" s="10"/>
      <c r="P2200" s="11"/>
      <c r="Q2200" s="12"/>
    </row>
    <row r="2201" spans="1:17">
      <c r="A2201" s="14">
        <v>41907</v>
      </c>
      <c r="B2201" s="8">
        <v>1160.065099857155</v>
      </c>
      <c r="F2201" s="7"/>
      <c r="G2201" s="7"/>
      <c r="M2201" s="10"/>
      <c r="P2201" s="11"/>
      <c r="Q2201" s="12"/>
    </row>
    <row r="2202" spans="1:17">
      <c r="A2202" s="14">
        <v>41908</v>
      </c>
      <c r="B2202" s="8">
        <v>1169.0614454848276</v>
      </c>
      <c r="F2202" s="7"/>
      <c r="G2202" s="7"/>
      <c r="M2202" s="10"/>
      <c r="P2202" s="11"/>
      <c r="Q2202" s="12"/>
    </row>
    <row r="2203" spans="1:17">
      <c r="A2203" s="14">
        <v>41911</v>
      </c>
      <c r="B2203" s="8">
        <v>1164.6006064016367</v>
      </c>
      <c r="F2203" s="7"/>
      <c r="G2203" s="7"/>
      <c r="M2203" s="10"/>
      <c r="P2203" s="11"/>
      <c r="Q2203" s="12"/>
    </row>
    <row r="2204" spans="1:17">
      <c r="A2204" s="14">
        <v>41912</v>
      </c>
      <c r="B2204" s="8">
        <v>1163.8617337495712</v>
      </c>
      <c r="F2204" s="7"/>
      <c r="G2204" s="7"/>
      <c r="M2204" s="10"/>
      <c r="P2204" s="11"/>
      <c r="Q2204" s="12"/>
    </row>
    <row r="2205" spans="1:17">
      <c r="A2205" s="14">
        <v>41913</v>
      </c>
      <c r="B2205" s="8">
        <v>1151.1540442569919</v>
      </c>
      <c r="F2205" s="7"/>
      <c r="G2205" s="7"/>
      <c r="M2205" s="10"/>
      <c r="P2205" s="11"/>
      <c r="Q2205" s="12"/>
    </row>
    <row r="2206" spans="1:17">
      <c r="A2206" s="14">
        <v>41914</v>
      </c>
      <c r="B2206" s="8">
        <v>1135.7289919809775</v>
      </c>
      <c r="F2206" s="7"/>
      <c r="G2206" s="7"/>
      <c r="M2206" s="10"/>
      <c r="P2206" s="11"/>
      <c r="Q2206" s="12"/>
    </row>
    <row r="2207" spans="1:17">
      <c r="A2207" s="14">
        <v>41915</v>
      </c>
      <c r="B2207" s="8">
        <v>1150.9353746182449</v>
      </c>
      <c r="F2207" s="7"/>
      <c r="G2207" s="7"/>
      <c r="M2207" s="10"/>
      <c r="P2207" s="11"/>
      <c r="Q2207" s="12"/>
    </row>
    <row r="2208" spans="1:17">
      <c r="A2208" s="14">
        <v>41918</v>
      </c>
      <c r="B2208" s="8">
        <v>1148.5757983403932</v>
      </c>
      <c r="F2208" s="7"/>
      <c r="G2208" s="7"/>
      <c r="M2208" s="10"/>
      <c r="P2208" s="11"/>
      <c r="Q2208" s="12"/>
    </row>
    <row r="2209" spans="1:17">
      <c r="A2209" s="14">
        <v>41919</v>
      </c>
      <c r="B2209" s="8">
        <v>1128.9040461902655</v>
      </c>
      <c r="F2209" s="7"/>
      <c r="G2209" s="7"/>
      <c r="M2209" s="10"/>
      <c r="P2209" s="11"/>
      <c r="Q2209" s="12"/>
    </row>
    <row r="2210" spans="1:17">
      <c r="A2210" s="14">
        <v>41920</v>
      </c>
      <c r="B2210" s="8">
        <v>1133.9999518559264</v>
      </c>
      <c r="F2210" s="7"/>
      <c r="G2210" s="7"/>
      <c r="M2210" s="10"/>
      <c r="P2210" s="11"/>
      <c r="Q2210" s="12"/>
    </row>
    <row r="2211" spans="1:17">
      <c r="A2211" s="14">
        <v>41921</v>
      </c>
      <c r="B2211" s="8">
        <v>1120.2487785404437</v>
      </c>
      <c r="F2211" s="7"/>
      <c r="G2211" s="7"/>
      <c r="M2211" s="10"/>
      <c r="P2211" s="11"/>
      <c r="Q2211" s="12"/>
    </row>
    <row r="2212" spans="1:17">
      <c r="A2212" s="14">
        <v>41922</v>
      </c>
      <c r="B2212" s="8">
        <v>1090.8140469048778</v>
      </c>
      <c r="F2212" s="7"/>
      <c r="G2212" s="7"/>
      <c r="M2212" s="10"/>
      <c r="P2212" s="11"/>
      <c r="Q2212" s="12"/>
    </row>
    <row r="2213" spans="1:17">
      <c r="A2213" s="14">
        <v>41925</v>
      </c>
      <c r="B2213" s="8">
        <v>1079.4294821727619</v>
      </c>
      <c r="F2213" s="7"/>
      <c r="G2213" s="7"/>
      <c r="M2213" s="10"/>
      <c r="P2213" s="11"/>
      <c r="Q2213" s="12"/>
    </row>
    <row r="2214" spans="1:17">
      <c r="A2214" s="14">
        <v>41926</v>
      </c>
      <c r="B2214" s="8">
        <v>1085.1590221947217</v>
      </c>
      <c r="F2214" s="7"/>
      <c r="G2214" s="7"/>
      <c r="M2214" s="10"/>
      <c r="P2214" s="11"/>
      <c r="Q2214" s="12"/>
    </row>
    <row r="2215" spans="1:17">
      <c r="A2215" s="14">
        <v>41927</v>
      </c>
      <c r="B2215" s="8">
        <v>1062.0385226605099</v>
      </c>
      <c r="F2215" s="7"/>
      <c r="G2215" s="7"/>
      <c r="M2215" s="10"/>
      <c r="P2215" s="11"/>
      <c r="Q2215" s="12"/>
    </row>
    <row r="2216" spans="1:17">
      <c r="A2216" s="14">
        <v>41928</v>
      </c>
      <c r="B2216" s="8">
        <v>1053.1604966788686</v>
      </c>
      <c r="F2216" s="7"/>
      <c r="G2216" s="7"/>
      <c r="M2216" s="10"/>
      <c r="P2216" s="11"/>
      <c r="Q2216" s="12"/>
    </row>
    <row r="2217" spans="1:17">
      <c r="A2217" s="14">
        <v>41929</v>
      </c>
      <c r="B2217" s="8">
        <v>1079.764651219157</v>
      </c>
      <c r="F2217" s="7"/>
      <c r="G2217" s="7"/>
      <c r="M2217" s="10"/>
      <c r="P2217" s="11"/>
      <c r="Q2217" s="12"/>
    </row>
    <row r="2218" spans="1:17">
      <c r="A2218" s="14">
        <v>41932</v>
      </c>
      <c r="B2218" s="8">
        <v>1079.3656981781087</v>
      </c>
      <c r="F2218" s="7"/>
      <c r="G2218" s="7"/>
      <c r="M2218" s="10"/>
      <c r="P2218" s="11"/>
      <c r="Q2218" s="12"/>
    </row>
    <row r="2219" spans="1:17">
      <c r="A2219" s="14">
        <v>41933</v>
      </c>
      <c r="B2219" s="8">
        <v>1105.7519256294449</v>
      </c>
      <c r="F2219" s="7"/>
      <c r="G2219" s="7"/>
      <c r="M2219" s="10"/>
      <c r="P2219" s="11"/>
      <c r="Q2219" s="12"/>
    </row>
    <row r="2220" spans="1:17">
      <c r="A2220" s="14">
        <v>41934</v>
      </c>
      <c r="B2220" s="8">
        <v>1102.316730062407</v>
      </c>
      <c r="F2220" s="7"/>
      <c r="G2220" s="7"/>
      <c r="M2220" s="10"/>
      <c r="P2220" s="11"/>
      <c r="Q2220" s="12"/>
    </row>
    <row r="2221" spans="1:17">
      <c r="A2221" s="14">
        <v>41935</v>
      </c>
      <c r="B2221" s="8">
        <v>1115.8947658274221</v>
      </c>
      <c r="F2221" s="7"/>
      <c r="G2221" s="7"/>
      <c r="M2221" s="10"/>
      <c r="P2221" s="11"/>
      <c r="Q2221" s="12"/>
    </row>
    <row r="2222" spans="1:17">
      <c r="A2222" s="14">
        <v>41936</v>
      </c>
      <c r="B2222" s="8">
        <v>1121.7075873834281</v>
      </c>
      <c r="F2222" s="7"/>
      <c r="G2222" s="7"/>
      <c r="M2222" s="10"/>
      <c r="P2222" s="11"/>
      <c r="Q2222" s="12"/>
    </row>
    <row r="2223" spans="1:17">
      <c r="A2223" s="14">
        <v>41939</v>
      </c>
      <c r="B2223" s="8">
        <v>1110.0501753182255</v>
      </c>
      <c r="F2223" s="7"/>
      <c r="G2223" s="7"/>
      <c r="M2223" s="10"/>
      <c r="P2223" s="11"/>
      <c r="Q2223" s="12"/>
    </row>
    <row r="2224" spans="1:17">
      <c r="A2224" s="14">
        <v>41940</v>
      </c>
      <c r="B2224" s="8">
        <v>1130.3941264242369</v>
      </c>
      <c r="F2224" s="7"/>
      <c r="G2224" s="7"/>
      <c r="M2224" s="10"/>
      <c r="P2224" s="11"/>
      <c r="Q2224" s="12"/>
    </row>
    <row r="2225" spans="1:17">
      <c r="A2225" s="14">
        <v>41941</v>
      </c>
      <c r="B2225" s="8">
        <v>1122.4247540053477</v>
      </c>
      <c r="F2225" s="7"/>
      <c r="G2225" s="7"/>
      <c r="M2225" s="10"/>
      <c r="P2225" s="11"/>
      <c r="Q2225" s="12"/>
    </row>
    <row r="2226" spans="1:17">
      <c r="A2226" s="14">
        <v>41942</v>
      </c>
      <c r="B2226" s="8">
        <v>1126.5148470095132</v>
      </c>
      <c r="F2226" s="7"/>
      <c r="G2226" s="7"/>
      <c r="M2226" s="10"/>
      <c r="P2226" s="11"/>
      <c r="Q2226" s="12"/>
    </row>
    <row r="2227" spans="1:17">
      <c r="A2227" s="14">
        <v>41943</v>
      </c>
      <c r="B2227" s="8">
        <v>1158.176468909136</v>
      </c>
      <c r="F2227" s="7"/>
      <c r="G2227" s="7"/>
      <c r="M2227" s="10"/>
      <c r="P2227" s="11"/>
      <c r="Q2227" s="12"/>
    </row>
    <row r="2228" spans="1:17">
      <c r="A2228" s="14">
        <v>41946</v>
      </c>
      <c r="B2228" s="8">
        <v>1153.9955556153011</v>
      </c>
      <c r="F2228" s="7"/>
      <c r="G2228" s="7"/>
      <c r="M2228" s="10"/>
      <c r="P2228" s="11"/>
      <c r="Q2228" s="12"/>
    </row>
    <row r="2229" spans="1:17">
      <c r="A2229" s="14">
        <v>41947</v>
      </c>
      <c r="B2229" s="8">
        <v>1139.6001081210829</v>
      </c>
      <c r="F2229" s="7"/>
      <c r="G2229" s="7"/>
      <c r="M2229" s="10"/>
      <c r="P2229" s="11"/>
      <c r="Q2229" s="12"/>
    </row>
    <row r="2230" spans="1:17">
      <c r="A2230" s="14">
        <v>41948</v>
      </c>
      <c r="B2230" s="8">
        <v>1148.8080465499802</v>
      </c>
      <c r="F2230" s="7"/>
      <c r="G2230" s="7"/>
      <c r="M2230" s="10"/>
      <c r="P2230" s="11"/>
      <c r="Q2230" s="12"/>
    </row>
    <row r="2231" spans="1:17">
      <c r="A2231" s="14">
        <v>41949</v>
      </c>
      <c r="B2231" s="8">
        <v>1150.4517890157524</v>
      </c>
      <c r="F2231" s="7"/>
      <c r="G2231" s="7"/>
      <c r="M2231" s="10"/>
      <c r="P2231" s="11"/>
      <c r="Q2231" s="12"/>
    </row>
    <row r="2232" spans="1:17">
      <c r="A2232" s="14">
        <v>41950</v>
      </c>
      <c r="B2232" s="8">
        <v>1135.3296349285565</v>
      </c>
      <c r="F2232" s="7"/>
      <c r="G2232" s="7"/>
      <c r="M2232" s="10"/>
      <c r="P2232" s="11"/>
      <c r="Q2232" s="12"/>
    </row>
    <row r="2233" spans="1:17">
      <c r="A2233" s="14">
        <v>41953</v>
      </c>
      <c r="B2233" s="8">
        <v>1143.5443452565503</v>
      </c>
      <c r="F2233" s="7"/>
      <c r="G2233" s="7"/>
      <c r="M2233" s="10"/>
      <c r="P2233" s="11"/>
      <c r="Q2233" s="12"/>
    </row>
    <row r="2234" spans="1:17">
      <c r="A2234" s="14">
        <v>41954</v>
      </c>
      <c r="B2234" s="8">
        <v>1145.8400786748714</v>
      </c>
      <c r="F2234" s="7"/>
      <c r="G2234" s="7"/>
      <c r="M2234" s="10"/>
      <c r="P2234" s="11"/>
      <c r="Q2234" s="12"/>
    </row>
    <row r="2235" spans="1:17">
      <c r="A2235" s="14">
        <v>41955</v>
      </c>
      <c r="B2235" s="8">
        <v>1132.8296209131806</v>
      </c>
      <c r="F2235" s="7"/>
      <c r="G2235" s="7"/>
      <c r="M2235" s="10"/>
      <c r="P2235" s="11"/>
      <c r="Q2235" s="12"/>
    </row>
    <row r="2236" spans="1:17">
      <c r="A2236" s="14">
        <v>41956</v>
      </c>
      <c r="B2236" s="8">
        <v>1135.5343083280814</v>
      </c>
      <c r="F2236" s="7"/>
      <c r="G2236" s="7"/>
      <c r="M2236" s="10"/>
      <c r="P2236" s="11"/>
      <c r="Q2236" s="12"/>
    </row>
    <row r="2237" spans="1:17">
      <c r="A2237" s="14">
        <v>41957</v>
      </c>
      <c r="B2237" s="8">
        <v>1139.7254355846972</v>
      </c>
      <c r="F2237" s="7"/>
      <c r="G2237" s="7"/>
      <c r="M2237" s="10"/>
      <c r="P2237" s="11"/>
      <c r="Q2237" s="12"/>
    </row>
    <row r="2238" spans="1:17">
      <c r="A2238" s="14">
        <v>41960</v>
      </c>
      <c r="B2238" s="8">
        <v>1141.0013703586442</v>
      </c>
      <c r="F2238" s="7"/>
      <c r="G2238" s="7"/>
      <c r="M2238" s="10"/>
      <c r="P2238" s="11"/>
      <c r="Q2238" s="12"/>
    </row>
    <row r="2239" spans="1:17">
      <c r="A2239" s="14">
        <v>41961</v>
      </c>
      <c r="B2239" s="8">
        <v>1149.9995989238316</v>
      </c>
      <c r="F2239" s="7"/>
      <c r="G2239" s="7"/>
      <c r="M2239" s="10"/>
      <c r="P2239" s="11"/>
      <c r="Q2239" s="12"/>
    </row>
    <row r="2240" spans="1:17">
      <c r="A2240" s="14">
        <v>41962</v>
      </c>
      <c r="B2240" s="8">
        <v>1149.0707988356942</v>
      </c>
      <c r="F2240" s="7"/>
      <c r="G2240" s="7"/>
      <c r="M2240" s="10"/>
      <c r="P2240" s="11"/>
      <c r="Q2240" s="12"/>
    </row>
    <row r="2241" spans="1:17">
      <c r="A2241" s="14">
        <v>41963</v>
      </c>
      <c r="B2241" s="8">
        <v>1142.6073097116589</v>
      </c>
      <c r="F2241" s="7"/>
      <c r="G2241" s="7"/>
      <c r="M2241" s="10"/>
      <c r="P2241" s="11"/>
      <c r="Q2241" s="12"/>
    </row>
    <row r="2242" spans="1:17">
      <c r="A2242" s="14">
        <v>41964</v>
      </c>
      <c r="B2242" s="8">
        <v>1162.2706725020366</v>
      </c>
      <c r="F2242" s="7"/>
      <c r="G2242" s="7"/>
      <c r="M2242" s="10"/>
      <c r="P2242" s="11"/>
      <c r="Q2242" s="12"/>
    </row>
    <row r="2243" spans="1:17">
      <c r="A2243" s="14">
        <v>41967</v>
      </c>
      <c r="B2243" s="8">
        <v>1166.5398378464929</v>
      </c>
      <c r="F2243" s="7"/>
      <c r="G2243" s="7"/>
      <c r="M2243" s="10"/>
      <c r="P2243" s="11"/>
      <c r="Q2243" s="12"/>
    </row>
    <row r="2244" spans="1:17">
      <c r="A2244" s="14">
        <v>41968</v>
      </c>
      <c r="B2244" s="8">
        <v>1169.3353885599811</v>
      </c>
      <c r="F2244" s="7"/>
      <c r="G2244" s="7"/>
      <c r="M2244" s="10"/>
      <c r="P2244" s="11"/>
      <c r="Q2244" s="12"/>
    </row>
    <row r="2245" spans="1:17">
      <c r="A2245" s="14">
        <v>41969</v>
      </c>
      <c r="B2245" s="8">
        <v>1170.9998569895697</v>
      </c>
      <c r="F2245" s="7"/>
      <c r="G2245" s="7"/>
      <c r="M2245" s="10"/>
      <c r="P2245" s="11"/>
      <c r="Q2245" s="12"/>
    </row>
    <row r="2246" spans="1:17">
      <c r="A2246" s="14">
        <v>41970</v>
      </c>
      <c r="B2246" s="8">
        <v>1174.6907968998389</v>
      </c>
      <c r="F2246" s="7"/>
      <c r="G2246" s="7"/>
      <c r="M2246" s="10"/>
      <c r="P2246" s="11"/>
      <c r="Q2246" s="12"/>
    </row>
    <row r="2247" spans="1:17">
      <c r="A2247" s="14">
        <v>41971</v>
      </c>
      <c r="B2247" s="8">
        <v>1178.3628743813251</v>
      </c>
      <c r="F2247" s="7"/>
      <c r="G2247" s="7"/>
      <c r="M2247" s="10"/>
      <c r="P2247" s="11"/>
      <c r="Q2247" s="12"/>
    </row>
    <row r="2248" spans="1:17">
      <c r="A2248" s="14">
        <v>41974</v>
      </c>
      <c r="B2248" s="8">
        <v>1165.3598255240379</v>
      </c>
      <c r="F2248" s="7"/>
      <c r="G2248" s="7"/>
      <c r="M2248" s="10"/>
      <c r="P2248" s="11"/>
      <c r="Q2248" s="12"/>
    </row>
    <row r="2249" spans="1:17">
      <c r="A2249" s="14">
        <v>41975</v>
      </c>
      <c r="B2249" s="8">
        <v>1165.4487270940222</v>
      </c>
      <c r="F2249" s="7"/>
      <c r="G2249" s="7"/>
      <c r="M2249" s="10"/>
      <c r="P2249" s="11"/>
      <c r="Q2249" s="12"/>
    </row>
    <row r="2250" spans="1:17">
      <c r="A2250" s="14">
        <v>41976</v>
      </c>
      <c r="B2250" s="8">
        <v>1172.0145985141262</v>
      </c>
      <c r="F2250" s="7"/>
      <c r="G2250" s="7"/>
      <c r="M2250" s="10"/>
      <c r="P2250" s="11"/>
      <c r="Q2250" s="12"/>
    </row>
    <row r="2251" spans="1:17">
      <c r="A2251" s="14">
        <v>41977</v>
      </c>
      <c r="B2251" s="8">
        <v>1162.1786216684447</v>
      </c>
      <c r="F2251" s="7"/>
      <c r="G2251" s="7"/>
      <c r="M2251" s="10"/>
      <c r="P2251" s="11"/>
      <c r="Q2251" s="12"/>
    </row>
    <row r="2252" spans="1:17">
      <c r="A2252" s="14">
        <v>41978</v>
      </c>
      <c r="B2252" s="8">
        <v>1177.1107965940228</v>
      </c>
      <c r="F2252" s="7"/>
      <c r="G2252" s="7"/>
      <c r="M2252" s="10"/>
      <c r="P2252" s="11"/>
      <c r="Q2252" s="12"/>
    </row>
    <row r="2253" spans="1:17">
      <c r="A2253" s="14">
        <v>41981</v>
      </c>
      <c r="B2253" s="8">
        <v>1166.238951021774</v>
      </c>
      <c r="F2253" s="7"/>
      <c r="G2253" s="7"/>
      <c r="M2253" s="10"/>
      <c r="P2253" s="11"/>
      <c r="Q2253" s="12"/>
    </row>
    <row r="2254" spans="1:17">
      <c r="A2254" s="14">
        <v>41982</v>
      </c>
      <c r="B2254" s="8">
        <v>1149.4162287261456</v>
      </c>
      <c r="F2254" s="7"/>
      <c r="G2254" s="7"/>
      <c r="M2254" s="10"/>
      <c r="P2254" s="11"/>
      <c r="Q2254" s="12"/>
    </row>
    <row r="2255" spans="1:17">
      <c r="A2255" s="14">
        <v>41983</v>
      </c>
      <c r="B2255" s="8">
        <v>1137.5046701414899</v>
      </c>
      <c r="F2255" s="7"/>
      <c r="G2255" s="7"/>
      <c r="M2255" s="10"/>
      <c r="P2255" s="11"/>
      <c r="Q2255" s="12"/>
    </row>
    <row r="2256" spans="1:17">
      <c r="A2256" s="14">
        <v>41984</v>
      </c>
      <c r="B2256" s="8">
        <v>1141.3164777344191</v>
      </c>
      <c r="F2256" s="7"/>
      <c r="G2256" s="7"/>
      <c r="M2256" s="10"/>
      <c r="P2256" s="11"/>
      <c r="Q2256" s="12"/>
    </row>
    <row r="2257" spans="1:17">
      <c r="A2257" s="14">
        <v>41985</v>
      </c>
      <c r="B2257" s="8">
        <v>1120.604069293395</v>
      </c>
      <c r="F2257" s="7"/>
      <c r="G2257" s="7"/>
      <c r="M2257" s="10"/>
      <c r="P2257" s="11"/>
      <c r="Q2257" s="12"/>
    </row>
    <row r="2258" spans="1:17">
      <c r="A2258" s="14">
        <v>41988</v>
      </c>
      <c r="B2258" s="8">
        <v>1101.2039870624124</v>
      </c>
      <c r="F2258" s="7"/>
      <c r="G2258" s="7"/>
      <c r="M2258" s="10"/>
      <c r="P2258" s="11"/>
      <c r="Q2258" s="12"/>
    </row>
    <row r="2259" spans="1:17">
      <c r="A2259" s="14">
        <v>41989</v>
      </c>
      <c r="B2259" s="8">
        <v>1105.7603707107919</v>
      </c>
      <c r="F2259" s="7"/>
      <c r="G2259" s="7"/>
      <c r="M2259" s="10"/>
      <c r="P2259" s="11"/>
      <c r="Q2259" s="12"/>
    </row>
    <row r="2260" spans="1:17">
      <c r="A2260" s="14">
        <v>41990</v>
      </c>
      <c r="B2260" s="8">
        <v>1117.304534187994</v>
      </c>
      <c r="F2260" s="7"/>
      <c r="G2260" s="7"/>
      <c r="M2260" s="10"/>
      <c r="P2260" s="11"/>
      <c r="Q2260" s="12"/>
    </row>
    <row r="2261" spans="1:17">
      <c r="A2261" s="14">
        <v>41991</v>
      </c>
      <c r="B2261" s="8">
        <v>1148.7761965128107</v>
      </c>
      <c r="F2261" s="7"/>
      <c r="G2261" s="7"/>
      <c r="M2261" s="10"/>
      <c r="P2261" s="11"/>
      <c r="Q2261" s="12"/>
    </row>
    <row r="2262" spans="1:17">
      <c r="A2262" s="14">
        <v>41992</v>
      </c>
      <c r="B2262" s="8">
        <v>1144.6636158742513</v>
      </c>
      <c r="F2262" s="7"/>
      <c r="G2262" s="7"/>
      <c r="M2262" s="10"/>
      <c r="P2262" s="11"/>
      <c r="Q2262" s="12"/>
    </row>
    <row r="2263" spans="1:17">
      <c r="A2263" s="14">
        <v>41995</v>
      </c>
      <c r="B2263" s="8">
        <v>1152.3174872169918</v>
      </c>
      <c r="F2263" s="7"/>
      <c r="G2263" s="7"/>
      <c r="M2263" s="10"/>
      <c r="P2263" s="11"/>
      <c r="Q2263" s="12"/>
    </row>
    <row r="2264" spans="1:17">
      <c r="A2264" s="14">
        <v>41996</v>
      </c>
      <c r="B2264" s="8">
        <v>1160.1021561388106</v>
      </c>
      <c r="F2264" s="7"/>
      <c r="G2264" s="7"/>
      <c r="M2264" s="10"/>
      <c r="P2264" s="11"/>
      <c r="Q2264" s="12"/>
    </row>
    <row r="2265" spans="1:17">
      <c r="A2265" s="14">
        <v>41997</v>
      </c>
      <c r="B2265" s="8">
        <v>1159.6353475465385</v>
      </c>
      <c r="F2265" s="7"/>
      <c r="G2265" s="7"/>
      <c r="M2265" s="10"/>
      <c r="P2265" s="11"/>
      <c r="Q2265" s="12"/>
    </row>
    <row r="2266" spans="1:17">
      <c r="A2266" s="14">
        <v>41998</v>
      </c>
      <c r="B2266" s="8">
        <v>1159.2536548691053</v>
      </c>
      <c r="F2266" s="7"/>
      <c r="G2266" s="7"/>
      <c r="M2266" s="10"/>
      <c r="P2266" s="11"/>
      <c r="Q2266" s="12"/>
    </row>
    <row r="2267" spans="1:17">
      <c r="A2267" s="14">
        <v>41999</v>
      </c>
      <c r="B2267" s="8">
        <v>1160.0916408674095</v>
      </c>
      <c r="F2267" s="7"/>
      <c r="G2267" s="7"/>
      <c r="M2267" s="10"/>
      <c r="P2267" s="11"/>
      <c r="Q2267" s="12"/>
    </row>
    <row r="2268" spans="1:17">
      <c r="A2268" s="14">
        <v>42002</v>
      </c>
      <c r="B2268" s="8">
        <v>1155.9040256908745</v>
      </c>
      <c r="F2268" s="7"/>
      <c r="G2268" s="7"/>
      <c r="M2268" s="10"/>
      <c r="P2268" s="11"/>
      <c r="Q2268" s="12"/>
    </row>
    <row r="2269" spans="1:17">
      <c r="A2269" s="14">
        <v>42003</v>
      </c>
      <c r="B2269" s="8">
        <v>1145.3910168933162</v>
      </c>
      <c r="F2269" s="7"/>
      <c r="G2269" s="7"/>
      <c r="M2269" s="10"/>
      <c r="P2269" s="11"/>
      <c r="Q2269" s="12"/>
    </row>
    <row r="2270" spans="1:17">
      <c r="A2270" s="14">
        <v>42004</v>
      </c>
      <c r="B2270" s="8">
        <v>1143.5981302171062</v>
      </c>
      <c r="F2270" s="7"/>
      <c r="G2270" s="7"/>
      <c r="M2270" s="10"/>
      <c r="P2270" s="11"/>
      <c r="Q2270" s="12"/>
    </row>
    <row r="2271" spans="1:17">
      <c r="A2271" s="14">
        <v>42005</v>
      </c>
      <c r="B2271" s="8">
        <v>1143.2164375396756</v>
      </c>
      <c r="F2271" s="7"/>
      <c r="G2271" s="7"/>
      <c r="M2271" s="10"/>
      <c r="P2271" s="11"/>
      <c r="Q2271" s="12"/>
    </row>
    <row r="2272" spans="1:17">
      <c r="A2272" s="14">
        <v>42006</v>
      </c>
      <c r="B2272" s="8">
        <v>1143.5449700647862</v>
      </c>
      <c r="F2272" s="7"/>
      <c r="G2272" s="7"/>
      <c r="M2272" s="10"/>
      <c r="P2272" s="11"/>
      <c r="Q2272" s="12"/>
    </row>
    <row r="2273" spans="1:17">
      <c r="A2273" s="14">
        <v>42009</v>
      </c>
      <c r="B2273" s="8">
        <v>1110.1327113914654</v>
      </c>
      <c r="F2273" s="7"/>
      <c r="G2273" s="7"/>
      <c r="M2273" s="10"/>
      <c r="P2273" s="11"/>
      <c r="Q2273" s="12"/>
    </row>
    <row r="2274" spans="1:17">
      <c r="A2274" s="14">
        <v>42010</v>
      </c>
      <c r="B2274" s="8">
        <v>1093.9527089754731</v>
      </c>
      <c r="F2274" s="7"/>
      <c r="G2274" s="7"/>
      <c r="M2274" s="10"/>
      <c r="P2274" s="11"/>
      <c r="Q2274" s="12"/>
    </row>
    <row r="2275" spans="1:17">
      <c r="A2275" s="14">
        <v>42011</v>
      </c>
      <c r="B2275" s="8">
        <v>1098.4829597190399</v>
      </c>
      <c r="F2275" s="7"/>
      <c r="G2275" s="7"/>
      <c r="M2275" s="10"/>
      <c r="P2275" s="11"/>
      <c r="Q2275" s="12"/>
    </row>
    <row r="2276" spans="1:17">
      <c r="A2276" s="14">
        <v>42012</v>
      </c>
      <c r="B2276" s="8">
        <v>1126.7509206624347</v>
      </c>
      <c r="F2276" s="7"/>
      <c r="G2276" s="7"/>
      <c r="M2276" s="10"/>
      <c r="P2276" s="11"/>
      <c r="Q2276" s="12"/>
    </row>
    <row r="2277" spans="1:17">
      <c r="A2277" s="14">
        <v>42013</v>
      </c>
      <c r="B2277" s="8">
        <v>1102.6161953701496</v>
      </c>
      <c r="F2277" s="7"/>
      <c r="G2277" s="7"/>
      <c r="M2277" s="10"/>
      <c r="P2277" s="11"/>
      <c r="Q2277" s="12"/>
    </row>
    <row r="2278" spans="1:17">
      <c r="A2278" s="14">
        <v>42016</v>
      </c>
      <c r="B2278" s="8">
        <v>1102.6920429463405</v>
      </c>
      <c r="F2278" s="7"/>
      <c r="G2278" s="7"/>
      <c r="M2278" s="10"/>
      <c r="P2278" s="11"/>
      <c r="Q2278" s="12"/>
    </row>
    <row r="2279" spans="1:17">
      <c r="A2279" s="14">
        <v>42017</v>
      </c>
      <c r="B2279" s="8">
        <v>1111.4198762240742</v>
      </c>
      <c r="F2279" s="7"/>
      <c r="G2279" s="7"/>
      <c r="M2279" s="10"/>
      <c r="P2279" s="11"/>
      <c r="Q2279" s="12"/>
    </row>
    <row r="2280" spans="1:17">
      <c r="A2280" s="14">
        <v>42018</v>
      </c>
      <c r="B2280" s="8">
        <v>1098.5882502923794</v>
      </c>
      <c r="F2280" s="7"/>
      <c r="G2280" s="7"/>
      <c r="M2280" s="10"/>
      <c r="P2280" s="11"/>
      <c r="Q2280" s="12"/>
    </row>
    <row r="2281" spans="1:17">
      <c r="A2281" s="14">
        <v>42019</v>
      </c>
      <c r="B2281" s="8">
        <v>1099.1388542667105</v>
      </c>
      <c r="F2281" s="7"/>
      <c r="G2281" s="7"/>
      <c r="M2281" s="10"/>
      <c r="P2281" s="11"/>
      <c r="Q2281" s="12"/>
    </row>
    <row r="2282" spans="1:17">
      <c r="A2282" s="14">
        <v>42020</v>
      </c>
      <c r="B2282" s="8">
        <v>1112.5433447917962</v>
      </c>
      <c r="F2282" s="7"/>
      <c r="G2282" s="7"/>
      <c r="M2282" s="10"/>
      <c r="P2282" s="11"/>
      <c r="Q2282" s="12"/>
    </row>
    <row r="2283" spans="1:17">
      <c r="A2283" s="14">
        <v>42023</v>
      </c>
      <c r="B2283" s="8">
        <v>1118.3871889245311</v>
      </c>
      <c r="F2283" s="7"/>
      <c r="G2283" s="7"/>
      <c r="M2283" s="10"/>
      <c r="P2283" s="11"/>
      <c r="Q2283" s="12"/>
    </row>
    <row r="2284" spans="1:17">
      <c r="A2284" s="14">
        <v>42024</v>
      </c>
      <c r="B2284" s="8">
        <v>1129.784112953816</v>
      </c>
      <c r="F2284" s="7"/>
      <c r="G2284" s="7"/>
      <c r="M2284" s="10"/>
      <c r="P2284" s="11"/>
      <c r="Q2284" s="12"/>
    </row>
    <row r="2285" spans="1:17">
      <c r="A2285" s="14">
        <v>42025</v>
      </c>
      <c r="B2285" s="8">
        <v>1143.0860295350296</v>
      </c>
      <c r="F2285" s="7"/>
      <c r="G2285" s="7"/>
      <c r="M2285" s="10"/>
      <c r="P2285" s="11"/>
      <c r="Q2285" s="12"/>
    </row>
    <row r="2286" spans="1:17">
      <c r="A2286" s="14">
        <v>42026</v>
      </c>
      <c r="B2286" s="8">
        <v>1165.5717090898456</v>
      </c>
      <c r="F2286" s="7"/>
      <c r="G2286" s="7"/>
      <c r="M2286" s="10"/>
      <c r="P2286" s="11"/>
      <c r="Q2286" s="12"/>
    </row>
    <row r="2287" spans="1:17">
      <c r="A2287" s="14">
        <v>42027</v>
      </c>
      <c r="B2287" s="8">
        <v>1171.9831456510988</v>
      </c>
      <c r="F2287" s="7"/>
      <c r="G2287" s="7"/>
      <c r="M2287" s="10"/>
      <c r="P2287" s="11"/>
      <c r="Q2287" s="12"/>
    </row>
    <row r="2288" spans="1:17">
      <c r="A2288" s="14">
        <v>42030</v>
      </c>
      <c r="B2288" s="8">
        <v>1178.6622017941415</v>
      </c>
      <c r="F2288" s="7"/>
      <c r="G2288" s="7"/>
      <c r="M2288" s="10"/>
      <c r="P2288" s="11"/>
      <c r="Q2288" s="12"/>
    </row>
    <row r="2289" spans="1:17">
      <c r="A2289" s="14">
        <v>42031</v>
      </c>
      <c r="B2289" s="8">
        <v>1163.2849148704877</v>
      </c>
      <c r="F2289" s="7"/>
      <c r="G2289" s="7"/>
      <c r="M2289" s="10"/>
      <c r="P2289" s="11"/>
      <c r="Q2289" s="12"/>
    </row>
    <row r="2290" spans="1:17">
      <c r="A2290" s="14">
        <v>42032</v>
      </c>
      <c r="B2290" s="8">
        <v>1150.826361269256</v>
      </c>
      <c r="F2290" s="7"/>
      <c r="G2290" s="7"/>
      <c r="M2290" s="10"/>
      <c r="P2290" s="11"/>
      <c r="Q2290" s="12"/>
    </row>
    <row r="2291" spans="1:17">
      <c r="A2291" s="14">
        <v>42033</v>
      </c>
      <c r="B2291" s="8">
        <v>1157.3932794272791</v>
      </c>
      <c r="F2291" s="7"/>
      <c r="G2291" s="7"/>
      <c r="M2291" s="10"/>
      <c r="P2291" s="11"/>
      <c r="Q2291" s="12"/>
    </row>
    <row r="2292" spans="1:17">
      <c r="A2292" s="14">
        <v>42034</v>
      </c>
      <c r="B2292" s="8">
        <v>1144.2969788327398</v>
      </c>
      <c r="F2292" s="7"/>
      <c r="G2292" s="7"/>
      <c r="M2292" s="10"/>
      <c r="P2292" s="11"/>
      <c r="Q2292" s="12"/>
    </row>
    <row r="2293" spans="1:17">
      <c r="A2293" s="14">
        <v>42037</v>
      </c>
      <c r="B2293" s="8">
        <v>1149.7913601000532</v>
      </c>
      <c r="F2293" s="7"/>
      <c r="G2293" s="7"/>
      <c r="M2293" s="10"/>
      <c r="P2293" s="11"/>
      <c r="Q2293" s="12"/>
    </row>
    <row r="2294" spans="1:17">
      <c r="A2294" s="14">
        <v>42038</v>
      </c>
      <c r="B2294" s="8">
        <v>1175.3808798461475</v>
      </c>
      <c r="F2294" s="7"/>
      <c r="G2294" s="7"/>
      <c r="M2294" s="10"/>
      <c r="P2294" s="11"/>
      <c r="Q2294" s="12"/>
    </row>
    <row r="2295" spans="1:17">
      <c r="A2295" s="14">
        <v>42039</v>
      </c>
      <c r="B2295" s="8">
        <v>1177.2325687108093</v>
      </c>
      <c r="F2295" s="7"/>
      <c r="G2295" s="7"/>
      <c r="M2295" s="10"/>
      <c r="P2295" s="11"/>
      <c r="Q2295" s="12"/>
    </row>
    <row r="2296" spans="1:17">
      <c r="A2296" s="14">
        <v>42040</v>
      </c>
      <c r="B2296" s="8">
        <v>1180.3696360922625</v>
      </c>
      <c r="F2296" s="7"/>
      <c r="G2296" s="7"/>
      <c r="M2296" s="10"/>
      <c r="P2296" s="11"/>
      <c r="Q2296" s="12"/>
    </row>
    <row r="2297" spans="1:17">
      <c r="A2297" s="14">
        <v>42041</v>
      </c>
      <c r="B2297" s="8">
        <v>1174.6051788948587</v>
      </c>
      <c r="F2297" s="7"/>
      <c r="G2297" s="7"/>
      <c r="M2297" s="10"/>
      <c r="P2297" s="11"/>
      <c r="Q2297" s="12"/>
    </row>
    <row r="2298" spans="1:17">
      <c r="A2298" s="14">
        <v>42044</v>
      </c>
      <c r="B2298" s="8">
        <v>1161.3142043973303</v>
      </c>
      <c r="F2298" s="7"/>
      <c r="G2298" s="7"/>
      <c r="M2298" s="10"/>
      <c r="P2298" s="11"/>
      <c r="Q2298" s="12"/>
    </row>
    <row r="2299" spans="1:17">
      <c r="A2299" s="14">
        <v>42045</v>
      </c>
      <c r="B2299" s="8">
        <v>1180.5485884464715</v>
      </c>
      <c r="F2299" s="7"/>
      <c r="G2299" s="7"/>
      <c r="M2299" s="10"/>
      <c r="P2299" s="11"/>
      <c r="Q2299" s="12"/>
    </row>
    <row r="2300" spans="1:17">
      <c r="A2300" s="14">
        <v>42046</v>
      </c>
      <c r="B2300" s="8">
        <v>1177.3956711479216</v>
      </c>
      <c r="F2300" s="7"/>
      <c r="G2300" s="7"/>
      <c r="M2300" s="10"/>
      <c r="P2300" s="11"/>
      <c r="Q2300" s="12"/>
    </row>
    <row r="2301" spans="1:17">
      <c r="A2301" s="14">
        <v>42047</v>
      </c>
      <c r="B2301" s="8">
        <v>1195.257451982598</v>
      </c>
      <c r="F2301" s="7"/>
      <c r="G2301" s="7"/>
      <c r="M2301" s="10"/>
      <c r="P2301" s="11"/>
      <c r="Q2301" s="12"/>
    </row>
    <row r="2302" spans="1:17">
      <c r="A2302" s="14">
        <v>42048</v>
      </c>
      <c r="B2302" s="8">
        <v>1210.3340545283977</v>
      </c>
      <c r="F2302" s="7"/>
      <c r="G2302" s="7"/>
      <c r="M2302" s="10"/>
      <c r="P2302" s="11"/>
      <c r="Q2302" s="12"/>
    </row>
    <row r="2303" spans="1:17">
      <c r="A2303" s="14">
        <v>42051</v>
      </c>
      <c r="B2303" s="8">
        <v>1207.8506828098073</v>
      </c>
      <c r="F2303" s="7"/>
      <c r="G2303" s="7"/>
      <c r="M2303" s="10"/>
      <c r="P2303" s="11"/>
      <c r="Q2303" s="12"/>
    </row>
    <row r="2304" spans="1:17">
      <c r="A2304" s="14">
        <v>42052</v>
      </c>
      <c r="B2304" s="8">
        <v>1211.1984308064953</v>
      </c>
      <c r="F2304" s="7"/>
      <c r="G2304" s="7"/>
      <c r="M2304" s="10"/>
      <c r="P2304" s="11"/>
      <c r="Q2304" s="12"/>
    </row>
    <row r="2305" spans="1:17">
      <c r="A2305" s="14">
        <v>42053</v>
      </c>
      <c r="B2305" s="8">
        <v>1222.9432832411637</v>
      </c>
      <c r="F2305" s="7"/>
      <c r="G2305" s="7"/>
      <c r="M2305" s="10"/>
      <c r="P2305" s="11"/>
      <c r="Q2305" s="12"/>
    </row>
    <row r="2306" spans="1:17">
      <c r="A2306" s="14">
        <v>42054</v>
      </c>
      <c r="B2306" s="8">
        <v>1232.9802428951036</v>
      </c>
      <c r="F2306" s="7"/>
      <c r="G2306" s="7"/>
      <c r="M2306" s="10"/>
      <c r="P2306" s="11"/>
      <c r="Q2306" s="12"/>
    </row>
    <row r="2307" spans="1:17">
      <c r="A2307" s="14">
        <v>42055</v>
      </c>
      <c r="B2307" s="8">
        <v>1240.9821506052676</v>
      </c>
      <c r="F2307" s="7"/>
      <c r="G2307" s="7"/>
      <c r="M2307" s="10"/>
      <c r="P2307" s="11"/>
      <c r="Q2307" s="12"/>
    </row>
    <row r="2308" spans="1:17">
      <c r="A2308" s="14">
        <v>42058</v>
      </c>
      <c r="B2308" s="8">
        <v>1241.6426579136801</v>
      </c>
      <c r="F2308" s="7"/>
      <c r="G2308" s="7"/>
      <c r="M2308" s="10"/>
      <c r="P2308" s="11"/>
      <c r="Q2308" s="12"/>
    </row>
    <row r="2309" spans="1:17">
      <c r="A2309" s="14">
        <v>42059</v>
      </c>
      <c r="B2309" s="8">
        <v>1247.1317100198855</v>
      </c>
      <c r="F2309" s="7"/>
      <c r="G2309" s="7"/>
      <c r="M2309" s="10"/>
      <c r="P2309" s="11"/>
      <c r="Q2309" s="12"/>
    </row>
    <row r="2310" spans="1:17">
      <c r="A2310" s="14">
        <v>42060</v>
      </c>
      <c r="B2310" s="8">
        <v>1245.1934561164458</v>
      </c>
      <c r="F2310" s="7"/>
      <c r="G2310" s="7"/>
      <c r="M2310" s="10"/>
      <c r="P2310" s="11"/>
      <c r="Q2310" s="12"/>
    </row>
    <row r="2311" spans="1:17">
      <c r="A2311" s="14">
        <v>42061</v>
      </c>
      <c r="B2311" s="8">
        <v>1252.9548798642293</v>
      </c>
      <c r="F2311" s="7"/>
      <c r="G2311" s="7"/>
      <c r="M2311" s="10"/>
      <c r="P2311" s="11"/>
      <c r="Q2311" s="12"/>
    </row>
    <row r="2312" spans="1:17">
      <c r="A2312" s="14">
        <v>42062</v>
      </c>
      <c r="B2312" s="8">
        <v>1251.9182460538577</v>
      </c>
      <c r="F2312" s="7"/>
      <c r="G2312" s="7"/>
      <c r="M2312" s="10"/>
      <c r="P2312" s="11"/>
      <c r="Q2312" s="12"/>
    </row>
    <row r="2313" spans="1:17">
      <c r="A2313" s="14">
        <v>42065</v>
      </c>
      <c r="B2313" s="8">
        <v>1255.7205487354875</v>
      </c>
      <c r="F2313" s="7"/>
      <c r="G2313" s="7"/>
      <c r="M2313" s="10"/>
      <c r="P2313" s="11"/>
      <c r="Q2313" s="12"/>
    </row>
    <row r="2314" spans="1:17">
      <c r="A2314" s="14">
        <v>42066</v>
      </c>
      <c r="B2314" s="8">
        <v>1242.9528154180248</v>
      </c>
      <c r="F2314" s="7"/>
      <c r="G2314" s="7"/>
      <c r="M2314" s="10"/>
      <c r="P2314" s="11"/>
      <c r="Q2314" s="12"/>
    </row>
    <row r="2315" spans="1:17">
      <c r="A2315" s="14">
        <v>42067</v>
      </c>
      <c r="B2315" s="8">
        <v>1240.9801775035573</v>
      </c>
      <c r="F2315" s="7"/>
      <c r="G2315" s="7"/>
      <c r="M2315" s="10"/>
      <c r="P2315" s="11"/>
      <c r="Q2315" s="12"/>
    </row>
    <row r="2316" spans="1:17">
      <c r="A2316" s="14">
        <v>42068</v>
      </c>
      <c r="B2316" s="8">
        <v>1251.1458211577124</v>
      </c>
      <c r="F2316" s="7"/>
      <c r="G2316" s="7"/>
      <c r="M2316" s="10"/>
      <c r="P2316" s="11"/>
      <c r="Q2316" s="12"/>
    </row>
    <row r="2317" spans="1:17">
      <c r="A2317" s="14">
        <v>42069</v>
      </c>
      <c r="B2317" s="8">
        <v>1244.2007881570423</v>
      </c>
      <c r="F2317" s="7"/>
      <c r="G2317" s="7"/>
      <c r="M2317" s="10"/>
      <c r="P2317" s="11"/>
      <c r="Q2317" s="12"/>
    </row>
    <row r="2318" spans="1:17">
      <c r="A2318" s="14">
        <v>42072</v>
      </c>
      <c r="B2318" s="8">
        <v>1243.2123755420344</v>
      </c>
      <c r="F2318" s="7"/>
      <c r="G2318" s="7"/>
      <c r="M2318" s="10"/>
      <c r="P2318" s="11"/>
      <c r="Q2318" s="12"/>
    </row>
    <row r="2319" spans="1:17">
      <c r="A2319" s="14">
        <v>42073</v>
      </c>
      <c r="B2319" s="8">
        <v>1227.4777727755281</v>
      </c>
      <c r="F2319" s="7"/>
      <c r="G2319" s="7"/>
      <c r="M2319" s="10"/>
      <c r="P2319" s="11"/>
      <c r="Q2319" s="12"/>
    </row>
    <row r="2320" spans="1:17">
      <c r="A2320" s="14">
        <v>42074</v>
      </c>
      <c r="B2320" s="8">
        <v>1243.1343785775603</v>
      </c>
      <c r="F2320" s="7"/>
      <c r="G2320" s="7"/>
      <c r="M2320" s="10"/>
      <c r="P2320" s="11"/>
      <c r="Q2320" s="12"/>
    </row>
    <row r="2321" spans="1:17">
      <c r="A2321" s="14">
        <v>42075</v>
      </c>
      <c r="B2321" s="8">
        <v>1249.1940159008561</v>
      </c>
      <c r="F2321" s="7"/>
      <c r="G2321" s="7"/>
      <c r="M2321" s="10"/>
      <c r="P2321" s="11"/>
      <c r="Q2321" s="12"/>
    </row>
    <row r="2322" spans="1:17">
      <c r="A2322" s="14">
        <v>42076</v>
      </c>
      <c r="B2322" s="8">
        <v>1249.9061774116649</v>
      </c>
      <c r="F2322" s="7"/>
      <c r="G2322" s="7"/>
      <c r="M2322" s="10"/>
      <c r="P2322" s="11"/>
      <c r="Q2322" s="12"/>
    </row>
    <row r="2323" spans="1:17">
      <c r="A2323" s="14">
        <v>42079</v>
      </c>
      <c r="B2323" s="8">
        <v>1266.143095342446</v>
      </c>
      <c r="F2323" s="7"/>
      <c r="G2323" s="7"/>
      <c r="M2323" s="10"/>
      <c r="P2323" s="11"/>
      <c r="Q2323" s="12"/>
    </row>
    <row r="2324" spans="1:17">
      <c r="A2324" s="14">
        <v>42080</v>
      </c>
      <c r="B2324" s="8">
        <v>1260.4785426233636</v>
      </c>
      <c r="F2324" s="7"/>
      <c r="G2324" s="7"/>
      <c r="M2324" s="10"/>
      <c r="P2324" s="11"/>
      <c r="Q2324" s="12"/>
    </row>
    <row r="2325" spans="1:17">
      <c r="A2325" s="14">
        <v>42081</v>
      </c>
      <c r="B2325" s="8">
        <v>1258.1671352573642</v>
      </c>
      <c r="F2325" s="7"/>
      <c r="G2325" s="7"/>
      <c r="M2325" s="10"/>
      <c r="P2325" s="11"/>
      <c r="Q2325" s="12"/>
    </row>
    <row r="2326" spans="1:17">
      <c r="A2326" s="14">
        <v>42082</v>
      </c>
      <c r="B2326" s="8">
        <v>1256.259269466171</v>
      </c>
      <c r="F2326" s="7"/>
      <c r="G2326" s="7"/>
      <c r="M2326" s="10"/>
      <c r="P2326" s="11"/>
      <c r="Q2326" s="12"/>
    </row>
    <row r="2327" spans="1:17">
      <c r="A2327" s="14">
        <v>42083</v>
      </c>
      <c r="B2327" s="8">
        <v>1269.160722077826</v>
      </c>
      <c r="F2327" s="7"/>
      <c r="G2327" s="7"/>
      <c r="M2327" s="10"/>
      <c r="P2327" s="11"/>
      <c r="Q2327" s="12"/>
    </row>
    <row r="2328" spans="1:17">
      <c r="A2328" s="14">
        <v>42086</v>
      </c>
      <c r="B2328" s="8">
        <v>1260.7653214342201</v>
      </c>
      <c r="F2328" s="7"/>
      <c r="G2328" s="7"/>
      <c r="M2328" s="10"/>
      <c r="P2328" s="11"/>
      <c r="Q2328" s="12"/>
    </row>
    <row r="2329" spans="1:17">
      <c r="A2329" s="14">
        <v>42087</v>
      </c>
      <c r="B2329" s="8">
        <v>1265.1157706812342</v>
      </c>
      <c r="F2329" s="7"/>
      <c r="G2329" s="7"/>
      <c r="M2329" s="10"/>
      <c r="P2329" s="11"/>
      <c r="Q2329" s="12"/>
    </row>
    <row r="2330" spans="1:17">
      <c r="A2330" s="14">
        <v>42088</v>
      </c>
      <c r="B2330" s="8">
        <v>1237.352765519913</v>
      </c>
      <c r="F2330" s="7"/>
      <c r="G2330" s="7"/>
      <c r="M2330" s="10"/>
      <c r="P2330" s="11"/>
      <c r="Q2330" s="12"/>
    </row>
    <row r="2331" spans="1:17">
      <c r="A2331" s="14">
        <v>42089</v>
      </c>
      <c r="B2331" s="8">
        <v>1231.1751721637686</v>
      </c>
      <c r="F2331" s="7"/>
      <c r="G2331" s="7"/>
      <c r="M2331" s="10"/>
      <c r="P2331" s="11"/>
      <c r="Q2331" s="12"/>
    </row>
    <row r="2332" spans="1:17">
      <c r="A2332" s="14">
        <v>42090</v>
      </c>
      <c r="B2332" s="8">
        <v>1233.4243785421145</v>
      </c>
      <c r="F2332" s="7"/>
      <c r="G2332" s="7"/>
      <c r="M2332" s="10"/>
      <c r="P2332" s="11"/>
      <c r="Q2332" s="12"/>
    </row>
    <row r="2333" spans="1:17">
      <c r="A2333" s="14">
        <v>42093</v>
      </c>
      <c r="B2333" s="8">
        <v>1251.5140178300753</v>
      </c>
      <c r="F2333" s="7"/>
      <c r="G2333" s="7"/>
      <c r="M2333" s="10"/>
      <c r="P2333" s="11"/>
      <c r="Q2333" s="12"/>
    </row>
    <row r="2334" spans="1:17">
      <c r="A2334" s="14">
        <v>42094</v>
      </c>
      <c r="B2334" s="8">
        <v>1244.4829177139598</v>
      </c>
      <c r="F2334" s="7"/>
      <c r="G2334" s="7"/>
      <c r="M2334" s="10"/>
      <c r="P2334" s="11"/>
      <c r="Q2334" s="12"/>
    </row>
    <row r="2335" spans="1:17">
      <c r="A2335" s="14">
        <v>42095</v>
      </c>
      <c r="B2335" s="8">
        <v>1243.6521435659283</v>
      </c>
      <c r="F2335" s="7"/>
      <c r="G2335" s="7"/>
      <c r="M2335" s="10"/>
      <c r="P2335" s="11"/>
      <c r="Q2335" s="12"/>
    </row>
    <row r="2336" spans="1:17">
      <c r="A2336" s="14">
        <v>42096</v>
      </c>
      <c r="B2336" s="8">
        <v>1247.4172523240359</v>
      </c>
      <c r="F2336" s="7"/>
      <c r="G2336" s="7"/>
      <c r="M2336" s="10"/>
      <c r="P2336" s="11"/>
      <c r="Q2336" s="12"/>
    </row>
    <row r="2337" spans="1:17">
      <c r="A2337" s="14">
        <v>42097</v>
      </c>
      <c r="B2337" s="8">
        <v>1247.0355596466018</v>
      </c>
      <c r="F2337" s="7"/>
      <c r="G2337" s="7"/>
      <c r="M2337" s="10"/>
      <c r="P2337" s="11"/>
      <c r="Q2337" s="12"/>
    </row>
    <row r="2338" spans="1:17">
      <c r="A2338" s="14">
        <v>42100</v>
      </c>
      <c r="B2338" s="8">
        <v>1251.3855631241017</v>
      </c>
      <c r="F2338" s="7"/>
      <c r="G2338" s="7"/>
      <c r="M2338" s="10"/>
      <c r="P2338" s="11"/>
      <c r="Q2338" s="12"/>
    </row>
    <row r="2339" spans="1:17">
      <c r="A2339" s="14">
        <v>42101</v>
      </c>
      <c r="B2339" s="8">
        <v>1256.84402671821</v>
      </c>
      <c r="F2339" s="7"/>
      <c r="G2339" s="7"/>
      <c r="M2339" s="10"/>
      <c r="P2339" s="11"/>
      <c r="Q2339" s="12"/>
    </row>
    <row r="2340" spans="1:17">
      <c r="A2340" s="14">
        <v>42102</v>
      </c>
      <c r="B2340" s="8">
        <v>1256.7382866641849</v>
      </c>
      <c r="F2340" s="7"/>
      <c r="G2340" s="7"/>
      <c r="M2340" s="10"/>
      <c r="P2340" s="11"/>
      <c r="Q2340" s="12"/>
    </row>
    <row r="2341" spans="1:17">
      <c r="A2341" s="14">
        <v>42103</v>
      </c>
      <c r="B2341" s="8">
        <v>1265.5926205104527</v>
      </c>
      <c r="F2341" s="7"/>
      <c r="G2341" s="7"/>
      <c r="M2341" s="10"/>
      <c r="P2341" s="11"/>
      <c r="Q2341" s="12"/>
    </row>
    <row r="2342" spans="1:17">
      <c r="A2342" s="14">
        <v>42104</v>
      </c>
      <c r="B2342" s="8">
        <v>1270.2530183958856</v>
      </c>
      <c r="F2342" s="7"/>
      <c r="G2342" s="7"/>
      <c r="M2342" s="10"/>
      <c r="P2342" s="11"/>
      <c r="Q2342" s="12"/>
    </row>
    <row r="2343" spans="1:17">
      <c r="A2343" s="14">
        <v>42107</v>
      </c>
      <c r="B2343" s="8">
        <v>1272.0484880834354</v>
      </c>
      <c r="F2343" s="7"/>
      <c r="G2343" s="7"/>
      <c r="M2343" s="10"/>
      <c r="P2343" s="11"/>
      <c r="Q2343" s="12"/>
    </row>
    <row r="2344" spans="1:17">
      <c r="A2344" s="14">
        <v>42108</v>
      </c>
      <c r="B2344" s="8">
        <v>1261.2742630250118</v>
      </c>
      <c r="F2344" s="7"/>
      <c r="G2344" s="7"/>
      <c r="M2344" s="10"/>
      <c r="P2344" s="11"/>
      <c r="Q2344" s="12"/>
    </row>
    <row r="2345" spans="1:17">
      <c r="A2345" s="14">
        <v>42109</v>
      </c>
      <c r="B2345" s="8">
        <v>1266.694054742215</v>
      </c>
      <c r="F2345" s="7"/>
      <c r="G2345" s="7"/>
      <c r="M2345" s="10"/>
      <c r="P2345" s="11"/>
      <c r="Q2345" s="12"/>
    </row>
    <row r="2346" spans="1:17">
      <c r="A2346" s="14">
        <v>42110</v>
      </c>
      <c r="B2346" s="8">
        <v>1260.4290379393772</v>
      </c>
      <c r="F2346" s="7"/>
      <c r="G2346" s="7"/>
      <c r="M2346" s="10"/>
      <c r="P2346" s="11"/>
      <c r="Q2346" s="12"/>
    </row>
    <row r="2347" spans="1:17">
      <c r="A2347" s="14">
        <v>42111</v>
      </c>
      <c r="B2347" s="8">
        <v>1234.7116247592617</v>
      </c>
      <c r="F2347" s="7"/>
      <c r="G2347" s="7"/>
      <c r="M2347" s="10"/>
      <c r="P2347" s="11"/>
      <c r="Q2347" s="12"/>
    </row>
    <row r="2348" spans="1:17">
      <c r="A2348" s="14">
        <v>42114</v>
      </c>
      <c r="B2348" s="8">
        <v>1246.2721545733452</v>
      </c>
      <c r="F2348" s="7"/>
      <c r="G2348" s="7"/>
      <c r="M2348" s="10"/>
      <c r="P2348" s="11"/>
      <c r="Q2348" s="12"/>
    </row>
    <row r="2349" spans="1:17">
      <c r="A2349" s="14">
        <v>42115</v>
      </c>
      <c r="B2349" s="8">
        <v>1250.5625079472327</v>
      </c>
      <c r="F2349" s="7"/>
      <c r="G2349" s="7"/>
      <c r="M2349" s="10"/>
      <c r="P2349" s="11"/>
      <c r="Q2349" s="12"/>
    </row>
    <row r="2350" spans="1:17">
      <c r="A2350" s="14">
        <v>42116</v>
      </c>
      <c r="B2350" s="8">
        <v>1260.7960089532671</v>
      </c>
      <c r="F2350" s="7"/>
      <c r="G2350" s="7"/>
      <c r="M2350" s="10"/>
      <c r="P2350" s="11"/>
      <c r="Q2350" s="12"/>
    </row>
    <row r="2351" spans="1:17">
      <c r="A2351" s="14">
        <v>42117</v>
      </c>
      <c r="B2351" s="8">
        <v>1257.4668758745149</v>
      </c>
      <c r="F2351" s="7"/>
      <c r="G2351" s="7"/>
      <c r="M2351" s="10"/>
      <c r="P2351" s="11"/>
      <c r="Q2351" s="12"/>
    </row>
    <row r="2352" spans="1:17">
      <c r="A2352" s="14">
        <v>42118</v>
      </c>
      <c r="B2352" s="8">
        <v>1262.1111146606961</v>
      </c>
      <c r="F2352" s="7"/>
      <c r="G2352" s="7"/>
      <c r="M2352" s="10"/>
      <c r="P2352" s="11"/>
      <c r="Q2352" s="12"/>
    </row>
    <row r="2353" spans="1:17">
      <c r="A2353" s="14">
        <v>42121</v>
      </c>
      <c r="B2353" s="8">
        <v>1275.1618313489403</v>
      </c>
      <c r="F2353" s="7"/>
      <c r="G2353" s="7"/>
      <c r="M2353" s="10"/>
      <c r="P2353" s="11"/>
      <c r="Q2353" s="12"/>
    </row>
    <row r="2354" spans="1:17">
      <c r="A2354" s="14">
        <v>42122</v>
      </c>
      <c r="B2354" s="8">
        <v>1266.3252454046203</v>
      </c>
      <c r="F2354" s="7"/>
      <c r="G2354" s="7"/>
      <c r="M2354" s="10"/>
      <c r="P2354" s="11"/>
      <c r="Q2354" s="12"/>
    </row>
    <row r="2355" spans="1:17">
      <c r="A2355" s="14">
        <v>42123</v>
      </c>
      <c r="B2355" s="8">
        <v>1249.4052407905067</v>
      </c>
      <c r="F2355" s="7"/>
      <c r="G2355" s="7"/>
      <c r="M2355" s="10"/>
      <c r="P2355" s="11"/>
      <c r="Q2355" s="12"/>
    </row>
    <row r="2356" spans="1:17">
      <c r="A2356" s="14">
        <v>42124</v>
      </c>
      <c r="B2356" s="8">
        <v>1242.2874995794389</v>
      </c>
      <c r="F2356" s="7"/>
      <c r="G2356" s="7"/>
      <c r="M2356" s="10"/>
      <c r="P2356" s="11"/>
      <c r="Q2356" s="12"/>
    </row>
    <row r="2357" spans="1:17">
      <c r="A2357" s="14">
        <v>42125</v>
      </c>
      <c r="B2357" s="8">
        <v>1246.8729964039476</v>
      </c>
      <c r="F2357" s="7"/>
      <c r="G2357" s="7"/>
      <c r="M2357" s="10"/>
      <c r="P2357" s="11"/>
      <c r="Q2357" s="12"/>
    </row>
    <row r="2358" spans="1:17">
      <c r="A2358" s="14">
        <v>42128</v>
      </c>
      <c r="B2358" s="8">
        <v>1255.1908851561941</v>
      </c>
      <c r="F2358" s="7"/>
      <c r="G2358" s="7"/>
      <c r="M2358" s="10"/>
      <c r="P2358" s="11"/>
      <c r="Q2358" s="12"/>
    </row>
    <row r="2359" spans="1:17">
      <c r="A2359" s="14">
        <v>42129</v>
      </c>
      <c r="B2359" s="8">
        <v>1235.2306843667939</v>
      </c>
      <c r="F2359" s="7"/>
      <c r="G2359" s="7"/>
      <c r="M2359" s="10"/>
      <c r="P2359" s="11"/>
      <c r="Q2359" s="12"/>
    </row>
    <row r="2360" spans="1:17">
      <c r="A2360" s="14">
        <v>42130</v>
      </c>
      <c r="B2360" s="8">
        <v>1233.525167852981</v>
      </c>
      <c r="F2360" s="7"/>
      <c r="G2360" s="7"/>
      <c r="M2360" s="10"/>
      <c r="P2360" s="11"/>
      <c r="Q2360" s="12"/>
    </row>
    <row r="2361" spans="1:17">
      <c r="A2361" s="14">
        <v>42131</v>
      </c>
      <c r="B2361" s="8">
        <v>1240.3645498153658</v>
      </c>
      <c r="F2361" s="7"/>
      <c r="G2361" s="7"/>
      <c r="M2361" s="10"/>
      <c r="P2361" s="11"/>
      <c r="Q2361" s="12"/>
    </row>
    <row r="2362" spans="1:17">
      <c r="A2362" s="14">
        <v>42132</v>
      </c>
      <c r="B2362" s="8">
        <v>1259.2644725170308</v>
      </c>
      <c r="F2362" s="7"/>
      <c r="G2362" s="7"/>
      <c r="M2362" s="10"/>
      <c r="P2362" s="11"/>
      <c r="Q2362" s="12"/>
    </row>
    <row r="2363" spans="1:17">
      <c r="A2363" s="14">
        <v>42135</v>
      </c>
      <c r="B2363" s="8">
        <v>1258.4243959828868</v>
      </c>
      <c r="F2363" s="7"/>
      <c r="G2363" s="7"/>
      <c r="M2363" s="10"/>
      <c r="P2363" s="11"/>
      <c r="Q2363" s="12"/>
    </row>
    <row r="2364" spans="1:17">
      <c r="A2364" s="14">
        <v>42136</v>
      </c>
      <c r="B2364" s="8">
        <v>1251.3563910388805</v>
      </c>
      <c r="F2364" s="7"/>
      <c r="G2364" s="7"/>
      <c r="M2364" s="10"/>
      <c r="P2364" s="11"/>
      <c r="Q2364" s="12"/>
    </row>
    <row r="2365" spans="1:17">
      <c r="A2365" s="14">
        <v>42137</v>
      </c>
      <c r="B2365" s="8">
        <v>1250.1328031371238</v>
      </c>
      <c r="F2365" s="7"/>
      <c r="G2365" s="7"/>
      <c r="M2365" s="10"/>
      <c r="P2365" s="11"/>
      <c r="Q2365" s="12"/>
    </row>
    <row r="2366" spans="1:17">
      <c r="A2366" s="14">
        <v>42138</v>
      </c>
      <c r="B2366" s="8">
        <v>1265.9840929792517</v>
      </c>
      <c r="F2366" s="7"/>
      <c r="G2366" s="7"/>
      <c r="M2366" s="10"/>
      <c r="P2366" s="11"/>
      <c r="Q2366" s="12"/>
    </row>
    <row r="2367" spans="1:17">
      <c r="A2367" s="14">
        <v>42139</v>
      </c>
      <c r="B2367" s="8">
        <v>1263.2076258651362</v>
      </c>
      <c r="F2367" s="7"/>
      <c r="G2367" s="7"/>
      <c r="M2367" s="10"/>
      <c r="P2367" s="11"/>
      <c r="Q2367" s="12"/>
    </row>
    <row r="2368" spans="1:17">
      <c r="A2368" s="14">
        <v>42142</v>
      </c>
      <c r="B2368" s="8">
        <v>1269.5054765449106</v>
      </c>
      <c r="F2368" s="7"/>
      <c r="G2368" s="7"/>
      <c r="M2368" s="10"/>
      <c r="P2368" s="11"/>
      <c r="Q2368" s="12"/>
    </row>
    <row r="2369" spans="1:17">
      <c r="A2369" s="14">
        <v>42143</v>
      </c>
      <c r="B2369" s="8">
        <v>1282.4876171041265</v>
      </c>
      <c r="F2369" s="7"/>
      <c r="G2369" s="7"/>
      <c r="M2369" s="10"/>
      <c r="P2369" s="11"/>
      <c r="Q2369" s="12"/>
    </row>
    <row r="2370" spans="1:17">
      <c r="A2370" s="14">
        <v>42144</v>
      </c>
      <c r="B2370" s="8">
        <v>1282.9108905714725</v>
      </c>
      <c r="F2370" s="7"/>
      <c r="G2370" s="7"/>
      <c r="M2370" s="10"/>
      <c r="P2370" s="11"/>
      <c r="Q2370" s="12"/>
    </row>
    <row r="2371" spans="1:17">
      <c r="A2371" s="14">
        <v>42145</v>
      </c>
      <c r="B2371" s="8">
        <v>1285.6227933499383</v>
      </c>
      <c r="F2371" s="7"/>
      <c r="G2371" s="7"/>
      <c r="M2371" s="10"/>
      <c r="P2371" s="11"/>
      <c r="Q2371" s="12"/>
    </row>
    <row r="2372" spans="1:17">
      <c r="A2372" s="14">
        <v>42146</v>
      </c>
      <c r="B2372" s="8">
        <v>1284.7800189736922</v>
      </c>
      <c r="F2372" s="7"/>
      <c r="G2372" s="7"/>
      <c r="M2372" s="10"/>
      <c r="P2372" s="11"/>
      <c r="Q2372" s="12"/>
    </row>
    <row r="2373" spans="1:17">
      <c r="A2373" s="14">
        <v>42149</v>
      </c>
      <c r="B2373" s="8">
        <v>1277.7922187302845</v>
      </c>
      <c r="F2373" s="7"/>
      <c r="G2373" s="7"/>
      <c r="M2373" s="10"/>
      <c r="P2373" s="11"/>
      <c r="Q2373" s="12"/>
    </row>
    <row r="2374" spans="1:17">
      <c r="A2374" s="14">
        <v>42150</v>
      </c>
      <c r="B2374" s="8">
        <v>1268.1152845940665</v>
      </c>
      <c r="F2374" s="7"/>
      <c r="G2374" s="7"/>
      <c r="M2374" s="10"/>
      <c r="P2374" s="11"/>
      <c r="Q2374" s="12"/>
    </row>
    <row r="2375" spans="1:17">
      <c r="A2375" s="14">
        <v>42151</v>
      </c>
      <c r="B2375" s="8">
        <v>1288.8216181589992</v>
      </c>
      <c r="F2375" s="7"/>
      <c r="G2375" s="7"/>
      <c r="M2375" s="10"/>
      <c r="P2375" s="11"/>
      <c r="Q2375" s="12"/>
    </row>
    <row r="2376" spans="1:17">
      <c r="A2376" s="14">
        <v>42152</v>
      </c>
      <c r="B2376" s="8">
        <v>1286.051723792111</v>
      </c>
      <c r="F2376" s="7"/>
      <c r="G2376" s="7"/>
      <c r="M2376" s="10"/>
      <c r="P2376" s="11"/>
      <c r="Q2376" s="12"/>
    </row>
    <row r="2377" spans="1:17">
      <c r="A2377" s="14">
        <v>42153</v>
      </c>
      <c r="B2377" s="8">
        <v>1268.7485285786572</v>
      </c>
      <c r="F2377" s="7"/>
      <c r="G2377" s="7"/>
      <c r="M2377" s="10"/>
      <c r="P2377" s="11"/>
      <c r="Q2377" s="12"/>
    </row>
    <row r="2378" spans="1:17">
      <c r="A2378" s="14">
        <v>42156</v>
      </c>
      <c r="B2378" s="8">
        <v>1269.0078776983896</v>
      </c>
      <c r="F2378" s="7"/>
      <c r="G2378" s="7"/>
      <c r="M2378" s="10"/>
      <c r="P2378" s="11"/>
      <c r="Q2378" s="12"/>
    </row>
    <row r="2379" spans="1:17">
      <c r="A2379" s="14">
        <v>42157</v>
      </c>
      <c r="B2379" s="8">
        <v>1270.0773595255889</v>
      </c>
      <c r="F2379" s="7"/>
      <c r="G2379" s="7"/>
      <c r="M2379" s="10"/>
      <c r="P2379" s="11"/>
      <c r="Q2379" s="12"/>
    </row>
    <row r="2380" spans="1:17">
      <c r="A2380" s="14">
        <v>42158</v>
      </c>
      <c r="B2380" s="8">
        <v>1279.310899177141</v>
      </c>
      <c r="F2380" s="7"/>
      <c r="G2380" s="7"/>
      <c r="M2380" s="10"/>
      <c r="P2380" s="11"/>
      <c r="Q2380" s="12"/>
    </row>
    <row r="2381" spans="1:17">
      <c r="A2381" s="14">
        <v>42159</v>
      </c>
      <c r="B2381" s="8">
        <v>1269.4835040043611</v>
      </c>
      <c r="F2381" s="7"/>
      <c r="G2381" s="7"/>
      <c r="M2381" s="10"/>
      <c r="P2381" s="11"/>
      <c r="Q2381" s="12"/>
    </row>
    <row r="2382" spans="1:17">
      <c r="A2382" s="14">
        <v>42160</v>
      </c>
      <c r="B2382" s="8">
        <v>1264.4949947040861</v>
      </c>
      <c r="F2382" s="7"/>
      <c r="G2382" s="7"/>
      <c r="M2382" s="10"/>
      <c r="P2382" s="11"/>
      <c r="Q2382" s="12"/>
    </row>
    <row r="2383" spans="1:17">
      <c r="A2383" s="14">
        <v>42163</v>
      </c>
      <c r="B2383" s="8">
        <v>1251.109448227636</v>
      </c>
      <c r="F2383" s="7"/>
      <c r="G2383" s="7"/>
      <c r="M2383" s="10"/>
      <c r="P2383" s="11"/>
      <c r="Q2383" s="12"/>
    </row>
    <row r="2384" spans="1:17">
      <c r="A2384" s="14">
        <v>42164</v>
      </c>
      <c r="B2384" s="8">
        <v>1251.3829918911972</v>
      </c>
      <c r="F2384" s="7"/>
      <c r="G2384" s="7"/>
      <c r="M2384" s="10"/>
      <c r="P2384" s="11"/>
      <c r="Q2384" s="12"/>
    </row>
    <row r="2385" spans="1:17">
      <c r="A2385" s="14">
        <v>42165</v>
      </c>
      <c r="B2385" s="8">
        <v>1269.7266105494964</v>
      </c>
      <c r="F2385" s="7"/>
      <c r="G2385" s="7"/>
      <c r="M2385" s="10"/>
      <c r="P2385" s="11"/>
      <c r="Q2385" s="12"/>
    </row>
    <row r="2386" spans="1:17">
      <c r="A2386" s="14">
        <v>42166</v>
      </c>
      <c r="B2386" s="8">
        <v>1273.6940235630361</v>
      </c>
      <c r="F2386" s="7"/>
      <c r="G2386" s="7"/>
      <c r="M2386" s="10"/>
      <c r="P2386" s="11"/>
      <c r="Q2386" s="12"/>
    </row>
    <row r="2387" spans="1:17">
      <c r="A2387" s="14">
        <v>42167</v>
      </c>
      <c r="B2387" s="8">
        <v>1262.2695685751855</v>
      </c>
      <c r="F2387" s="7"/>
      <c r="G2387" s="7"/>
      <c r="M2387" s="10"/>
      <c r="P2387" s="11"/>
      <c r="Q2387" s="12"/>
    </row>
    <row r="2388" spans="1:17">
      <c r="A2388" s="14">
        <v>42170</v>
      </c>
      <c r="B2388" s="8">
        <v>1247.0324411739525</v>
      </c>
      <c r="F2388" s="7"/>
      <c r="G2388" s="7"/>
      <c r="M2388" s="10"/>
      <c r="P2388" s="11"/>
      <c r="Q2388" s="12"/>
    </row>
    <row r="2389" spans="1:17">
      <c r="A2389" s="14">
        <v>42171</v>
      </c>
      <c r="B2389" s="8">
        <v>1254.2521663205393</v>
      </c>
      <c r="F2389" s="7"/>
      <c r="G2389" s="7"/>
      <c r="M2389" s="10"/>
      <c r="P2389" s="11"/>
      <c r="Q2389" s="12"/>
    </row>
    <row r="2390" spans="1:17">
      <c r="A2390" s="14">
        <v>42172</v>
      </c>
      <c r="B2390" s="8">
        <v>1248.567361565953</v>
      </c>
      <c r="F2390" s="7"/>
      <c r="G2390" s="7"/>
      <c r="M2390" s="10"/>
      <c r="P2390" s="11"/>
      <c r="Q2390" s="12"/>
    </row>
    <row r="2391" spans="1:17">
      <c r="A2391" s="14">
        <v>42173</v>
      </c>
      <c r="B2391" s="8">
        <v>1258.0050689843376</v>
      </c>
      <c r="F2391" s="7"/>
      <c r="G2391" s="7"/>
      <c r="M2391" s="10"/>
      <c r="P2391" s="11"/>
      <c r="Q2391" s="12"/>
    </row>
    <row r="2392" spans="1:17">
      <c r="A2392" s="14">
        <v>42174</v>
      </c>
      <c r="B2392" s="8">
        <v>1259.8254799446931</v>
      </c>
      <c r="F2392" s="7"/>
      <c r="G2392" s="7"/>
      <c r="M2392" s="10"/>
      <c r="P2392" s="11"/>
      <c r="Q2392" s="12"/>
    </row>
    <row r="2393" spans="1:17">
      <c r="A2393" s="14">
        <v>42177</v>
      </c>
      <c r="B2393" s="8">
        <v>1290.4577697305226</v>
      </c>
      <c r="F2393" s="7"/>
      <c r="G2393" s="7"/>
      <c r="M2393" s="10"/>
      <c r="P2393" s="11"/>
      <c r="Q2393" s="12"/>
    </row>
    <row r="2394" spans="1:17">
      <c r="A2394" s="14">
        <v>42178</v>
      </c>
      <c r="B2394" s="8">
        <v>1296.6824720812608</v>
      </c>
      <c r="F2394" s="7"/>
      <c r="G2394" s="7"/>
      <c r="M2394" s="10"/>
      <c r="P2394" s="11"/>
      <c r="Q2394" s="12"/>
    </row>
    <row r="2395" spans="1:17">
      <c r="A2395" s="14">
        <v>42179</v>
      </c>
      <c r="B2395" s="8">
        <v>1285.18027638595</v>
      </c>
      <c r="F2395" s="7"/>
      <c r="G2395" s="7"/>
      <c r="M2395" s="10"/>
      <c r="P2395" s="11"/>
      <c r="Q2395" s="12"/>
    </row>
    <row r="2396" spans="1:17">
      <c r="A2396" s="14">
        <v>42180</v>
      </c>
      <c r="B2396" s="8">
        <v>1285.7961715591343</v>
      </c>
      <c r="F2396" s="7"/>
      <c r="G2396" s="7"/>
      <c r="M2396" s="10"/>
      <c r="P2396" s="11"/>
      <c r="Q2396" s="12"/>
    </row>
    <row r="2397" spans="1:17">
      <c r="A2397" s="14">
        <v>42181</v>
      </c>
      <c r="B2397" s="8">
        <v>1281.2753419468972</v>
      </c>
      <c r="F2397" s="7"/>
      <c r="G2397" s="7"/>
      <c r="M2397" s="10"/>
      <c r="P2397" s="11"/>
      <c r="Q2397" s="12"/>
    </row>
    <row r="2398" spans="1:17">
      <c r="A2398" s="14">
        <v>42184</v>
      </c>
      <c r="B2398" s="8">
        <v>1235.044541370776</v>
      </c>
      <c r="F2398" s="7"/>
      <c r="G2398" s="7"/>
      <c r="M2398" s="10"/>
      <c r="P2398" s="11"/>
      <c r="Q2398" s="12"/>
    </row>
    <row r="2399" spans="1:17">
      <c r="A2399" s="14">
        <v>42185</v>
      </c>
      <c r="B2399" s="8">
        <v>1230.2023344177351</v>
      </c>
      <c r="F2399" s="7"/>
      <c r="G2399" s="7"/>
      <c r="M2399" s="10"/>
      <c r="P2399" s="11"/>
      <c r="Q2399" s="12"/>
    </row>
    <row r="2400" spans="1:17">
      <c r="A2400" s="14">
        <v>42186</v>
      </c>
      <c r="B2400" s="8">
        <v>1247.4146469830541</v>
      </c>
      <c r="F2400" s="7"/>
      <c r="G2400" s="7"/>
      <c r="M2400" s="10"/>
      <c r="P2400" s="11"/>
      <c r="Q2400" s="12"/>
    </row>
    <row r="2401" spans="1:17">
      <c r="A2401" s="14">
        <v>42187</v>
      </c>
      <c r="B2401" s="8">
        <v>1238.5456391225387</v>
      </c>
      <c r="F2401" s="7"/>
      <c r="G2401" s="7"/>
      <c r="M2401" s="10"/>
      <c r="P2401" s="11"/>
      <c r="Q2401" s="12"/>
    </row>
    <row r="2402" spans="1:17">
      <c r="A2402" s="14">
        <v>42188</v>
      </c>
      <c r="B2402" s="8">
        <v>1235.032424921111</v>
      </c>
      <c r="F2402" s="7"/>
      <c r="G2402" s="7"/>
      <c r="M2402" s="10"/>
      <c r="P2402" s="11"/>
      <c r="Q2402" s="12"/>
    </row>
    <row r="2403" spans="1:17">
      <c r="A2403" s="14">
        <v>42191</v>
      </c>
      <c r="B2403" s="8">
        <v>1215.1943755657242</v>
      </c>
      <c r="F2403" s="7"/>
      <c r="G2403" s="7"/>
      <c r="M2403" s="10"/>
      <c r="P2403" s="11"/>
      <c r="Q2403" s="12"/>
    </row>
    <row r="2404" spans="1:17">
      <c r="A2404" s="14">
        <v>42192</v>
      </c>
      <c r="B2404" s="8">
        <v>1196.2564517203525</v>
      </c>
      <c r="F2404" s="7"/>
      <c r="G2404" s="7"/>
      <c r="M2404" s="10"/>
      <c r="P2404" s="11"/>
      <c r="Q2404" s="12"/>
    </row>
    <row r="2405" spans="1:17">
      <c r="A2405" s="14">
        <v>42193</v>
      </c>
      <c r="B2405" s="8">
        <v>1189.8202997775925</v>
      </c>
      <c r="F2405" s="7"/>
      <c r="G2405" s="7"/>
      <c r="M2405" s="10"/>
      <c r="P2405" s="11"/>
      <c r="Q2405" s="12"/>
    </row>
    <row r="2406" spans="1:17">
      <c r="A2406" s="14">
        <v>42194</v>
      </c>
      <c r="B2406" s="8">
        <v>1209.5464950509813</v>
      </c>
      <c r="F2406" s="7"/>
      <c r="G2406" s="7"/>
      <c r="M2406" s="10"/>
      <c r="P2406" s="11"/>
      <c r="Q2406" s="12"/>
    </row>
    <row r="2407" spans="1:17">
      <c r="A2407" s="14">
        <v>42195</v>
      </c>
      <c r="B2407" s="8">
        <v>1236.0904006058602</v>
      </c>
      <c r="F2407" s="7"/>
      <c r="G2407" s="7"/>
      <c r="M2407" s="10"/>
      <c r="P2407" s="11"/>
      <c r="Q2407" s="12"/>
    </row>
    <row r="2408" spans="1:17">
      <c r="A2408" s="14">
        <v>42198</v>
      </c>
      <c r="B2408" s="8">
        <v>1251.7935510269031</v>
      </c>
      <c r="F2408" s="7"/>
      <c r="G2408" s="7"/>
      <c r="M2408" s="10"/>
      <c r="P2408" s="11"/>
      <c r="Q2408" s="12"/>
    </row>
    <row r="2409" spans="1:17">
      <c r="A2409" s="14">
        <v>42199</v>
      </c>
      <c r="B2409" s="8">
        <v>1256.3921201105395</v>
      </c>
      <c r="F2409" s="7"/>
      <c r="G2409" s="7"/>
      <c r="M2409" s="10"/>
      <c r="P2409" s="11"/>
      <c r="Q2409" s="12"/>
    </row>
    <row r="2410" spans="1:17">
      <c r="A2410" s="14">
        <v>42200</v>
      </c>
      <c r="B2410" s="8">
        <v>1256.9856859431884</v>
      </c>
      <c r="F2410" s="7"/>
      <c r="G2410" s="7"/>
      <c r="M2410" s="10"/>
      <c r="P2410" s="11"/>
      <c r="Q2410" s="12"/>
    </row>
    <row r="2411" spans="1:17">
      <c r="A2411" s="14">
        <v>42201</v>
      </c>
      <c r="B2411" s="8">
        <v>1277.7495241792765</v>
      </c>
      <c r="F2411" s="7"/>
      <c r="G2411" s="7"/>
      <c r="M2411" s="10"/>
      <c r="P2411" s="11"/>
      <c r="Q2411" s="12"/>
    </row>
    <row r="2412" spans="1:17">
      <c r="A2412" s="14">
        <v>42202</v>
      </c>
      <c r="B2412" s="8">
        <v>1277.5700170255932</v>
      </c>
      <c r="F2412" s="7"/>
      <c r="G2412" s="7"/>
      <c r="M2412" s="10"/>
      <c r="P2412" s="11"/>
      <c r="Q2412" s="12"/>
    </row>
    <row r="2413" spans="1:17">
      <c r="A2413" s="14">
        <v>42205</v>
      </c>
      <c r="B2413" s="8">
        <v>1280.2803903147058</v>
      </c>
      <c r="F2413" s="7"/>
      <c r="G2413" s="7"/>
      <c r="M2413" s="10"/>
      <c r="P2413" s="11"/>
      <c r="Q2413" s="12"/>
    </row>
    <row r="2414" spans="1:17">
      <c r="A2414" s="14">
        <v>42206</v>
      </c>
      <c r="B2414" s="8">
        <v>1272.3423445273479</v>
      </c>
      <c r="F2414" s="7"/>
      <c r="G2414" s="7"/>
      <c r="M2414" s="10"/>
      <c r="P2414" s="11"/>
      <c r="Q2414" s="12"/>
    </row>
    <row r="2415" spans="1:17">
      <c r="A2415" s="14">
        <v>42207</v>
      </c>
      <c r="B2415" s="8">
        <v>1268.9939158209791</v>
      </c>
      <c r="F2415" s="7"/>
      <c r="G2415" s="7"/>
      <c r="M2415" s="10"/>
      <c r="P2415" s="11"/>
      <c r="Q2415" s="12"/>
    </row>
    <row r="2416" spans="1:17">
      <c r="A2416" s="14">
        <v>42208</v>
      </c>
      <c r="B2416" s="8">
        <v>1267.3034506863689</v>
      </c>
      <c r="F2416" s="7"/>
      <c r="G2416" s="7"/>
      <c r="M2416" s="10"/>
      <c r="P2416" s="11"/>
      <c r="Q2416" s="12"/>
    </row>
    <row r="2417" spans="1:17">
      <c r="A2417" s="14">
        <v>42209</v>
      </c>
      <c r="B2417" s="8">
        <v>1257.5207890962158</v>
      </c>
      <c r="F2417" s="7"/>
      <c r="G2417" s="7"/>
      <c r="M2417" s="10"/>
      <c r="P2417" s="11"/>
      <c r="Q2417" s="12"/>
    </row>
    <row r="2418" spans="1:17">
      <c r="A2418" s="14">
        <v>42212</v>
      </c>
      <c r="B2418" s="8">
        <v>1230.6569544653823</v>
      </c>
      <c r="F2418" s="7"/>
      <c r="G2418" s="7"/>
      <c r="M2418" s="10"/>
      <c r="P2418" s="11"/>
      <c r="Q2418" s="12"/>
    </row>
    <row r="2419" spans="1:17">
      <c r="A2419" s="14">
        <v>42213</v>
      </c>
      <c r="B2419" s="8">
        <v>1244.2914658610644</v>
      </c>
      <c r="F2419" s="7"/>
      <c r="G2419" s="7"/>
      <c r="M2419" s="10"/>
      <c r="P2419" s="11"/>
      <c r="Q2419" s="12"/>
    </row>
    <row r="2420" spans="1:17">
      <c r="A2420" s="14">
        <v>42214</v>
      </c>
      <c r="B2420" s="8">
        <v>1248.484644805646</v>
      </c>
      <c r="F2420" s="7"/>
      <c r="G2420" s="7"/>
      <c r="M2420" s="10"/>
      <c r="P2420" s="11"/>
      <c r="Q2420" s="12"/>
    </row>
    <row r="2421" spans="1:17">
      <c r="A2421" s="14">
        <v>42215</v>
      </c>
      <c r="B2421" s="8">
        <v>1260.5978947203546</v>
      </c>
      <c r="F2421" s="7"/>
      <c r="G2421" s="7"/>
      <c r="M2421" s="10"/>
      <c r="P2421" s="11"/>
      <c r="Q2421" s="12"/>
    </row>
    <row r="2422" spans="1:17">
      <c r="A2422" s="14">
        <v>42216</v>
      </c>
      <c r="B2422" s="8">
        <v>1265.4032671771747</v>
      </c>
      <c r="F2422" s="7"/>
      <c r="G2422" s="7"/>
      <c r="M2422" s="10"/>
      <c r="P2422" s="11"/>
      <c r="Q2422" s="12"/>
    </row>
    <row r="2423" spans="1:17">
      <c r="A2423" s="14">
        <v>42219</v>
      </c>
      <c r="B2423" s="8">
        <v>1265.9358151112697</v>
      </c>
      <c r="F2423" s="7"/>
      <c r="G2423" s="7"/>
      <c r="M2423" s="10"/>
      <c r="P2423" s="11"/>
      <c r="Q2423" s="12"/>
    </row>
    <row r="2424" spans="1:17">
      <c r="A2424" s="14">
        <v>42220</v>
      </c>
      <c r="B2424" s="8">
        <v>1266.6682116513141</v>
      </c>
      <c r="F2424" s="7"/>
      <c r="G2424" s="7"/>
      <c r="M2424" s="10"/>
      <c r="P2424" s="11"/>
      <c r="Q2424" s="12"/>
    </row>
    <row r="2425" spans="1:17">
      <c r="A2425" s="14">
        <v>42221</v>
      </c>
      <c r="B2425" s="8">
        <v>1285.3639106809069</v>
      </c>
      <c r="F2425" s="7"/>
      <c r="G2425" s="7"/>
      <c r="M2425" s="10"/>
      <c r="P2425" s="11"/>
      <c r="Q2425" s="12"/>
    </row>
    <row r="2426" spans="1:17">
      <c r="A2426" s="14">
        <v>42222</v>
      </c>
      <c r="B2426" s="8">
        <v>1273.8302760031324</v>
      </c>
      <c r="F2426" s="7"/>
      <c r="G2426" s="7"/>
      <c r="M2426" s="10"/>
      <c r="P2426" s="11"/>
      <c r="Q2426" s="12"/>
    </row>
    <row r="2427" spans="1:17">
      <c r="A2427" s="14">
        <v>42223</v>
      </c>
      <c r="B2427" s="8">
        <v>1271.1634946069626</v>
      </c>
      <c r="F2427" s="7"/>
      <c r="G2427" s="7"/>
      <c r="M2427" s="10"/>
      <c r="P2427" s="11"/>
      <c r="Q2427" s="12"/>
    </row>
    <row r="2428" spans="1:17">
      <c r="A2428" s="14">
        <v>42226</v>
      </c>
      <c r="B2428" s="8">
        <v>1283.6961701396926</v>
      </c>
      <c r="F2428" s="7"/>
      <c r="G2428" s="7"/>
      <c r="M2428" s="10"/>
      <c r="P2428" s="11"/>
      <c r="Q2428" s="12"/>
    </row>
    <row r="2429" spans="1:17">
      <c r="A2429" s="14">
        <v>42227</v>
      </c>
      <c r="B2429" s="8">
        <v>1265.7527755359699</v>
      </c>
      <c r="F2429" s="7"/>
      <c r="G2429" s="7"/>
      <c r="M2429" s="10"/>
      <c r="P2429" s="11"/>
      <c r="Q2429" s="12"/>
    </row>
    <row r="2430" spans="1:17">
      <c r="A2430" s="14">
        <v>42228</v>
      </c>
      <c r="B2430" s="8">
        <v>1239.7807556808968</v>
      </c>
      <c r="F2430" s="7"/>
      <c r="G2430" s="7"/>
      <c r="M2430" s="10"/>
      <c r="P2430" s="11"/>
      <c r="Q2430" s="12"/>
    </row>
    <row r="2431" spans="1:17">
      <c r="A2431" s="14">
        <v>42229</v>
      </c>
      <c r="B2431" s="8">
        <v>1249.0101912872556</v>
      </c>
      <c r="F2431" s="7"/>
      <c r="G2431" s="7"/>
      <c r="M2431" s="10"/>
      <c r="P2431" s="11"/>
      <c r="Q2431" s="12"/>
    </row>
    <row r="2432" spans="1:17">
      <c r="A2432" s="14">
        <v>42230</v>
      </c>
      <c r="B2432" s="8">
        <v>1247.6812647144213</v>
      </c>
      <c r="F2432" s="7"/>
      <c r="G2432" s="7"/>
      <c r="M2432" s="10"/>
      <c r="P2432" s="11"/>
      <c r="Q2432" s="12"/>
    </row>
    <row r="2433" spans="1:17">
      <c r="A2433" s="14">
        <v>42233</v>
      </c>
      <c r="B2433" s="8">
        <v>1254.9485541931701</v>
      </c>
      <c r="F2433" s="7"/>
      <c r="G2433" s="7"/>
      <c r="M2433" s="10"/>
      <c r="P2433" s="11"/>
      <c r="Q2433" s="12"/>
    </row>
    <row r="2434" spans="1:17">
      <c r="A2434" s="14">
        <v>42234</v>
      </c>
      <c r="B2434" s="8">
        <v>1253.6266180546713</v>
      </c>
      <c r="F2434" s="7"/>
      <c r="G2434" s="7"/>
      <c r="M2434" s="10"/>
      <c r="P2434" s="11"/>
      <c r="Q2434" s="12"/>
    </row>
    <row r="2435" spans="1:17">
      <c r="A2435" s="14">
        <v>42235</v>
      </c>
      <c r="B2435" s="8">
        <v>1238.7068019583419</v>
      </c>
      <c r="F2435" s="7"/>
      <c r="G2435" s="7"/>
      <c r="M2435" s="10"/>
      <c r="P2435" s="11"/>
      <c r="Q2435" s="12"/>
    </row>
    <row r="2436" spans="1:17">
      <c r="A2436" s="14">
        <v>42236</v>
      </c>
      <c r="B2436" s="8">
        <v>1201.40394175493</v>
      </c>
      <c r="F2436" s="7"/>
      <c r="G2436" s="7"/>
      <c r="M2436" s="10"/>
      <c r="P2436" s="11"/>
      <c r="Q2436" s="12"/>
    </row>
    <row r="2437" spans="1:17">
      <c r="A2437" s="14">
        <v>42237</v>
      </c>
      <c r="B2437" s="8">
        <v>1159.2250630862629</v>
      </c>
      <c r="F2437" s="7"/>
      <c r="G2437" s="7"/>
      <c r="M2437" s="10"/>
      <c r="P2437" s="11"/>
      <c r="Q2437" s="12"/>
    </row>
    <row r="2438" spans="1:17">
      <c r="A2438" s="14">
        <v>42240</v>
      </c>
      <c r="B2438" s="8">
        <v>1105.3939825797825</v>
      </c>
      <c r="F2438" s="7"/>
      <c r="G2438" s="7"/>
      <c r="M2438" s="10"/>
      <c r="P2438" s="11"/>
      <c r="Q2438" s="12"/>
    </row>
    <row r="2439" spans="1:17">
      <c r="A2439" s="14">
        <v>42241</v>
      </c>
      <c r="B2439" s="8">
        <v>1129.4670576636172</v>
      </c>
      <c r="F2439" s="7"/>
      <c r="G2439" s="7"/>
      <c r="M2439" s="10"/>
      <c r="P2439" s="11"/>
      <c r="Q2439" s="12"/>
    </row>
    <row r="2440" spans="1:17">
      <c r="A2440" s="14">
        <v>42242</v>
      </c>
      <c r="B2440" s="8">
        <v>1147.0808678639467</v>
      </c>
      <c r="F2440" s="7"/>
      <c r="G2440" s="7"/>
      <c r="M2440" s="10"/>
      <c r="P2440" s="11"/>
      <c r="Q2440" s="12"/>
    </row>
    <row r="2441" spans="1:17">
      <c r="A2441" s="14">
        <v>42243</v>
      </c>
      <c r="B2441" s="8">
        <v>1179.8959466701644</v>
      </c>
      <c r="F2441" s="7"/>
      <c r="G2441" s="7"/>
      <c r="M2441" s="10"/>
      <c r="P2441" s="11"/>
      <c r="Q2441" s="12"/>
    </row>
    <row r="2442" spans="1:17">
      <c r="A2442" s="14">
        <v>42244</v>
      </c>
      <c r="B2442" s="8">
        <v>1182.1395364735699</v>
      </c>
      <c r="F2442" s="7"/>
      <c r="G2442" s="7"/>
      <c r="M2442" s="10"/>
      <c r="P2442" s="11"/>
      <c r="Q2442" s="12"/>
    </row>
    <row r="2443" spans="1:17">
      <c r="A2443" s="14">
        <v>42247</v>
      </c>
      <c r="B2443" s="8">
        <v>1173.5663142668593</v>
      </c>
      <c r="F2443" s="7"/>
      <c r="G2443" s="7"/>
      <c r="M2443" s="10"/>
      <c r="P2443" s="11"/>
      <c r="Q2443" s="12"/>
    </row>
    <row r="2444" spans="1:17">
      <c r="A2444" s="14">
        <v>42248</v>
      </c>
      <c r="B2444" s="8">
        <v>1136.1763877554893</v>
      </c>
      <c r="F2444" s="7"/>
      <c r="G2444" s="7"/>
      <c r="M2444" s="10"/>
      <c r="P2444" s="11"/>
      <c r="Q2444" s="12"/>
    </row>
    <row r="2445" spans="1:17">
      <c r="A2445" s="14">
        <v>42249</v>
      </c>
      <c r="B2445" s="8">
        <v>1148.7521596852114</v>
      </c>
      <c r="F2445" s="7"/>
      <c r="G2445" s="7"/>
      <c r="M2445" s="10"/>
      <c r="P2445" s="11"/>
      <c r="Q2445" s="12"/>
    </row>
    <row r="2446" spans="1:17">
      <c r="A2446" s="14">
        <v>42250</v>
      </c>
      <c r="B2446" s="8">
        <v>1161.6292325194588</v>
      </c>
      <c r="F2446" s="7"/>
      <c r="G2446" s="7"/>
      <c r="M2446" s="10"/>
      <c r="P2446" s="11"/>
      <c r="Q2446" s="12"/>
    </row>
    <row r="2447" spans="1:17">
      <c r="A2447" s="14">
        <v>42251</v>
      </c>
      <c r="B2447" s="8">
        <v>1135.2997781461904</v>
      </c>
      <c r="F2447" s="7"/>
      <c r="G2447" s="7"/>
      <c r="M2447" s="10"/>
      <c r="P2447" s="11"/>
      <c r="Q2447" s="12"/>
    </row>
    <row r="2448" spans="1:17">
      <c r="A2448" s="14">
        <v>42254</v>
      </c>
      <c r="B2448" s="8">
        <v>1136.5770636938466</v>
      </c>
      <c r="F2448" s="7"/>
      <c r="G2448" s="7"/>
      <c r="M2448" s="10"/>
      <c r="P2448" s="11"/>
      <c r="Q2448" s="12"/>
    </row>
    <row r="2449" spans="1:17">
      <c r="A2449" s="14">
        <v>42255</v>
      </c>
      <c r="B2449" s="8">
        <v>1158.2621341562535</v>
      </c>
      <c r="F2449" s="7"/>
      <c r="G2449" s="7"/>
      <c r="M2449" s="10"/>
      <c r="P2449" s="11"/>
      <c r="Q2449" s="12"/>
    </row>
    <row r="2450" spans="1:17">
      <c r="A2450" s="14">
        <v>42256</v>
      </c>
      <c r="B2450" s="8">
        <v>1156.5244788947589</v>
      </c>
      <c r="F2450" s="7"/>
      <c r="G2450" s="7"/>
      <c r="M2450" s="10"/>
      <c r="P2450" s="11"/>
      <c r="Q2450" s="12"/>
    </row>
    <row r="2451" spans="1:17">
      <c r="A2451" s="14">
        <v>42257</v>
      </c>
      <c r="B2451" s="8">
        <v>1152.3993223149589</v>
      </c>
      <c r="F2451" s="7"/>
      <c r="G2451" s="7"/>
      <c r="M2451" s="10"/>
      <c r="P2451" s="11"/>
      <c r="Q2451" s="12"/>
    </row>
    <row r="2452" spans="1:17">
      <c r="A2452" s="14">
        <v>42258</v>
      </c>
      <c r="B2452" s="8">
        <v>1145.4869530585668</v>
      </c>
      <c r="F2452" s="7"/>
      <c r="G2452" s="7"/>
      <c r="M2452" s="10"/>
      <c r="P2452" s="11"/>
      <c r="Q2452" s="12"/>
    </row>
    <row r="2453" spans="1:17">
      <c r="A2453" s="14">
        <v>42261</v>
      </c>
      <c r="B2453" s="8">
        <v>1138.1003594172653</v>
      </c>
      <c r="F2453" s="7"/>
      <c r="G2453" s="7"/>
      <c r="M2453" s="10"/>
      <c r="P2453" s="11"/>
      <c r="Q2453" s="12"/>
    </row>
    <row r="2454" spans="1:17">
      <c r="A2454" s="14">
        <v>42262</v>
      </c>
      <c r="B2454" s="8">
        <v>1154.6828241326687</v>
      </c>
      <c r="F2454" s="7"/>
      <c r="G2454" s="7"/>
      <c r="M2454" s="10"/>
      <c r="P2454" s="11"/>
      <c r="Q2454" s="12"/>
    </row>
    <row r="2455" spans="1:17">
      <c r="A2455" s="14">
        <v>42263</v>
      </c>
      <c r="B2455" s="8">
        <v>1167.1486229045101</v>
      </c>
      <c r="F2455" s="7"/>
      <c r="G2455" s="7"/>
      <c r="M2455" s="10"/>
      <c r="P2455" s="11"/>
      <c r="Q2455" s="12"/>
    </row>
    <row r="2456" spans="1:17">
      <c r="A2456" s="14">
        <v>42264</v>
      </c>
      <c r="B2456" s="8">
        <v>1164.4225055073637</v>
      </c>
      <c r="F2456" s="7"/>
      <c r="G2456" s="7"/>
      <c r="M2456" s="10"/>
      <c r="P2456" s="11"/>
      <c r="Q2456" s="12"/>
    </row>
    <row r="2457" spans="1:17">
      <c r="A2457" s="14">
        <v>42265</v>
      </c>
      <c r="B2457" s="8">
        <v>1139.2162481751918</v>
      </c>
      <c r="F2457" s="7"/>
      <c r="G2457" s="7"/>
      <c r="M2457" s="10"/>
      <c r="P2457" s="11"/>
      <c r="Q2457" s="12"/>
    </row>
    <row r="2458" spans="1:17">
      <c r="A2458" s="14">
        <v>42268</v>
      </c>
      <c r="B2458" s="8">
        <v>1147.3127615531128</v>
      </c>
      <c r="F2458" s="7"/>
      <c r="G2458" s="7"/>
      <c r="M2458" s="10"/>
      <c r="P2458" s="11"/>
      <c r="Q2458" s="12"/>
    </row>
    <row r="2459" spans="1:17">
      <c r="A2459" s="14">
        <v>42269</v>
      </c>
      <c r="B2459" s="8">
        <v>1122.1294975751637</v>
      </c>
      <c r="F2459" s="7"/>
      <c r="G2459" s="7"/>
      <c r="M2459" s="10"/>
      <c r="P2459" s="11"/>
      <c r="Q2459" s="12"/>
    </row>
    <row r="2460" spans="1:17">
      <c r="A2460" s="14">
        <v>42270</v>
      </c>
      <c r="B2460" s="8">
        <v>1116.7426816726722</v>
      </c>
      <c r="F2460" s="7"/>
      <c r="G2460" s="7"/>
      <c r="M2460" s="10"/>
      <c r="P2460" s="11"/>
      <c r="Q2460" s="12"/>
    </row>
    <row r="2461" spans="1:17">
      <c r="A2461" s="14">
        <v>42271</v>
      </c>
      <c r="B2461" s="8">
        <v>1105.4017032517086</v>
      </c>
      <c r="F2461" s="7"/>
      <c r="G2461" s="7"/>
      <c r="M2461" s="10"/>
      <c r="P2461" s="11"/>
      <c r="Q2461" s="12"/>
    </row>
    <row r="2462" spans="1:17">
      <c r="A2462" s="14">
        <v>42272</v>
      </c>
      <c r="B2462" s="8">
        <v>1124.4225655627943</v>
      </c>
      <c r="F2462" s="7"/>
      <c r="G2462" s="7"/>
      <c r="M2462" s="10"/>
      <c r="P2462" s="11"/>
      <c r="Q2462" s="12"/>
    </row>
    <row r="2463" spans="1:17">
      <c r="A2463" s="14">
        <v>42275</v>
      </c>
      <c r="B2463" s="8">
        <v>1094.5537344489583</v>
      </c>
      <c r="F2463" s="7"/>
      <c r="G2463" s="7"/>
      <c r="M2463" s="10"/>
      <c r="P2463" s="11"/>
      <c r="Q2463" s="12"/>
    </row>
    <row r="2464" spans="1:17">
      <c r="A2464" s="14">
        <v>42276</v>
      </c>
      <c r="B2464" s="8">
        <v>1094.5634112491748</v>
      </c>
      <c r="F2464" s="7"/>
      <c r="G2464" s="7"/>
      <c r="M2464" s="10"/>
      <c r="P2464" s="11"/>
      <c r="Q2464" s="12"/>
    </row>
    <row r="2465" spans="1:17">
      <c r="A2465" s="14">
        <v>42277</v>
      </c>
      <c r="B2465" s="8">
        <v>1121.5771988497495</v>
      </c>
      <c r="F2465" s="7"/>
      <c r="G2465" s="7"/>
      <c r="M2465" s="10"/>
      <c r="P2465" s="11"/>
      <c r="Q2465" s="12"/>
    </row>
    <row r="2466" spans="1:17">
      <c r="A2466" s="14">
        <v>42278</v>
      </c>
      <c r="B2466" s="8">
        <v>1118.4260342511939</v>
      </c>
      <c r="F2466" s="7"/>
      <c r="G2466" s="7"/>
      <c r="M2466" s="10"/>
      <c r="P2466" s="11"/>
      <c r="Q2466" s="12"/>
    </row>
    <row r="2467" spans="1:17">
      <c r="A2467" s="14">
        <v>42279</v>
      </c>
      <c r="B2467" s="8">
        <v>1125.1980192487792</v>
      </c>
      <c r="F2467" s="7"/>
      <c r="G2467" s="7"/>
      <c r="M2467" s="10"/>
      <c r="P2467" s="11"/>
      <c r="Q2467" s="12"/>
    </row>
    <row r="2468" spans="1:17">
      <c r="A2468" s="14">
        <v>42282</v>
      </c>
      <c r="B2468" s="8">
        <v>1156.1893573787231</v>
      </c>
      <c r="F2468" s="7"/>
      <c r="G2468" s="7"/>
      <c r="M2468" s="10"/>
      <c r="P2468" s="11"/>
      <c r="Q2468" s="12"/>
    </row>
    <row r="2469" spans="1:17">
      <c r="A2469" s="14">
        <v>42283</v>
      </c>
      <c r="B2469" s="8">
        <v>1159.6626551487893</v>
      </c>
      <c r="F2469" s="7"/>
      <c r="G2469" s="7"/>
      <c r="M2469" s="10"/>
      <c r="P2469" s="11"/>
      <c r="Q2469" s="12"/>
    </row>
    <row r="2470" spans="1:17">
      <c r="A2470" s="14">
        <v>42284</v>
      </c>
      <c r="B2470" s="8">
        <v>1161.4693377343447</v>
      </c>
      <c r="F2470" s="7"/>
      <c r="G2470" s="7"/>
      <c r="M2470" s="10"/>
      <c r="P2470" s="11"/>
      <c r="Q2470" s="12"/>
    </row>
    <row r="2471" spans="1:17">
      <c r="A2471" s="14">
        <v>42285</v>
      </c>
      <c r="B2471" s="8">
        <v>1165.2070349027106</v>
      </c>
      <c r="F2471" s="7"/>
      <c r="G2471" s="7"/>
      <c r="M2471" s="10"/>
      <c r="P2471" s="11"/>
      <c r="Q2471" s="12"/>
    </row>
    <row r="2472" spans="1:17">
      <c r="A2472" s="14">
        <v>42286</v>
      </c>
      <c r="B2472" s="8">
        <v>1169.1628642957298</v>
      </c>
      <c r="F2472" s="7"/>
      <c r="G2472" s="7"/>
      <c r="M2472" s="10"/>
      <c r="P2472" s="11"/>
      <c r="Q2472" s="12"/>
    </row>
    <row r="2473" spans="1:17">
      <c r="A2473" s="14">
        <v>42289</v>
      </c>
      <c r="B2473" s="8">
        <v>1167.766632339348</v>
      </c>
      <c r="F2473" s="7"/>
      <c r="G2473" s="7"/>
      <c r="M2473" s="10"/>
      <c r="P2473" s="11"/>
      <c r="Q2473" s="12"/>
    </row>
    <row r="2474" spans="1:17">
      <c r="A2474" s="14">
        <v>42290</v>
      </c>
      <c r="B2474" s="8">
        <v>1157.5053248572544</v>
      </c>
      <c r="F2474" s="7"/>
      <c r="G2474" s="7"/>
      <c r="M2474" s="10"/>
      <c r="P2474" s="11"/>
      <c r="Q2474" s="12"/>
    </row>
    <row r="2475" spans="1:17">
      <c r="A2475" s="14">
        <v>42291</v>
      </c>
      <c r="B2475" s="8">
        <v>1149.6899890496295</v>
      </c>
      <c r="F2475" s="7"/>
      <c r="G2475" s="7"/>
      <c r="M2475" s="10"/>
      <c r="P2475" s="11"/>
      <c r="Q2475" s="12"/>
    </row>
    <row r="2476" spans="1:17">
      <c r="A2476" s="14">
        <v>42292</v>
      </c>
      <c r="B2476" s="8">
        <v>1166.6084911791338</v>
      </c>
      <c r="F2476" s="7"/>
      <c r="G2476" s="7"/>
      <c r="M2476" s="10"/>
      <c r="P2476" s="11"/>
      <c r="Q2476" s="12"/>
    </row>
    <row r="2477" spans="1:17">
      <c r="A2477" s="14">
        <v>42293</v>
      </c>
      <c r="B2477" s="8">
        <v>1171.6728279591296</v>
      </c>
      <c r="F2477" s="7"/>
      <c r="G2477" s="7"/>
      <c r="M2477" s="10"/>
      <c r="P2477" s="11"/>
      <c r="Q2477" s="12"/>
    </row>
    <row r="2478" spans="1:17">
      <c r="A2478" s="14">
        <v>42296</v>
      </c>
      <c r="B2478" s="8">
        <v>1172.3125380692841</v>
      </c>
      <c r="F2478" s="7"/>
      <c r="G2478" s="7"/>
      <c r="M2478" s="10"/>
      <c r="P2478" s="11"/>
      <c r="Q2478" s="12"/>
    </row>
    <row r="2479" spans="1:17">
      <c r="A2479" s="14">
        <v>42297</v>
      </c>
      <c r="B2479" s="8">
        <v>1164.5899370509662</v>
      </c>
      <c r="F2479" s="7"/>
      <c r="G2479" s="7"/>
      <c r="M2479" s="10"/>
      <c r="P2479" s="11"/>
      <c r="Q2479" s="12"/>
    </row>
    <row r="2480" spans="1:17">
      <c r="A2480" s="14">
        <v>42298</v>
      </c>
      <c r="B2480" s="8">
        <v>1164.6407027978335</v>
      </c>
      <c r="F2480" s="7"/>
      <c r="G2480" s="7"/>
      <c r="M2480" s="10"/>
      <c r="P2480" s="11"/>
      <c r="Q2480" s="12"/>
    </row>
    <row r="2481" spans="1:17">
      <c r="A2481" s="14">
        <v>42299</v>
      </c>
      <c r="B2481" s="8">
        <v>1191.7259366226449</v>
      </c>
      <c r="F2481" s="7"/>
      <c r="G2481" s="7"/>
      <c r="M2481" s="10"/>
      <c r="P2481" s="11"/>
      <c r="Q2481" s="12"/>
    </row>
    <row r="2482" spans="1:17">
      <c r="A2482" s="14">
        <v>42300</v>
      </c>
      <c r="B2482" s="8">
        <v>1210.3790160352344</v>
      </c>
      <c r="F2482" s="7"/>
      <c r="G2482" s="7"/>
      <c r="M2482" s="10"/>
      <c r="P2482" s="11"/>
      <c r="Q2482" s="12"/>
    </row>
    <row r="2483" spans="1:17">
      <c r="A2483" s="14">
        <v>42303</v>
      </c>
      <c r="B2483" s="8">
        <v>1208.4884861815005</v>
      </c>
      <c r="F2483" s="7"/>
      <c r="G2483" s="7"/>
      <c r="M2483" s="10"/>
      <c r="P2483" s="11"/>
      <c r="Q2483" s="12"/>
    </row>
    <row r="2484" spans="1:17">
      <c r="A2484" s="14">
        <v>42304</v>
      </c>
      <c r="B2484" s="8">
        <v>1198.9357178506282</v>
      </c>
      <c r="F2484" s="7"/>
      <c r="G2484" s="7"/>
      <c r="M2484" s="10"/>
      <c r="P2484" s="11"/>
      <c r="Q2484" s="12"/>
    </row>
    <row r="2485" spans="1:17">
      <c r="A2485" s="14">
        <v>42305</v>
      </c>
      <c r="B2485" s="8">
        <v>1210.3643308561138</v>
      </c>
      <c r="F2485" s="7"/>
      <c r="G2485" s="7"/>
      <c r="M2485" s="10"/>
      <c r="P2485" s="11"/>
      <c r="Q2485" s="12"/>
    </row>
    <row r="2486" spans="1:17">
      <c r="A2486" s="14">
        <v>42306</v>
      </c>
      <c r="B2486" s="8">
        <v>1199.2557143107115</v>
      </c>
      <c r="F2486" s="7"/>
      <c r="G2486" s="7"/>
      <c r="M2486" s="10"/>
      <c r="P2486" s="11"/>
      <c r="Q2486" s="12"/>
    </row>
    <row r="2487" spans="1:17">
      <c r="A2487" s="14">
        <v>42307</v>
      </c>
      <c r="B2487" s="8">
        <v>1198.158674757072</v>
      </c>
      <c r="F2487" s="7"/>
      <c r="G2487" s="7"/>
      <c r="M2487" s="10"/>
      <c r="P2487" s="11"/>
      <c r="Q2487" s="12"/>
    </row>
    <row r="2488" spans="1:17">
      <c r="A2488" s="14">
        <v>42310</v>
      </c>
      <c r="B2488" s="8">
        <v>1204.0847703327779</v>
      </c>
      <c r="F2488" s="7"/>
      <c r="G2488" s="7"/>
      <c r="M2488" s="10"/>
      <c r="P2488" s="11"/>
      <c r="Q2488" s="12"/>
    </row>
    <row r="2489" spans="1:17">
      <c r="A2489" s="14">
        <v>42311</v>
      </c>
      <c r="B2489" s="8">
        <v>1205.4231989448954</v>
      </c>
      <c r="F2489" s="7"/>
      <c r="G2489" s="7"/>
      <c r="M2489" s="10"/>
      <c r="P2489" s="11"/>
      <c r="Q2489" s="12"/>
    </row>
    <row r="2490" spans="1:17">
      <c r="A2490" s="14">
        <v>42312</v>
      </c>
      <c r="B2490" s="8">
        <v>1210.9052545282907</v>
      </c>
      <c r="F2490" s="7"/>
      <c r="G2490" s="7"/>
      <c r="M2490" s="10"/>
      <c r="P2490" s="11"/>
      <c r="Q2490" s="12"/>
    </row>
    <row r="2491" spans="1:17">
      <c r="A2491" s="14">
        <v>42313</v>
      </c>
      <c r="B2491" s="8">
        <v>1208.8366683036593</v>
      </c>
      <c r="F2491" s="7"/>
      <c r="G2491" s="7"/>
      <c r="M2491" s="10"/>
      <c r="P2491" s="11"/>
      <c r="Q2491" s="12"/>
    </row>
    <row r="2492" spans="1:17">
      <c r="A2492" s="14">
        <v>42314</v>
      </c>
      <c r="B2492" s="8">
        <v>1232.503091481982</v>
      </c>
      <c r="F2492" s="7"/>
      <c r="G2492" s="7"/>
      <c r="M2492" s="10"/>
      <c r="P2492" s="11"/>
      <c r="Q2492" s="12"/>
    </row>
    <row r="2493" spans="1:17">
      <c r="A2493" s="14">
        <v>42317</v>
      </c>
      <c r="B2493" s="8">
        <v>1212.8786880788521</v>
      </c>
      <c r="F2493" s="7"/>
      <c r="G2493" s="7"/>
      <c r="M2493" s="10"/>
      <c r="P2493" s="11"/>
      <c r="Q2493" s="12"/>
    </row>
    <row r="2494" spans="1:17">
      <c r="A2494" s="14">
        <v>42318</v>
      </c>
      <c r="B2494" s="8">
        <v>1212.9635033566865</v>
      </c>
      <c r="F2494" s="7"/>
      <c r="G2494" s="7"/>
      <c r="M2494" s="10"/>
      <c r="P2494" s="11"/>
      <c r="Q2494" s="12"/>
    </row>
    <row r="2495" spans="1:17">
      <c r="A2495" s="14">
        <v>42319</v>
      </c>
      <c r="B2495" s="8">
        <v>1215.6323344183525</v>
      </c>
      <c r="F2495" s="7"/>
      <c r="G2495" s="7"/>
      <c r="M2495" s="10"/>
      <c r="P2495" s="11"/>
      <c r="Q2495" s="12"/>
    </row>
    <row r="2496" spans="1:17">
      <c r="A2496" s="14">
        <v>42320</v>
      </c>
      <c r="B2496" s="8">
        <v>1197.237988531185</v>
      </c>
      <c r="F2496" s="7"/>
      <c r="G2496" s="7"/>
      <c r="M2496" s="10"/>
      <c r="P2496" s="11"/>
      <c r="Q2496" s="12"/>
    </row>
    <row r="2497" spans="1:17">
      <c r="A2497" s="14">
        <v>42321</v>
      </c>
      <c r="B2497" s="8">
        <v>1181.836627191984</v>
      </c>
      <c r="F2497" s="7"/>
      <c r="G2497" s="7"/>
      <c r="M2497" s="10"/>
      <c r="P2497" s="11"/>
      <c r="Q2497" s="12"/>
    </row>
    <row r="2498" spans="1:17">
      <c r="A2498" s="14">
        <v>42324</v>
      </c>
      <c r="B2498" s="8">
        <v>1189.266311506954</v>
      </c>
      <c r="F2498" s="7"/>
      <c r="G2498" s="7"/>
      <c r="M2498" s="10"/>
      <c r="P2498" s="11"/>
      <c r="Q2498" s="12"/>
    </row>
    <row r="2499" spans="1:17">
      <c r="A2499" s="14">
        <v>42325</v>
      </c>
      <c r="B2499" s="8">
        <v>1206.7656235161205</v>
      </c>
      <c r="F2499" s="7"/>
      <c r="G2499" s="7"/>
      <c r="M2499" s="10"/>
      <c r="P2499" s="11"/>
      <c r="Q2499" s="12"/>
    </row>
    <row r="2500" spans="1:17">
      <c r="A2500" s="14">
        <v>42326</v>
      </c>
      <c r="B2500" s="8">
        <v>1208.5394214055641</v>
      </c>
      <c r="F2500" s="7"/>
      <c r="G2500" s="7"/>
      <c r="M2500" s="10"/>
      <c r="P2500" s="11"/>
      <c r="Q2500" s="12"/>
    </row>
    <row r="2501" spans="1:17">
      <c r="A2501" s="14">
        <v>42327</v>
      </c>
      <c r="B2501" s="8">
        <v>1215.4837667336699</v>
      </c>
      <c r="F2501" s="7"/>
      <c r="G2501" s="7"/>
      <c r="M2501" s="10"/>
      <c r="P2501" s="11"/>
      <c r="Q2501" s="12"/>
    </row>
    <row r="2502" spans="1:17">
      <c r="A2502" s="14">
        <v>42328</v>
      </c>
      <c r="B2502" s="8">
        <v>1219.4600362575579</v>
      </c>
      <c r="F2502" s="7"/>
      <c r="G2502" s="7"/>
      <c r="M2502" s="10"/>
      <c r="P2502" s="11"/>
      <c r="Q2502" s="12"/>
    </row>
    <row r="2503" spans="1:17">
      <c r="A2503" s="14">
        <v>42331</v>
      </c>
      <c r="B2503" s="8">
        <v>1216.026015057382</v>
      </c>
      <c r="F2503" s="7"/>
      <c r="G2503" s="7"/>
      <c r="M2503" s="10"/>
      <c r="P2503" s="11"/>
      <c r="Q2503" s="12"/>
    </row>
    <row r="2504" spans="1:17">
      <c r="A2504" s="14">
        <v>42332</v>
      </c>
      <c r="B2504" s="8">
        <v>1206.6527011787146</v>
      </c>
      <c r="F2504" s="7"/>
      <c r="G2504" s="7"/>
      <c r="M2504" s="10"/>
      <c r="P2504" s="11"/>
      <c r="Q2504" s="12"/>
    </row>
    <row r="2505" spans="1:17">
      <c r="A2505" s="14">
        <v>42333</v>
      </c>
      <c r="B2505" s="8">
        <v>1215.6416079727762</v>
      </c>
      <c r="F2505" s="7"/>
      <c r="G2505" s="7"/>
      <c r="M2505" s="10"/>
      <c r="P2505" s="11"/>
      <c r="Q2505" s="12"/>
    </row>
    <row r="2506" spans="1:17">
      <c r="A2506" s="14">
        <v>42334</v>
      </c>
      <c r="B2506" s="8">
        <v>1226.7287728056169</v>
      </c>
      <c r="F2506" s="7"/>
      <c r="G2506" s="7"/>
      <c r="M2506" s="10"/>
      <c r="P2506" s="11"/>
      <c r="Q2506" s="12"/>
    </row>
    <row r="2507" spans="1:17">
      <c r="A2507" s="14">
        <v>42335</v>
      </c>
      <c r="B2507" s="8">
        <v>1229.017504748417</v>
      </c>
      <c r="F2507" s="7"/>
      <c r="G2507" s="7"/>
      <c r="M2507" s="10"/>
      <c r="P2507" s="11"/>
      <c r="Q2507" s="12"/>
    </row>
    <row r="2508" spans="1:17">
      <c r="A2508" s="14">
        <v>42338</v>
      </c>
      <c r="B2508" s="8">
        <v>1233.3554712905686</v>
      </c>
      <c r="F2508" s="7"/>
      <c r="G2508" s="7"/>
      <c r="M2508" s="10"/>
      <c r="P2508" s="11"/>
      <c r="Q2508" s="12"/>
    </row>
    <row r="2509" spans="1:17">
      <c r="A2509" s="14">
        <v>42339</v>
      </c>
      <c r="B2509" s="8">
        <v>1237.5164744723913</v>
      </c>
      <c r="F2509" s="7"/>
      <c r="G2509" s="7"/>
      <c r="M2509" s="10"/>
      <c r="P2509" s="11"/>
      <c r="Q2509" s="12"/>
    </row>
    <row r="2510" spans="1:17">
      <c r="A2510" s="14">
        <v>42340</v>
      </c>
      <c r="B2510" s="8">
        <v>1233.9508980026594</v>
      </c>
      <c r="F2510" s="7"/>
      <c r="G2510" s="7"/>
      <c r="M2510" s="10"/>
      <c r="P2510" s="11"/>
      <c r="Q2510" s="12"/>
    </row>
    <row r="2511" spans="1:17">
      <c r="A2511" s="14">
        <v>42341</v>
      </c>
      <c r="B2511" s="8">
        <v>1206.9837072233406</v>
      </c>
      <c r="F2511" s="7"/>
      <c r="G2511" s="7"/>
      <c r="M2511" s="10"/>
      <c r="P2511" s="11"/>
      <c r="Q2511" s="12"/>
    </row>
    <row r="2512" spans="1:17">
      <c r="A2512" s="14">
        <v>42342</v>
      </c>
      <c r="B2512" s="8">
        <v>1222.0565395983424</v>
      </c>
      <c r="F2512" s="7"/>
      <c r="G2512" s="7"/>
      <c r="M2512" s="10"/>
      <c r="P2512" s="11"/>
      <c r="Q2512" s="12"/>
    </row>
    <row r="2513" spans="1:17">
      <c r="A2513" s="14">
        <v>42345</v>
      </c>
      <c r="B2513" s="8">
        <v>1217.6719925845018</v>
      </c>
      <c r="F2513" s="7"/>
      <c r="G2513" s="7"/>
      <c r="M2513" s="10"/>
      <c r="P2513" s="11"/>
      <c r="Q2513" s="12"/>
    </row>
    <row r="2514" spans="1:17">
      <c r="A2514" s="14">
        <v>42346</v>
      </c>
      <c r="B2514" s="8">
        <v>1200.0897982915362</v>
      </c>
      <c r="F2514" s="7"/>
      <c r="G2514" s="7"/>
      <c r="M2514" s="10"/>
      <c r="P2514" s="11"/>
      <c r="Q2514" s="12"/>
    </row>
    <row r="2515" spans="1:17">
      <c r="A2515" s="14">
        <v>42347</v>
      </c>
      <c r="B2515" s="8">
        <v>1186.9419418493494</v>
      </c>
      <c r="F2515" s="7"/>
      <c r="G2515" s="7"/>
      <c r="M2515" s="10"/>
      <c r="P2515" s="11"/>
      <c r="Q2515" s="12"/>
    </row>
    <row r="2516" spans="1:17">
      <c r="A2516" s="14">
        <v>42348</v>
      </c>
      <c r="B2516" s="8">
        <v>1184.0964946992872</v>
      </c>
      <c r="F2516" s="7"/>
      <c r="G2516" s="7"/>
      <c r="M2516" s="10"/>
      <c r="P2516" s="11"/>
      <c r="Q2516" s="12"/>
    </row>
    <row r="2517" spans="1:17">
      <c r="A2517" s="14">
        <v>42349</v>
      </c>
      <c r="B2517" s="8">
        <v>1161.4986573265619</v>
      </c>
      <c r="F2517" s="7"/>
      <c r="G2517" s="7"/>
      <c r="M2517" s="10"/>
      <c r="P2517" s="11"/>
      <c r="Q2517" s="12"/>
    </row>
    <row r="2518" spans="1:17">
      <c r="A2518" s="14">
        <v>42352</v>
      </c>
      <c r="B2518" s="8">
        <v>1153.6908142470616</v>
      </c>
      <c r="F2518" s="7"/>
      <c r="G2518" s="7"/>
      <c r="M2518" s="10"/>
      <c r="P2518" s="11"/>
      <c r="Q2518" s="12"/>
    </row>
    <row r="2519" spans="1:17">
      <c r="A2519" s="14">
        <v>42353</v>
      </c>
      <c r="B2519" s="8">
        <v>1180.0841491421641</v>
      </c>
      <c r="F2519" s="7"/>
      <c r="G2519" s="7"/>
      <c r="M2519" s="10"/>
      <c r="P2519" s="11"/>
      <c r="Q2519" s="12"/>
    </row>
    <row r="2520" spans="1:17">
      <c r="A2520" s="14">
        <v>42354</v>
      </c>
      <c r="B2520" s="8">
        <v>1188.0673102574754</v>
      </c>
      <c r="F2520" s="7"/>
      <c r="G2520" s="7"/>
      <c r="M2520" s="10"/>
      <c r="P2520" s="11"/>
      <c r="Q2520" s="12"/>
    </row>
    <row r="2521" spans="1:17">
      <c r="A2521" s="14">
        <v>42355</v>
      </c>
      <c r="B2521" s="8">
        <v>1191.8700947894076</v>
      </c>
      <c r="F2521" s="7"/>
      <c r="G2521" s="7"/>
      <c r="M2521" s="10"/>
      <c r="P2521" s="11"/>
      <c r="Q2521" s="12"/>
    </row>
    <row r="2522" spans="1:17">
      <c r="A2522" s="14">
        <v>42356</v>
      </c>
      <c r="B2522" s="8">
        <v>1170.2347699168599</v>
      </c>
      <c r="F2522" s="7"/>
      <c r="G2522" s="7"/>
      <c r="M2522" s="10"/>
      <c r="P2522" s="11"/>
      <c r="Q2522" s="12"/>
    </row>
    <row r="2523" spans="1:17">
      <c r="A2523" s="14">
        <v>42359</v>
      </c>
      <c r="B2523" s="8">
        <v>1168.5000473916684</v>
      </c>
      <c r="F2523" s="7"/>
      <c r="G2523" s="7"/>
      <c r="M2523" s="10"/>
      <c r="P2523" s="11"/>
      <c r="Q2523" s="12"/>
    </row>
    <row r="2524" spans="1:17">
      <c r="A2524" s="14">
        <v>42360</v>
      </c>
      <c r="B2524" s="8">
        <v>1171.3477019487846</v>
      </c>
      <c r="F2524" s="7"/>
      <c r="G2524" s="7"/>
      <c r="M2524" s="10"/>
      <c r="P2524" s="11"/>
      <c r="Q2524" s="12"/>
    </row>
    <row r="2525" spans="1:17">
      <c r="A2525" s="14">
        <v>42361</v>
      </c>
      <c r="B2525" s="8">
        <v>1188.6088213868184</v>
      </c>
      <c r="F2525" s="7"/>
      <c r="G2525" s="7"/>
      <c r="M2525" s="10"/>
      <c r="P2525" s="11"/>
      <c r="Q2525" s="12"/>
    </row>
    <row r="2526" spans="1:17">
      <c r="A2526" s="14">
        <v>42362</v>
      </c>
      <c r="B2526" s="8">
        <v>1186.952021548562</v>
      </c>
      <c r="F2526" s="7"/>
      <c r="G2526" s="7"/>
      <c r="M2526" s="10"/>
      <c r="P2526" s="11"/>
      <c r="Q2526" s="12"/>
    </row>
    <row r="2527" spans="1:17">
      <c r="A2527" s="14">
        <v>42363</v>
      </c>
      <c r="B2527" s="8">
        <v>1186.5703288711286</v>
      </c>
      <c r="F2527" s="7"/>
      <c r="G2527" s="7"/>
      <c r="M2527" s="10"/>
      <c r="P2527" s="11"/>
      <c r="Q2527" s="12"/>
    </row>
    <row r="2528" spans="1:17">
      <c r="A2528" s="14">
        <v>42366</v>
      </c>
      <c r="B2528" s="8">
        <v>1180.8231623948107</v>
      </c>
      <c r="F2528" s="7"/>
      <c r="G2528" s="7"/>
      <c r="M2528" s="10"/>
      <c r="P2528" s="11"/>
      <c r="Q2528" s="12"/>
    </row>
    <row r="2529" spans="1:17">
      <c r="A2529" s="14">
        <v>42367</v>
      </c>
      <c r="B2529" s="8">
        <v>1198.88308601431</v>
      </c>
      <c r="F2529" s="7"/>
      <c r="G2529" s="7"/>
      <c r="M2529" s="10"/>
      <c r="P2529" s="11"/>
      <c r="Q2529" s="12"/>
    </row>
    <row r="2530" spans="1:17">
      <c r="A2530" s="14">
        <v>42368</v>
      </c>
      <c r="B2530" s="8">
        <v>1190.0170973380582</v>
      </c>
      <c r="F2530" s="7"/>
      <c r="G2530" s="7"/>
      <c r="M2530" s="10"/>
      <c r="P2530" s="11"/>
      <c r="Q2530" s="12"/>
    </row>
    <row r="2531" spans="1:17">
      <c r="A2531" s="14">
        <v>42369</v>
      </c>
      <c r="B2531" s="8">
        <v>1177.9646220638988</v>
      </c>
      <c r="F2531" s="7"/>
      <c r="G2531" s="7"/>
      <c r="M2531" s="10"/>
      <c r="P2531" s="11"/>
      <c r="Q2531" s="12"/>
    </row>
    <row r="2532" spans="1:17">
      <c r="A2532" s="14">
        <v>42370</v>
      </c>
      <c r="B2532" s="8">
        <v>1177.5829293864647</v>
      </c>
      <c r="F2532" s="7"/>
      <c r="G2532" s="7"/>
      <c r="M2532" s="10"/>
      <c r="P2532" s="11"/>
      <c r="Q2532" s="12"/>
    </row>
    <row r="2533" spans="1:17">
      <c r="A2533" s="14">
        <v>42373</v>
      </c>
      <c r="B2533" s="8">
        <v>1145.0664253434863</v>
      </c>
      <c r="F2533" s="7"/>
      <c r="G2533" s="7"/>
      <c r="M2533" s="10"/>
      <c r="P2533" s="11"/>
      <c r="Q2533" s="12"/>
    </row>
    <row r="2534" spans="1:17">
      <c r="A2534" s="14">
        <v>42374</v>
      </c>
      <c r="B2534" s="8">
        <v>1145.1469869135249</v>
      </c>
      <c r="F2534" s="7"/>
      <c r="G2534" s="7"/>
      <c r="M2534" s="10"/>
      <c r="P2534" s="11"/>
      <c r="Q2534" s="12"/>
    </row>
    <row r="2535" spans="1:17">
      <c r="A2535" s="14">
        <v>42375</v>
      </c>
      <c r="B2535" s="8">
        <v>1125.6809505238357</v>
      </c>
      <c r="F2535" s="7"/>
      <c r="G2535" s="7"/>
      <c r="M2535" s="10"/>
      <c r="P2535" s="11"/>
      <c r="Q2535" s="12"/>
    </row>
    <row r="2536" spans="1:17">
      <c r="A2536" s="14">
        <v>42376</v>
      </c>
      <c r="B2536" s="8">
        <v>1096.7327752041761</v>
      </c>
      <c r="F2536" s="7"/>
      <c r="G2536" s="7"/>
      <c r="M2536" s="10"/>
      <c r="P2536" s="11"/>
      <c r="Q2536" s="12"/>
    </row>
    <row r="2537" spans="1:17">
      <c r="A2537" s="14">
        <v>42377</v>
      </c>
      <c r="B2537" s="8">
        <v>1078.1688110450068</v>
      </c>
      <c r="F2537" s="7"/>
      <c r="G2537" s="7"/>
      <c r="M2537" s="10"/>
      <c r="P2537" s="11"/>
      <c r="Q2537" s="12"/>
    </row>
    <row r="2538" spans="1:17">
      <c r="A2538" s="14">
        <v>42380</v>
      </c>
      <c r="B2538" s="8">
        <v>1080.1342721795513</v>
      </c>
      <c r="F2538" s="7"/>
      <c r="G2538" s="7"/>
      <c r="M2538" s="10"/>
      <c r="P2538" s="11"/>
      <c r="Q2538" s="12"/>
    </row>
    <row r="2539" spans="1:17">
      <c r="A2539" s="14">
        <v>42381</v>
      </c>
      <c r="B2539" s="8">
        <v>1091.9107176437528</v>
      </c>
      <c r="F2539" s="7"/>
      <c r="G2539" s="7"/>
      <c r="M2539" s="10"/>
      <c r="P2539" s="11"/>
      <c r="Q2539" s="12"/>
    </row>
    <row r="2540" spans="1:17">
      <c r="A2540" s="14">
        <v>42382</v>
      </c>
      <c r="B2540" s="8">
        <v>1070.7866928995802</v>
      </c>
      <c r="F2540" s="7"/>
      <c r="G2540" s="7"/>
      <c r="M2540" s="10"/>
      <c r="P2540" s="11"/>
      <c r="Q2540" s="12"/>
    </row>
    <row r="2541" spans="1:17">
      <c r="A2541" s="14">
        <v>42383</v>
      </c>
      <c r="B2541" s="8">
        <v>1066.8607377462886</v>
      </c>
      <c r="F2541" s="7"/>
      <c r="G2541" s="7"/>
      <c r="M2541" s="10"/>
      <c r="P2541" s="11"/>
      <c r="Q2541" s="12"/>
    </row>
    <row r="2542" spans="1:17">
      <c r="A2542" s="14">
        <v>42384</v>
      </c>
      <c r="B2542" s="8">
        <v>1037.0162216265458</v>
      </c>
      <c r="F2542" s="7"/>
      <c r="G2542" s="7"/>
      <c r="M2542" s="10"/>
      <c r="P2542" s="11"/>
      <c r="Q2542" s="12"/>
    </row>
    <row r="2543" spans="1:17">
      <c r="A2543" s="14">
        <v>42387</v>
      </c>
      <c r="B2543" s="8">
        <v>1030.8148796597141</v>
      </c>
      <c r="F2543" s="7"/>
      <c r="G2543" s="7"/>
      <c r="M2543" s="10"/>
      <c r="P2543" s="11"/>
      <c r="Q2543" s="12"/>
    </row>
    <row r="2544" spans="1:17">
      <c r="A2544" s="14">
        <v>42388</v>
      </c>
      <c r="B2544" s="8">
        <v>1037.2572064771948</v>
      </c>
      <c r="F2544" s="7"/>
      <c r="G2544" s="7"/>
      <c r="M2544" s="10"/>
      <c r="P2544" s="11"/>
      <c r="Q2544" s="12"/>
    </row>
    <row r="2545" spans="1:17">
      <c r="A2545" s="14">
        <v>42389</v>
      </c>
      <c r="B2545" s="8">
        <v>1015.8158449127607</v>
      </c>
      <c r="F2545" s="7"/>
      <c r="G2545" s="7"/>
      <c r="M2545" s="10"/>
      <c r="P2545" s="11"/>
      <c r="Q2545" s="12"/>
    </row>
    <row r="2546" spans="1:17">
      <c r="A2546" s="14">
        <v>42390</v>
      </c>
      <c r="B2546" s="8">
        <v>1029.948396884623</v>
      </c>
      <c r="F2546" s="7"/>
      <c r="G2546" s="7"/>
      <c r="M2546" s="10"/>
      <c r="P2546" s="11"/>
      <c r="Q2546" s="12"/>
    </row>
    <row r="2547" spans="1:17">
      <c r="A2547" s="14">
        <v>42391</v>
      </c>
      <c r="B2547" s="8">
        <v>1054.9144013582873</v>
      </c>
      <c r="F2547" s="7"/>
      <c r="G2547" s="7"/>
      <c r="M2547" s="10"/>
      <c r="P2547" s="11"/>
      <c r="Q2547" s="12"/>
    </row>
    <row r="2548" spans="1:17">
      <c r="A2548" s="14">
        <v>42394</v>
      </c>
      <c r="B2548" s="8">
        <v>1034.8787164129778</v>
      </c>
      <c r="F2548" s="7"/>
      <c r="G2548" s="7"/>
      <c r="M2548" s="10"/>
      <c r="P2548" s="11"/>
      <c r="Q2548" s="12"/>
    </row>
    <row r="2549" spans="1:17">
      <c r="A2549" s="14">
        <v>42395</v>
      </c>
      <c r="B2549" s="8">
        <v>1048.0232929824706</v>
      </c>
      <c r="F2549" s="7"/>
      <c r="G2549" s="7"/>
      <c r="M2549" s="10"/>
      <c r="P2549" s="11"/>
      <c r="Q2549" s="12"/>
    </row>
    <row r="2550" spans="1:17">
      <c r="A2550" s="14">
        <v>42396</v>
      </c>
      <c r="B2550" s="8">
        <v>1041.247678380598</v>
      </c>
      <c r="F2550" s="7"/>
      <c r="G2550" s="7"/>
      <c r="M2550" s="10"/>
      <c r="P2550" s="11"/>
      <c r="Q2550" s="12"/>
    </row>
    <row r="2551" spans="1:17">
      <c r="A2551" s="14">
        <v>42397</v>
      </c>
      <c r="B2551" s="8">
        <v>1020.8596006511673</v>
      </c>
      <c r="F2551" s="7"/>
      <c r="G2551" s="7"/>
      <c r="M2551" s="10"/>
      <c r="P2551" s="11"/>
      <c r="Q2551" s="12"/>
    </row>
    <row r="2552" spans="1:17">
      <c r="A2552" s="14">
        <v>42398</v>
      </c>
      <c r="B2552" s="8">
        <v>1046.8138581699036</v>
      </c>
      <c r="F2552" s="7"/>
      <c r="G2552" s="7"/>
      <c r="M2552" s="10"/>
      <c r="P2552" s="11"/>
      <c r="Q2552" s="12"/>
    </row>
    <row r="2553" spans="1:17">
      <c r="A2553" s="14">
        <v>42401</v>
      </c>
      <c r="B2553" s="8">
        <v>1044.9516442121694</v>
      </c>
      <c r="F2553" s="7"/>
      <c r="G2553" s="7"/>
      <c r="M2553" s="10"/>
      <c r="P2553" s="11"/>
      <c r="Q2553" s="12"/>
    </row>
    <row r="2554" spans="1:17">
      <c r="A2554" s="14">
        <v>42402</v>
      </c>
      <c r="B2554" s="8">
        <v>1011.5598301648347</v>
      </c>
      <c r="F2554" s="7"/>
      <c r="G2554" s="7"/>
      <c r="M2554" s="10"/>
      <c r="P2554" s="11"/>
      <c r="Q2554" s="12"/>
    </row>
    <row r="2555" spans="1:17">
      <c r="A2555" s="14">
        <v>42403</v>
      </c>
      <c r="B2555" s="8">
        <v>1001.497665577008</v>
      </c>
      <c r="F2555" s="7"/>
      <c r="G2555" s="7"/>
      <c r="M2555" s="10"/>
      <c r="P2555" s="11"/>
      <c r="Q2555" s="12"/>
    </row>
    <row r="2556" spans="1:17">
      <c r="A2556" s="14">
        <v>42404</v>
      </c>
      <c r="B2556" s="8">
        <v>1013.1875086453199</v>
      </c>
      <c r="F2556" s="7"/>
      <c r="G2556" s="7"/>
      <c r="M2556" s="10"/>
      <c r="P2556" s="11"/>
      <c r="Q2556" s="12"/>
    </row>
    <row r="2557" spans="1:17">
      <c r="A2557" s="14">
        <v>42405</v>
      </c>
      <c r="B2557" s="8">
        <v>991.07588362726085</v>
      </c>
      <c r="F2557" s="7"/>
      <c r="G2557" s="7"/>
      <c r="M2557" s="10"/>
      <c r="P2557" s="11"/>
      <c r="Q2557" s="12"/>
    </row>
    <row r="2558" spans="1:17">
      <c r="A2558" s="14">
        <v>42408</v>
      </c>
      <c r="B2558" s="8">
        <v>952.8464407071275</v>
      </c>
      <c r="F2558" s="7"/>
      <c r="G2558" s="7"/>
      <c r="M2558" s="10"/>
      <c r="P2558" s="11"/>
      <c r="Q2558" s="12"/>
    </row>
    <row r="2559" spans="1:17">
      <c r="A2559" s="14">
        <v>42409</v>
      </c>
      <c r="B2559" s="8">
        <v>941.30193172518216</v>
      </c>
      <c r="F2559" s="7"/>
      <c r="G2559" s="7"/>
      <c r="M2559" s="10"/>
      <c r="P2559" s="11"/>
      <c r="Q2559" s="12"/>
    </row>
    <row r="2560" spans="1:17">
      <c r="A2560" s="14">
        <v>42410</v>
      </c>
      <c r="B2560" s="8">
        <v>957.44280846958657</v>
      </c>
      <c r="F2560" s="7"/>
      <c r="G2560" s="7"/>
      <c r="M2560" s="10"/>
      <c r="P2560" s="11"/>
      <c r="Q2560" s="12"/>
    </row>
    <row r="2561" spans="1:17">
      <c r="A2561" s="14">
        <v>42411</v>
      </c>
      <c r="B2561" s="8">
        <v>928.72108997083171</v>
      </c>
      <c r="F2561" s="7"/>
      <c r="G2561" s="7"/>
      <c r="M2561" s="10"/>
      <c r="P2561" s="11"/>
      <c r="Q2561" s="12"/>
    </row>
    <row r="2562" spans="1:17">
      <c r="A2562" s="14">
        <v>42412</v>
      </c>
      <c r="B2562" s="8">
        <v>955.65525767464658</v>
      </c>
      <c r="F2562" s="7"/>
      <c r="G2562" s="7"/>
      <c r="M2562" s="10"/>
      <c r="P2562" s="11"/>
      <c r="Q2562" s="12"/>
    </row>
    <row r="2563" spans="1:17">
      <c r="A2563" s="14">
        <v>42415</v>
      </c>
      <c r="B2563" s="8">
        <v>970.65676982079322</v>
      </c>
      <c r="F2563" s="7"/>
      <c r="G2563" s="7"/>
      <c r="M2563" s="10"/>
      <c r="P2563" s="11"/>
      <c r="Q2563" s="12"/>
    </row>
    <row r="2564" spans="1:17">
      <c r="A2564" s="14">
        <v>42416</v>
      </c>
      <c r="B2564" s="8">
        <v>981.73777247085047</v>
      </c>
      <c r="F2564" s="7"/>
      <c r="G2564" s="7"/>
      <c r="M2564" s="10"/>
      <c r="P2564" s="11"/>
      <c r="Q2564" s="12"/>
    </row>
    <row r="2565" spans="1:17">
      <c r="A2565" s="14">
        <v>42417</v>
      </c>
      <c r="B2565" s="8">
        <v>1014.8116704523711</v>
      </c>
      <c r="F2565" s="7"/>
      <c r="G2565" s="7"/>
      <c r="M2565" s="10"/>
      <c r="P2565" s="11"/>
      <c r="Q2565" s="12"/>
    </row>
    <row r="2566" spans="1:17">
      <c r="A2566" s="14">
        <v>42418</v>
      </c>
      <c r="B2566" s="8">
        <v>1006.9511308585007</v>
      </c>
      <c r="F2566" s="7"/>
      <c r="G2566" s="7"/>
      <c r="M2566" s="10"/>
      <c r="P2566" s="11"/>
      <c r="Q2566" s="12"/>
    </row>
    <row r="2567" spans="1:17">
      <c r="A2567" s="14">
        <v>42419</v>
      </c>
      <c r="B2567" s="8">
        <v>1008.1282935799121</v>
      </c>
      <c r="F2567" s="7"/>
      <c r="G2567" s="7"/>
      <c r="M2567" s="10"/>
      <c r="P2567" s="11"/>
      <c r="Q2567" s="12"/>
    </row>
    <row r="2568" spans="1:17">
      <c r="A2568" s="14">
        <v>42422</v>
      </c>
      <c r="B2568" s="8">
        <v>1028.5864319376583</v>
      </c>
      <c r="F2568" s="7"/>
      <c r="G2568" s="7"/>
      <c r="M2568" s="10"/>
      <c r="P2568" s="11"/>
      <c r="Q2568" s="12"/>
    </row>
    <row r="2569" spans="1:17">
      <c r="A2569" s="14">
        <v>42423</v>
      </c>
      <c r="B2569" s="8">
        <v>1011.1759885836075</v>
      </c>
      <c r="F2569" s="7"/>
      <c r="G2569" s="7"/>
      <c r="M2569" s="10"/>
      <c r="P2569" s="11"/>
      <c r="Q2569" s="12"/>
    </row>
    <row r="2570" spans="1:17">
      <c r="A2570" s="14">
        <v>42424</v>
      </c>
      <c r="B2570" s="8">
        <v>1001.2119368335908</v>
      </c>
      <c r="F2570" s="7"/>
      <c r="G2570" s="7"/>
      <c r="M2570" s="10"/>
      <c r="P2570" s="11"/>
      <c r="Q2570" s="12"/>
    </row>
    <row r="2571" spans="1:17">
      <c r="A2571" s="14">
        <v>42425</v>
      </c>
      <c r="B2571" s="8">
        <v>1017.8110183918376</v>
      </c>
      <c r="F2571" s="7"/>
      <c r="G2571" s="7"/>
      <c r="M2571" s="10"/>
      <c r="P2571" s="11"/>
      <c r="Q2571" s="12"/>
    </row>
    <row r="2572" spans="1:17">
      <c r="A2572" s="14">
        <v>42426</v>
      </c>
      <c r="B2572" s="8">
        <v>1029.6576200054271</v>
      </c>
      <c r="F2572" s="7"/>
      <c r="G2572" s="7"/>
      <c r="M2572" s="10"/>
      <c r="P2572" s="11"/>
      <c r="Q2572" s="12"/>
    </row>
    <row r="2573" spans="1:17">
      <c r="A2573" s="14">
        <v>42429</v>
      </c>
      <c r="B2573" s="8">
        <v>1029.2961564690715</v>
      </c>
      <c r="F2573" s="7"/>
      <c r="G2573" s="7"/>
      <c r="M2573" s="10"/>
      <c r="P2573" s="11"/>
      <c r="Q2573" s="12"/>
    </row>
    <row r="2574" spans="1:17">
      <c r="A2574" s="14">
        <v>42430</v>
      </c>
      <c r="B2574" s="8">
        <v>1053.6228807126611</v>
      </c>
      <c r="F2574" s="7"/>
      <c r="G2574" s="7"/>
      <c r="M2574" s="10"/>
      <c r="P2574" s="11"/>
      <c r="Q2574" s="12"/>
    </row>
    <row r="2575" spans="1:17">
      <c r="A2575" s="14">
        <v>42431</v>
      </c>
      <c r="B2575" s="8">
        <v>1062.7806883394744</v>
      </c>
      <c r="F2575" s="7"/>
      <c r="G2575" s="7"/>
      <c r="M2575" s="10"/>
      <c r="P2575" s="11"/>
      <c r="Q2575" s="12"/>
    </row>
    <row r="2576" spans="1:17">
      <c r="A2576" s="14">
        <v>42432</v>
      </c>
      <c r="B2576" s="8">
        <v>1066.190943667965</v>
      </c>
      <c r="F2576" s="7"/>
      <c r="G2576" s="7"/>
      <c r="M2576" s="10"/>
      <c r="P2576" s="11"/>
      <c r="Q2576" s="12"/>
    </row>
    <row r="2577" spans="1:17">
      <c r="A2577" s="14">
        <v>42433</v>
      </c>
      <c r="B2577" s="8">
        <v>1069.9323221301918</v>
      </c>
      <c r="F2577" s="7"/>
      <c r="G2577" s="7"/>
      <c r="M2577" s="10"/>
      <c r="P2577" s="11"/>
      <c r="Q2577" s="12"/>
    </row>
    <row r="2578" spans="1:17">
      <c r="A2578" s="14">
        <v>42436</v>
      </c>
      <c r="B2578" s="8">
        <v>1064.2316704247428</v>
      </c>
      <c r="F2578" s="7"/>
      <c r="G2578" s="7"/>
      <c r="M2578" s="10"/>
      <c r="P2578" s="11"/>
      <c r="Q2578" s="12"/>
    </row>
    <row r="2579" spans="1:17">
      <c r="A2579" s="14">
        <v>42437</v>
      </c>
      <c r="B2579" s="8">
        <v>1056.9234417828402</v>
      </c>
      <c r="F2579" s="7"/>
      <c r="G2579" s="7"/>
      <c r="M2579" s="10"/>
      <c r="P2579" s="11"/>
      <c r="Q2579" s="12"/>
    </row>
    <row r="2580" spans="1:17">
      <c r="A2580" s="14">
        <v>42438</v>
      </c>
      <c r="B2580" s="8">
        <v>1059.8501435736971</v>
      </c>
      <c r="F2580" s="7"/>
      <c r="G2580" s="7"/>
      <c r="M2580" s="10"/>
      <c r="P2580" s="11"/>
      <c r="Q2580" s="12"/>
    </row>
    <row r="2581" spans="1:17">
      <c r="A2581" s="14">
        <v>42439</v>
      </c>
      <c r="B2581" s="8">
        <v>1054.2458109899828</v>
      </c>
      <c r="F2581" s="7"/>
      <c r="G2581" s="7"/>
      <c r="M2581" s="10"/>
      <c r="P2581" s="11"/>
      <c r="Q2581" s="12"/>
    </row>
    <row r="2582" spans="1:17">
      <c r="A2582" s="14">
        <v>42440</v>
      </c>
      <c r="B2582" s="8">
        <v>1085.4264009919661</v>
      </c>
      <c r="F2582" s="7"/>
      <c r="G2582" s="7"/>
      <c r="M2582" s="10"/>
      <c r="P2582" s="11"/>
      <c r="Q2582" s="12"/>
    </row>
    <row r="2583" spans="1:17">
      <c r="A2583" s="14">
        <v>42443</v>
      </c>
      <c r="B2583" s="8">
        <v>1084.5111151400608</v>
      </c>
      <c r="F2583" s="7"/>
      <c r="G2583" s="7"/>
      <c r="M2583" s="10"/>
      <c r="P2583" s="11"/>
      <c r="Q2583" s="12"/>
    </row>
    <row r="2584" spans="1:17">
      <c r="A2584" s="14">
        <v>42444</v>
      </c>
      <c r="B2584" s="8">
        <v>1077.0830269743042</v>
      </c>
      <c r="F2584" s="7"/>
      <c r="G2584" s="7"/>
      <c r="M2584" s="10"/>
      <c r="P2584" s="11"/>
      <c r="Q2584" s="12"/>
    </row>
    <row r="2585" spans="1:17">
      <c r="A2585" s="14">
        <v>42445</v>
      </c>
      <c r="B2585" s="8">
        <v>1079.8552624781478</v>
      </c>
      <c r="F2585" s="7"/>
      <c r="G2585" s="7"/>
      <c r="M2585" s="10"/>
      <c r="P2585" s="11"/>
      <c r="Q2585" s="12"/>
    </row>
    <row r="2586" spans="1:17">
      <c r="A2586" s="14">
        <v>42446</v>
      </c>
      <c r="B2586" s="8">
        <v>1076.9943289267035</v>
      </c>
      <c r="F2586" s="7"/>
      <c r="G2586" s="7"/>
      <c r="M2586" s="10"/>
      <c r="P2586" s="11"/>
      <c r="Q2586" s="12"/>
    </row>
    <row r="2587" spans="1:17">
      <c r="A2587" s="14">
        <v>42447</v>
      </c>
      <c r="B2587" s="8">
        <v>1086.321844795666</v>
      </c>
      <c r="F2587" s="7"/>
      <c r="G2587" s="7"/>
      <c r="M2587" s="10"/>
      <c r="P2587" s="11"/>
      <c r="Q2587" s="12"/>
    </row>
    <row r="2588" spans="1:17">
      <c r="A2588" s="14">
        <v>42450</v>
      </c>
      <c r="B2588" s="8">
        <v>1085.2347674047262</v>
      </c>
      <c r="F2588" s="7"/>
      <c r="G2588" s="7"/>
      <c r="M2588" s="10"/>
      <c r="P2588" s="11"/>
      <c r="Q2588" s="12"/>
    </row>
    <row r="2589" spans="1:17">
      <c r="A2589" s="14">
        <v>42451</v>
      </c>
      <c r="B2589" s="8">
        <v>1082.6001168615342</v>
      </c>
      <c r="F2589" s="7"/>
      <c r="G2589" s="7"/>
      <c r="M2589" s="10"/>
      <c r="P2589" s="11"/>
      <c r="Q2589" s="12"/>
    </row>
    <row r="2590" spans="1:17">
      <c r="A2590" s="14">
        <v>42452</v>
      </c>
      <c r="B2590" s="8">
        <v>1074.3983391441448</v>
      </c>
      <c r="F2590" s="7"/>
      <c r="G2590" s="7"/>
      <c r="M2590" s="10"/>
      <c r="P2590" s="11"/>
      <c r="Q2590" s="12"/>
    </row>
    <row r="2591" spans="1:17">
      <c r="A2591" s="14">
        <v>42453</v>
      </c>
      <c r="B2591" s="8">
        <v>1061.4621814823827</v>
      </c>
      <c r="F2591" s="7"/>
      <c r="G2591" s="7"/>
      <c r="M2591" s="10"/>
      <c r="P2591" s="11"/>
      <c r="Q2591" s="12"/>
    </row>
    <row r="2592" spans="1:17">
      <c r="A2592" s="14">
        <v>42454</v>
      </c>
      <c r="B2592" s="8">
        <v>1061.0804888049493</v>
      </c>
      <c r="F2592" s="7"/>
      <c r="G2592" s="7"/>
      <c r="M2592" s="10"/>
      <c r="P2592" s="11"/>
      <c r="Q2592" s="12"/>
    </row>
    <row r="2593" spans="1:17">
      <c r="A2593" s="14">
        <v>42457</v>
      </c>
      <c r="B2593" s="8">
        <v>1060.4456720502972</v>
      </c>
      <c r="F2593" s="7"/>
      <c r="G2593" s="7"/>
      <c r="M2593" s="10"/>
      <c r="P2593" s="11"/>
      <c r="Q2593" s="12"/>
    </row>
    <row r="2594" spans="1:17">
      <c r="A2594" s="14">
        <v>42458</v>
      </c>
      <c r="B2594" s="8">
        <v>1069.2510385975133</v>
      </c>
      <c r="F2594" s="7"/>
      <c r="G2594" s="7"/>
      <c r="M2594" s="10"/>
      <c r="P2594" s="11"/>
      <c r="Q2594" s="12"/>
    </row>
    <row r="2595" spans="1:17">
      <c r="A2595" s="14">
        <v>42459</v>
      </c>
      <c r="B2595" s="8">
        <v>1077.0319942138144</v>
      </c>
      <c r="F2595" s="7"/>
      <c r="G2595" s="7"/>
      <c r="M2595" s="10"/>
      <c r="P2595" s="11"/>
      <c r="Q2595" s="12"/>
    </row>
    <row r="2596" spans="1:17">
      <c r="A2596" s="14">
        <v>42460</v>
      </c>
      <c r="B2596" s="8">
        <v>1069.2202236370913</v>
      </c>
      <c r="F2596" s="7"/>
      <c r="G2596" s="7"/>
      <c r="M2596" s="10"/>
      <c r="P2596" s="11"/>
      <c r="Q2596" s="12"/>
    </row>
    <row r="2597" spans="1:17">
      <c r="A2597" s="14">
        <v>42461</v>
      </c>
      <c r="B2597" s="8">
        <v>1065.557122592581</v>
      </c>
      <c r="F2597" s="7"/>
      <c r="G2597" s="7"/>
      <c r="M2597" s="10"/>
      <c r="P2597" s="11"/>
      <c r="Q2597" s="12"/>
    </row>
    <row r="2598" spans="1:17">
      <c r="A2598" s="14">
        <v>42464</v>
      </c>
      <c r="B2598" s="8">
        <v>1065.7377903654228</v>
      </c>
      <c r="F2598" s="7"/>
      <c r="G2598" s="7"/>
      <c r="M2598" s="10"/>
      <c r="P2598" s="11"/>
      <c r="Q2598" s="12"/>
    </row>
    <row r="2599" spans="1:17">
      <c r="A2599" s="14">
        <v>42465</v>
      </c>
      <c r="B2599" s="8">
        <v>1047.6149008931641</v>
      </c>
      <c r="F2599" s="7"/>
      <c r="G2599" s="7"/>
      <c r="M2599" s="10"/>
      <c r="P2599" s="11"/>
      <c r="Q2599" s="12"/>
    </row>
    <row r="2600" spans="1:17">
      <c r="A2600" s="14">
        <v>42466</v>
      </c>
      <c r="B2600" s="8">
        <v>1055.3317688058673</v>
      </c>
      <c r="F2600" s="7"/>
      <c r="G2600" s="7"/>
      <c r="M2600" s="10"/>
      <c r="P2600" s="11"/>
      <c r="Q2600" s="12"/>
    </row>
    <row r="2601" spans="1:17">
      <c r="A2601" s="14">
        <v>42467</v>
      </c>
      <c r="B2601" s="8">
        <v>1037.8863487265517</v>
      </c>
      <c r="F2601" s="7"/>
      <c r="G2601" s="7"/>
      <c r="M2601" s="10"/>
      <c r="P2601" s="11"/>
      <c r="Q2601" s="12"/>
    </row>
    <row r="2602" spans="1:17">
      <c r="A2602" s="14">
        <v>42468</v>
      </c>
      <c r="B2602" s="8">
        <v>1049.1904629301048</v>
      </c>
      <c r="F2602" s="7"/>
      <c r="G2602" s="7"/>
      <c r="M2602" s="10"/>
      <c r="P2602" s="11"/>
      <c r="Q2602" s="12"/>
    </row>
    <row r="2603" spans="1:17">
      <c r="A2603" s="14">
        <v>42471</v>
      </c>
      <c r="B2603" s="8">
        <v>1049.9358619559571</v>
      </c>
      <c r="F2603" s="7"/>
      <c r="G2603" s="7"/>
      <c r="M2603" s="10"/>
      <c r="P2603" s="11"/>
      <c r="Q2603" s="12"/>
    </row>
    <row r="2604" spans="1:17">
      <c r="A2604" s="14">
        <v>42472</v>
      </c>
      <c r="B2604" s="8">
        <v>1052.1052223665031</v>
      </c>
      <c r="F2604" s="7"/>
      <c r="G2604" s="7"/>
      <c r="M2604" s="10"/>
      <c r="P2604" s="11"/>
      <c r="Q2604" s="12"/>
    </row>
    <row r="2605" spans="1:17">
      <c r="A2605" s="14">
        <v>42473</v>
      </c>
      <c r="B2605" s="8">
        <v>1087.096625022527</v>
      </c>
      <c r="F2605" s="7"/>
      <c r="G2605" s="7"/>
      <c r="M2605" s="10"/>
      <c r="P2605" s="11"/>
      <c r="Q2605" s="12"/>
    </row>
    <row r="2606" spans="1:17">
      <c r="A2606" s="14">
        <v>42474</v>
      </c>
      <c r="B2606" s="8">
        <v>1090.0668890602474</v>
      </c>
      <c r="F2606" s="7"/>
      <c r="G2606" s="7"/>
      <c r="M2606" s="10"/>
      <c r="P2606" s="11"/>
      <c r="Q2606" s="12"/>
    </row>
    <row r="2607" spans="1:17">
      <c r="A2607" s="14">
        <v>42475</v>
      </c>
      <c r="B2607" s="8">
        <v>1087.4973863304085</v>
      </c>
      <c r="F2607" s="7"/>
      <c r="G2607" s="7"/>
      <c r="M2607" s="10"/>
      <c r="P2607" s="11"/>
      <c r="Q2607" s="12"/>
    </row>
    <row r="2608" spans="1:17">
      <c r="A2608" s="14">
        <v>42478</v>
      </c>
      <c r="B2608" s="8">
        <v>1091.5677315682526</v>
      </c>
      <c r="F2608" s="7"/>
      <c r="G2608" s="7"/>
      <c r="M2608" s="10"/>
      <c r="P2608" s="11"/>
      <c r="Q2608" s="12"/>
    </row>
    <row r="2609" spans="1:17">
      <c r="A2609" s="14">
        <v>42479</v>
      </c>
      <c r="B2609" s="8">
        <v>1091.3430198555996</v>
      </c>
      <c r="F2609" s="7"/>
      <c r="G2609" s="7"/>
      <c r="M2609" s="10"/>
      <c r="P2609" s="11"/>
      <c r="Q2609" s="12"/>
    </row>
    <row r="2610" spans="1:17">
      <c r="A2610" s="14">
        <v>42480</v>
      </c>
      <c r="B2610" s="8">
        <v>1102.2581330951389</v>
      </c>
      <c r="F2610" s="7"/>
      <c r="G2610" s="7"/>
      <c r="M2610" s="10"/>
      <c r="P2610" s="11"/>
      <c r="Q2610" s="12"/>
    </row>
    <row r="2611" spans="1:17">
      <c r="A2611" s="14">
        <v>42481</v>
      </c>
      <c r="B2611" s="8">
        <v>1106.3038417285854</v>
      </c>
      <c r="F2611" s="7"/>
      <c r="G2611" s="7"/>
      <c r="M2611" s="10"/>
      <c r="P2611" s="11"/>
      <c r="Q2611" s="12"/>
    </row>
    <row r="2612" spans="1:17">
      <c r="A2612" s="14">
        <v>42482</v>
      </c>
      <c r="B2612" s="8">
        <v>1108.3119503330122</v>
      </c>
      <c r="F2612" s="7"/>
      <c r="G2612" s="7"/>
      <c r="M2612" s="10"/>
      <c r="P2612" s="11"/>
      <c r="Q2612" s="12"/>
    </row>
    <row r="2613" spans="1:17">
      <c r="A2613" s="14">
        <v>42485</v>
      </c>
      <c r="B2613" s="8">
        <v>1097.7785051558387</v>
      </c>
      <c r="F2613" s="7"/>
      <c r="G2613" s="7"/>
      <c r="M2613" s="10"/>
      <c r="P2613" s="11"/>
      <c r="Q2613" s="12"/>
    </row>
    <row r="2614" spans="1:17">
      <c r="A2614" s="14">
        <v>42486</v>
      </c>
      <c r="B2614" s="8">
        <v>1106.0636905309316</v>
      </c>
      <c r="F2614" s="7"/>
      <c r="G2614" s="7"/>
      <c r="M2614" s="10"/>
      <c r="P2614" s="11"/>
      <c r="Q2614" s="12"/>
    </row>
    <row r="2615" spans="1:17">
      <c r="A2615" s="14">
        <v>42487</v>
      </c>
      <c r="B2615" s="8">
        <v>1111.3332257556435</v>
      </c>
      <c r="F2615" s="7"/>
      <c r="G2615" s="7"/>
      <c r="M2615" s="10"/>
      <c r="P2615" s="11"/>
      <c r="Q2615" s="12"/>
    </row>
    <row r="2616" spans="1:17">
      <c r="A2616" s="14">
        <v>42488</v>
      </c>
      <c r="B2616" s="8">
        <v>1103.1288968633228</v>
      </c>
      <c r="F2616" s="7"/>
      <c r="G2616" s="7"/>
      <c r="M2616" s="10"/>
      <c r="P2616" s="11"/>
      <c r="Q2616" s="12"/>
    </row>
    <row r="2617" spans="1:17">
      <c r="A2617" s="14">
        <v>42489</v>
      </c>
      <c r="B2617" s="8">
        <v>1081.4215065588714</v>
      </c>
      <c r="F2617" s="7"/>
      <c r="G2617" s="7"/>
      <c r="M2617" s="10"/>
      <c r="P2617" s="11"/>
      <c r="Q2617" s="12"/>
    </row>
    <row r="2618" spans="1:17">
      <c r="A2618" s="14">
        <v>42492</v>
      </c>
      <c r="B2618" s="8">
        <v>1086.012055237469</v>
      </c>
      <c r="F2618" s="7"/>
      <c r="G2618" s="7"/>
      <c r="M2618" s="10"/>
      <c r="P2618" s="11"/>
      <c r="Q2618" s="12"/>
    </row>
    <row r="2619" spans="1:17">
      <c r="A2619" s="14">
        <v>42493</v>
      </c>
      <c r="B2619" s="8">
        <v>1061.4898514156171</v>
      </c>
      <c r="F2619" s="7"/>
      <c r="G2619" s="7"/>
      <c r="M2619" s="10"/>
      <c r="P2619" s="11"/>
      <c r="Q2619" s="12"/>
    </row>
    <row r="2620" spans="1:17">
      <c r="A2620" s="14">
        <v>42494</v>
      </c>
      <c r="B2620" s="8">
        <v>1047.5571782257821</v>
      </c>
      <c r="F2620" s="7"/>
      <c r="G2620" s="7"/>
      <c r="M2620" s="10"/>
      <c r="P2620" s="11"/>
      <c r="Q2620" s="12"/>
    </row>
    <row r="2621" spans="1:17">
      <c r="A2621" s="14">
        <v>42495</v>
      </c>
      <c r="B2621" s="8">
        <v>1043.3726568713942</v>
      </c>
      <c r="F2621" s="7"/>
      <c r="G2621" s="7"/>
      <c r="M2621" s="10"/>
      <c r="P2621" s="11"/>
      <c r="Q2621" s="12"/>
    </row>
    <row r="2622" spans="1:17">
      <c r="A2622" s="14">
        <v>42496</v>
      </c>
      <c r="B2622" s="8">
        <v>1046.8299406857429</v>
      </c>
      <c r="F2622" s="7"/>
      <c r="G2622" s="7"/>
      <c r="M2622" s="10"/>
      <c r="P2622" s="11"/>
      <c r="Q2622" s="12"/>
    </row>
    <row r="2623" spans="1:17">
      <c r="A2623" s="14">
        <v>42499</v>
      </c>
      <c r="B2623" s="8">
        <v>1045.005818891151</v>
      </c>
      <c r="F2623" s="7"/>
      <c r="G2623" s="7"/>
      <c r="M2623" s="10"/>
      <c r="P2623" s="11"/>
      <c r="Q2623" s="12"/>
    </row>
    <row r="2624" spans="1:17">
      <c r="A2624" s="14">
        <v>42500</v>
      </c>
      <c r="B2624" s="8">
        <v>1059.4546698886456</v>
      </c>
      <c r="F2624" s="7"/>
      <c r="G2624" s="7"/>
      <c r="M2624" s="10"/>
      <c r="P2624" s="11"/>
      <c r="Q2624" s="12"/>
    </row>
    <row r="2625" spans="1:17">
      <c r="A2625" s="14">
        <v>42501</v>
      </c>
      <c r="B2625" s="8">
        <v>1049.8692992192721</v>
      </c>
      <c r="F2625" s="7"/>
      <c r="G2625" s="7"/>
      <c r="M2625" s="10"/>
      <c r="P2625" s="11"/>
      <c r="Q2625" s="12"/>
    </row>
    <row r="2626" spans="1:17">
      <c r="A2626" s="14">
        <v>42502</v>
      </c>
      <c r="B2626" s="8">
        <v>1043.6361416940354</v>
      </c>
      <c r="F2626" s="7"/>
      <c r="G2626" s="7"/>
      <c r="M2626" s="10"/>
      <c r="P2626" s="11"/>
      <c r="Q2626" s="12"/>
    </row>
    <row r="2627" spans="1:17">
      <c r="A2627" s="14">
        <v>42503</v>
      </c>
      <c r="B2627" s="8">
        <v>1048.7830651967045</v>
      </c>
      <c r="F2627" s="7"/>
      <c r="G2627" s="7"/>
      <c r="M2627" s="10"/>
      <c r="P2627" s="11"/>
      <c r="Q2627" s="12"/>
    </row>
    <row r="2628" spans="1:17">
      <c r="A2628" s="14">
        <v>42506</v>
      </c>
      <c r="B2628" s="8">
        <v>1054.3985831116458</v>
      </c>
      <c r="F2628" s="7"/>
      <c r="G2628" s="7"/>
      <c r="M2628" s="10"/>
      <c r="P2628" s="11"/>
      <c r="Q2628" s="12"/>
    </row>
    <row r="2629" spans="1:17">
      <c r="A2629" s="14">
        <v>42507</v>
      </c>
      <c r="B2629" s="8">
        <v>1047.5500691318377</v>
      </c>
      <c r="F2629" s="7"/>
      <c r="G2629" s="7"/>
      <c r="M2629" s="10"/>
      <c r="P2629" s="11"/>
      <c r="Q2629" s="12"/>
    </row>
    <row r="2630" spans="1:17">
      <c r="A2630" s="14">
        <v>42508</v>
      </c>
      <c r="B2630" s="8">
        <v>1060.7152014532176</v>
      </c>
      <c r="F2630" s="7"/>
      <c r="G2630" s="7"/>
      <c r="M2630" s="10"/>
      <c r="P2630" s="11"/>
      <c r="Q2630" s="12"/>
    </row>
    <row r="2631" spans="1:17">
      <c r="A2631" s="14">
        <v>42509</v>
      </c>
      <c r="B2631" s="8">
        <v>1055.9497861274072</v>
      </c>
      <c r="F2631" s="7"/>
      <c r="G2631" s="7"/>
      <c r="M2631" s="10"/>
      <c r="P2631" s="11"/>
      <c r="Q2631" s="12"/>
    </row>
    <row r="2632" spans="1:17">
      <c r="A2632" s="14">
        <v>42510</v>
      </c>
      <c r="B2632" s="8">
        <v>1071.3783874211283</v>
      </c>
      <c r="F2632" s="7"/>
      <c r="G2632" s="7"/>
      <c r="M2632" s="10"/>
      <c r="P2632" s="11"/>
      <c r="Q2632" s="12"/>
    </row>
    <row r="2633" spans="1:17">
      <c r="A2633" s="14">
        <v>42513</v>
      </c>
      <c r="B2633" s="8">
        <v>1068.7647858099986</v>
      </c>
      <c r="F2633" s="7"/>
      <c r="G2633" s="7"/>
      <c r="M2633" s="10"/>
      <c r="P2633" s="11"/>
      <c r="Q2633" s="12"/>
    </row>
    <row r="2634" spans="1:17">
      <c r="A2634" s="14">
        <v>42514</v>
      </c>
      <c r="B2634" s="8">
        <v>1093.3025968697946</v>
      </c>
      <c r="F2634" s="7"/>
      <c r="G2634" s="7"/>
      <c r="M2634" s="10"/>
      <c r="P2634" s="11"/>
      <c r="Q2634" s="12"/>
    </row>
    <row r="2635" spans="1:17">
      <c r="A2635" s="14">
        <v>42515</v>
      </c>
      <c r="B2635" s="8">
        <v>1107.0217620594581</v>
      </c>
      <c r="F2635" s="7"/>
      <c r="G2635" s="7"/>
      <c r="M2635" s="10"/>
      <c r="P2635" s="11"/>
      <c r="Q2635" s="12"/>
    </row>
    <row r="2636" spans="1:17">
      <c r="A2636" s="14">
        <v>42516</v>
      </c>
      <c r="B2636" s="8">
        <v>1109.8574619856968</v>
      </c>
      <c r="F2636" s="7"/>
      <c r="G2636" s="7"/>
      <c r="M2636" s="10"/>
      <c r="P2636" s="11"/>
      <c r="Q2636" s="12"/>
    </row>
    <row r="2637" spans="1:17">
      <c r="A2637" s="14">
        <v>42517</v>
      </c>
      <c r="B2637" s="8">
        <v>1114.6893568316841</v>
      </c>
      <c r="F2637" s="7"/>
      <c r="G2637" s="7"/>
      <c r="M2637" s="10"/>
      <c r="P2637" s="11"/>
      <c r="Q2637" s="12"/>
    </row>
    <row r="2638" spans="1:17">
      <c r="A2638" s="14">
        <v>42520</v>
      </c>
      <c r="B2638" s="8">
        <v>1115.2490430713085</v>
      </c>
      <c r="F2638" s="7"/>
      <c r="G2638" s="7"/>
      <c r="M2638" s="10"/>
      <c r="P2638" s="11"/>
      <c r="Q2638" s="12"/>
    </row>
    <row r="2639" spans="1:17">
      <c r="A2639" s="14">
        <v>42521</v>
      </c>
      <c r="B2639" s="8">
        <v>1109.1423568142636</v>
      </c>
      <c r="F2639" s="7"/>
      <c r="G2639" s="7"/>
      <c r="M2639" s="10"/>
      <c r="P2639" s="11"/>
      <c r="Q2639" s="12"/>
    </row>
    <row r="2640" spans="1:17">
      <c r="A2640" s="14">
        <v>42522</v>
      </c>
      <c r="B2640" s="8">
        <v>1103.8973077873848</v>
      </c>
      <c r="F2640" s="7"/>
      <c r="G2640" s="7"/>
      <c r="M2640" s="10"/>
      <c r="P2640" s="11"/>
      <c r="Q2640" s="12"/>
    </row>
    <row r="2641" spans="1:17">
      <c r="A2641" s="14">
        <v>42523</v>
      </c>
      <c r="B2641" s="8">
        <v>1106.0814361543269</v>
      </c>
      <c r="F2641" s="7"/>
      <c r="G2641" s="7"/>
      <c r="M2641" s="10"/>
      <c r="P2641" s="11"/>
      <c r="Q2641" s="12"/>
    </row>
    <row r="2642" spans="1:17">
      <c r="A2642" s="14">
        <v>42524</v>
      </c>
      <c r="B2642" s="8">
        <v>1092.4668439197201</v>
      </c>
      <c r="F2642" s="7"/>
      <c r="G2642" s="7"/>
      <c r="M2642" s="10"/>
      <c r="P2642" s="11"/>
      <c r="Q2642" s="12"/>
    </row>
    <row r="2643" spans="1:17">
      <c r="A2643" s="14">
        <v>42527</v>
      </c>
      <c r="B2643" s="8">
        <v>1093.8519069918264</v>
      </c>
      <c r="F2643" s="7"/>
      <c r="G2643" s="7"/>
      <c r="M2643" s="10"/>
      <c r="P2643" s="11"/>
      <c r="Q2643" s="12"/>
    </row>
    <row r="2644" spans="1:17">
      <c r="A2644" s="14">
        <v>42528</v>
      </c>
      <c r="B2644" s="8">
        <v>1102.2163907576955</v>
      </c>
      <c r="F2644" s="7"/>
      <c r="G2644" s="7"/>
      <c r="M2644" s="10"/>
      <c r="P2644" s="11"/>
      <c r="Q2644" s="12"/>
    </row>
    <row r="2645" spans="1:17">
      <c r="A2645" s="14">
        <v>42529</v>
      </c>
      <c r="B2645" s="8">
        <v>1095.2752974524903</v>
      </c>
      <c r="F2645" s="7"/>
      <c r="G2645" s="7"/>
      <c r="M2645" s="10"/>
      <c r="P2645" s="11"/>
      <c r="Q2645" s="12"/>
    </row>
    <row r="2646" spans="1:17">
      <c r="A2646" s="14">
        <v>42530</v>
      </c>
      <c r="B2646" s="8">
        <v>1088.533705399577</v>
      </c>
      <c r="F2646" s="7"/>
      <c r="G2646" s="7"/>
      <c r="M2646" s="10"/>
      <c r="P2646" s="11"/>
      <c r="Q2646" s="12"/>
    </row>
    <row r="2647" spans="1:17">
      <c r="A2647" s="14">
        <v>42531</v>
      </c>
      <c r="B2647" s="8">
        <v>1061.779230698286</v>
      </c>
      <c r="F2647" s="7"/>
      <c r="G2647" s="7"/>
      <c r="M2647" s="10"/>
      <c r="P2647" s="11"/>
      <c r="Q2647" s="12"/>
    </row>
    <row r="2648" spans="1:17">
      <c r="A2648" s="14">
        <v>42534</v>
      </c>
      <c r="B2648" s="8">
        <v>1043.5231980507958</v>
      </c>
      <c r="F2648" s="7"/>
      <c r="G2648" s="7"/>
      <c r="M2648" s="10"/>
      <c r="P2648" s="11"/>
      <c r="Q2648" s="12"/>
    </row>
    <row r="2649" spans="1:17">
      <c r="A2649" s="14">
        <v>42535</v>
      </c>
      <c r="B2649" s="8">
        <v>1029.3896262680821</v>
      </c>
      <c r="F2649" s="7"/>
      <c r="G2649" s="7"/>
      <c r="M2649" s="10"/>
      <c r="P2649" s="11"/>
      <c r="Q2649" s="12"/>
    </row>
    <row r="2650" spans="1:17">
      <c r="A2650" s="14">
        <v>42536</v>
      </c>
      <c r="B2650" s="8">
        <v>1039.0761956186693</v>
      </c>
      <c r="F2650" s="7"/>
      <c r="G2650" s="7"/>
      <c r="M2650" s="10"/>
      <c r="P2650" s="11"/>
      <c r="Q2650" s="12"/>
    </row>
    <row r="2651" spans="1:17">
      <c r="A2651" s="14">
        <v>42537</v>
      </c>
      <c r="B2651" s="8">
        <v>1036.6014486442398</v>
      </c>
      <c r="F2651" s="7"/>
      <c r="G2651" s="7"/>
      <c r="M2651" s="10"/>
      <c r="P2651" s="11"/>
      <c r="Q2651" s="12"/>
    </row>
    <row r="2652" spans="1:17">
      <c r="A2652" s="14">
        <v>42538</v>
      </c>
      <c r="B2652" s="8">
        <v>1045.1613981816424</v>
      </c>
      <c r="F2652" s="7"/>
      <c r="G2652" s="7"/>
      <c r="M2652" s="10"/>
      <c r="P2652" s="11"/>
      <c r="Q2652" s="12"/>
    </row>
    <row r="2653" spans="1:17">
      <c r="A2653" s="14">
        <v>42541</v>
      </c>
      <c r="B2653" s="8">
        <v>1068.5925516194613</v>
      </c>
      <c r="F2653" s="7"/>
      <c r="G2653" s="7"/>
      <c r="M2653" s="10"/>
      <c r="P2653" s="11"/>
      <c r="Q2653" s="12"/>
    </row>
    <row r="2654" spans="1:17">
      <c r="A2654" s="14">
        <v>42542</v>
      </c>
      <c r="B2654" s="8">
        <v>1073.2335816231359</v>
      </c>
      <c r="F2654" s="7"/>
      <c r="G2654" s="7"/>
      <c r="M2654" s="10"/>
      <c r="P2654" s="11"/>
      <c r="Q2654" s="12"/>
    </row>
    <row r="2655" spans="1:17">
      <c r="A2655" s="14">
        <v>42543</v>
      </c>
      <c r="B2655" s="8">
        <v>1069.5591871645238</v>
      </c>
      <c r="F2655" s="7"/>
      <c r="G2655" s="7"/>
      <c r="M2655" s="10"/>
      <c r="P2655" s="11"/>
      <c r="Q2655" s="12"/>
    </row>
    <row r="2656" spans="1:17">
      <c r="A2656" s="14">
        <v>42544</v>
      </c>
      <c r="B2656" s="8">
        <v>1096.0273140430254</v>
      </c>
      <c r="F2656" s="7"/>
      <c r="G2656" s="7"/>
      <c r="M2656" s="10"/>
      <c r="P2656" s="11"/>
      <c r="Q2656" s="12"/>
    </row>
    <row r="2657" spans="1:17">
      <c r="A2657" s="14">
        <v>42545</v>
      </c>
      <c r="B2657" s="8">
        <v>1000.7051590797809</v>
      </c>
      <c r="F2657" s="7"/>
      <c r="G2657" s="7"/>
      <c r="M2657" s="10"/>
      <c r="P2657" s="11"/>
      <c r="Q2657" s="12"/>
    </row>
    <row r="2658" spans="1:17">
      <c r="A2658" s="14">
        <v>42548</v>
      </c>
      <c r="B2658" s="8">
        <v>960.35197677518329</v>
      </c>
      <c r="F2658" s="7"/>
      <c r="G2658" s="7"/>
      <c r="M2658" s="10"/>
      <c r="P2658" s="11"/>
      <c r="Q2658" s="12"/>
    </row>
    <row r="2659" spans="1:17">
      <c r="A2659" s="14">
        <v>42549</v>
      </c>
      <c r="B2659" s="8">
        <v>980.49310352047553</v>
      </c>
      <c r="F2659" s="7"/>
      <c r="G2659" s="7"/>
      <c r="M2659" s="10"/>
      <c r="P2659" s="11"/>
      <c r="Q2659" s="12"/>
    </row>
    <row r="2660" spans="1:17">
      <c r="A2660" s="14">
        <v>42550</v>
      </c>
      <c r="B2660" s="8">
        <v>1002.2150840759023</v>
      </c>
      <c r="F2660" s="7"/>
      <c r="G2660" s="7"/>
      <c r="M2660" s="10"/>
      <c r="P2660" s="11"/>
      <c r="Q2660" s="12"/>
    </row>
    <row r="2661" spans="1:17">
      <c r="A2661" s="14">
        <v>42551</v>
      </c>
      <c r="B2661" s="8">
        <v>1013.3919396220973</v>
      </c>
      <c r="F2661" s="7"/>
      <c r="G2661" s="7"/>
      <c r="M2661" s="10"/>
      <c r="P2661" s="11"/>
      <c r="Q2661" s="12"/>
    </row>
    <row r="2662" spans="1:17">
      <c r="A2662" s="14">
        <v>42552</v>
      </c>
      <c r="B2662" s="8">
        <v>1016.8224853512</v>
      </c>
      <c r="F2662" s="7"/>
      <c r="G2662" s="7"/>
      <c r="M2662" s="10"/>
      <c r="P2662" s="11"/>
      <c r="Q2662" s="12"/>
    </row>
    <row r="2663" spans="1:17">
      <c r="A2663" s="14">
        <v>42555</v>
      </c>
      <c r="B2663" s="8">
        <v>1008.7472841756617</v>
      </c>
      <c r="F2663" s="7"/>
      <c r="G2663" s="7"/>
      <c r="M2663" s="10"/>
      <c r="P2663" s="11"/>
      <c r="Q2663" s="12"/>
    </row>
    <row r="2664" spans="1:17">
      <c r="A2664" s="14">
        <v>42556</v>
      </c>
      <c r="B2664" s="8">
        <v>996.65196006974213</v>
      </c>
      <c r="F2664" s="7"/>
      <c r="G2664" s="7"/>
      <c r="M2664" s="10"/>
      <c r="P2664" s="11"/>
      <c r="Q2664" s="12"/>
    </row>
    <row r="2665" spans="1:17">
      <c r="A2665" s="14">
        <v>42557</v>
      </c>
      <c r="B2665" s="8">
        <v>988.67064708911209</v>
      </c>
      <c r="F2665" s="7"/>
      <c r="G2665" s="7"/>
      <c r="M2665" s="10"/>
      <c r="P2665" s="11"/>
      <c r="Q2665" s="12"/>
    </row>
    <row r="2666" spans="1:17">
      <c r="A2666" s="14">
        <v>42558</v>
      </c>
      <c r="B2666" s="8">
        <v>994.09309689950908</v>
      </c>
      <c r="F2666" s="7"/>
      <c r="G2666" s="7"/>
      <c r="M2666" s="10"/>
      <c r="P2666" s="11"/>
      <c r="Q2666" s="12"/>
    </row>
    <row r="2667" spans="1:17">
      <c r="A2667" s="14">
        <v>42559</v>
      </c>
      <c r="B2667" s="8">
        <v>1023.5370960244774</v>
      </c>
      <c r="F2667" s="7"/>
      <c r="G2667" s="7"/>
      <c r="M2667" s="10"/>
      <c r="P2667" s="11"/>
      <c r="Q2667" s="12"/>
    </row>
    <row r="2668" spans="1:17">
      <c r="A2668" s="14">
        <v>42562</v>
      </c>
      <c r="B2668" s="8">
        <v>1037.3123691535525</v>
      </c>
      <c r="F2668" s="7"/>
      <c r="G2668" s="7"/>
      <c r="M2668" s="10"/>
      <c r="P2668" s="11"/>
      <c r="Q2668" s="12"/>
    </row>
    <row r="2669" spans="1:17">
      <c r="A2669" s="14">
        <v>42563</v>
      </c>
      <c r="B2669" s="8">
        <v>1059.2094359127702</v>
      </c>
      <c r="F2669" s="7"/>
      <c r="G2669" s="7"/>
      <c r="M2669" s="10"/>
      <c r="P2669" s="11"/>
      <c r="Q2669" s="12"/>
    </row>
    <row r="2670" spans="1:17">
      <c r="A2670" s="14">
        <v>42564</v>
      </c>
      <c r="B2670" s="8">
        <v>1053.2869675674613</v>
      </c>
      <c r="F2670" s="7"/>
      <c r="G2670" s="7"/>
      <c r="M2670" s="10"/>
      <c r="P2670" s="11"/>
      <c r="Q2670" s="12"/>
    </row>
    <row r="2671" spans="1:17">
      <c r="A2671" s="14">
        <v>42565</v>
      </c>
      <c r="B2671" s="8">
        <v>1067.7907833528654</v>
      </c>
      <c r="F2671" s="7"/>
      <c r="G2671" s="7"/>
      <c r="M2671" s="10"/>
      <c r="P2671" s="11"/>
      <c r="Q2671" s="12"/>
    </row>
    <row r="2672" spans="1:17">
      <c r="A2672" s="14">
        <v>42566</v>
      </c>
      <c r="B2672" s="8">
        <v>1064.8276753139751</v>
      </c>
      <c r="F2672" s="7"/>
      <c r="G2672" s="7"/>
      <c r="M2672" s="10"/>
      <c r="P2672" s="11"/>
      <c r="Q2672" s="12"/>
    </row>
    <row r="2673" spans="1:17">
      <c r="A2673" s="14">
        <v>42569</v>
      </c>
      <c r="B2673" s="8">
        <v>1067.2973034955833</v>
      </c>
      <c r="F2673" s="7"/>
      <c r="G2673" s="7"/>
      <c r="M2673" s="10"/>
      <c r="P2673" s="11"/>
      <c r="Q2673" s="12"/>
    </row>
    <row r="2674" spans="1:17">
      <c r="A2674" s="14">
        <v>42570</v>
      </c>
      <c r="B2674" s="8">
        <v>1060.3503679423447</v>
      </c>
      <c r="F2674" s="7"/>
      <c r="G2674" s="7"/>
      <c r="M2674" s="10"/>
      <c r="P2674" s="11"/>
      <c r="Q2674" s="12"/>
    </row>
    <row r="2675" spans="1:17">
      <c r="A2675" s="14">
        <v>42571</v>
      </c>
      <c r="B2675" s="8">
        <v>1073.1493245824408</v>
      </c>
      <c r="F2675" s="7"/>
      <c r="G2675" s="7"/>
      <c r="M2675" s="10"/>
      <c r="P2675" s="11"/>
      <c r="Q2675" s="12"/>
    </row>
    <row r="2676" spans="1:17">
      <c r="A2676" s="14">
        <v>42572</v>
      </c>
      <c r="B2676" s="8">
        <v>1069.3819968070409</v>
      </c>
      <c r="F2676" s="7"/>
      <c r="G2676" s="7"/>
      <c r="M2676" s="10"/>
      <c r="P2676" s="11"/>
      <c r="Q2676" s="12"/>
    </row>
    <row r="2677" spans="1:17">
      <c r="A2677" s="14">
        <v>42573</v>
      </c>
      <c r="B2677" s="8">
        <v>1073.8831015654152</v>
      </c>
      <c r="F2677" s="7"/>
      <c r="G2677" s="7"/>
      <c r="M2677" s="10"/>
      <c r="P2677" s="11"/>
      <c r="Q2677" s="12"/>
    </row>
    <row r="2678" spans="1:17">
      <c r="A2678" s="14">
        <v>42576</v>
      </c>
      <c r="B2678" s="8">
        <v>1075.2237034749539</v>
      </c>
      <c r="F2678" s="7"/>
      <c r="G2678" s="7"/>
      <c r="M2678" s="10"/>
      <c r="P2678" s="11"/>
      <c r="Q2678" s="12"/>
    </row>
    <row r="2679" spans="1:17">
      <c r="A2679" s="14">
        <v>42577</v>
      </c>
      <c r="B2679" s="8">
        <v>1078.5710531574327</v>
      </c>
      <c r="F2679" s="7"/>
      <c r="G2679" s="7"/>
      <c r="M2679" s="10"/>
      <c r="P2679" s="11"/>
      <c r="Q2679" s="12"/>
    </row>
    <row r="2680" spans="1:17">
      <c r="A2680" s="14">
        <v>42578</v>
      </c>
      <c r="B2680" s="8">
        <v>1086.0009065296322</v>
      </c>
      <c r="F2680" s="7"/>
      <c r="G2680" s="7"/>
      <c r="M2680" s="10"/>
      <c r="P2680" s="11"/>
      <c r="Q2680" s="12"/>
    </row>
    <row r="2681" spans="1:17">
      <c r="A2681" s="14">
        <v>42579</v>
      </c>
      <c r="B2681" s="8">
        <v>1079.7968132498331</v>
      </c>
      <c r="F2681" s="7"/>
      <c r="G2681" s="7"/>
      <c r="M2681" s="10"/>
      <c r="P2681" s="11"/>
      <c r="Q2681" s="12"/>
    </row>
    <row r="2682" spans="1:17">
      <c r="A2682" s="14">
        <v>42580</v>
      </c>
      <c r="B2682" s="8">
        <v>1088.5403073360362</v>
      </c>
      <c r="F2682" s="7"/>
      <c r="G2682" s="7"/>
      <c r="M2682" s="10"/>
      <c r="P2682" s="11"/>
      <c r="Q2682" s="12"/>
    </row>
    <row r="2683" spans="1:17">
      <c r="A2683" s="14">
        <v>42583</v>
      </c>
      <c r="B2683" s="8">
        <v>1079.2359585453446</v>
      </c>
      <c r="F2683" s="7"/>
      <c r="G2683" s="7"/>
      <c r="M2683" s="10"/>
      <c r="P2683" s="11"/>
      <c r="Q2683" s="12"/>
    </row>
    <row r="2684" spans="1:17">
      <c r="A2684" s="14">
        <v>42584</v>
      </c>
      <c r="B2684" s="8">
        <v>1056.9237264501735</v>
      </c>
      <c r="F2684" s="7"/>
      <c r="G2684" s="7"/>
      <c r="M2684" s="10"/>
      <c r="P2684" s="11"/>
      <c r="Q2684" s="12"/>
    </row>
    <row r="2685" spans="1:17">
      <c r="A2685" s="14">
        <v>42585</v>
      </c>
      <c r="B2685" s="8">
        <v>1062.3632475584743</v>
      </c>
      <c r="F2685" s="7"/>
      <c r="G2685" s="7"/>
      <c r="M2685" s="10"/>
      <c r="P2685" s="11"/>
      <c r="Q2685" s="12"/>
    </row>
    <row r="2686" spans="1:17">
      <c r="A2686" s="14">
        <v>42586</v>
      </c>
      <c r="B2686" s="8">
        <v>1071.4021627679219</v>
      </c>
      <c r="F2686" s="7"/>
      <c r="G2686" s="7"/>
      <c r="M2686" s="10"/>
      <c r="P2686" s="11"/>
      <c r="Q2686" s="12"/>
    </row>
    <row r="2687" spans="1:17">
      <c r="A2687" s="14">
        <v>42587</v>
      </c>
      <c r="B2687" s="8">
        <v>1092.1341473990412</v>
      </c>
      <c r="F2687" s="7"/>
      <c r="G2687" s="7"/>
      <c r="M2687" s="10"/>
      <c r="P2687" s="11"/>
      <c r="Q2687" s="12"/>
    </row>
    <row r="2688" spans="1:17">
      <c r="A2688" s="14">
        <v>42590</v>
      </c>
      <c r="B2688" s="8">
        <v>1092.4382023927958</v>
      </c>
      <c r="F2688" s="7"/>
      <c r="G2688" s="7"/>
      <c r="M2688" s="10"/>
      <c r="P2688" s="11"/>
      <c r="Q2688" s="12"/>
    </row>
    <row r="2689" spans="1:17">
      <c r="A2689" s="14">
        <v>42591</v>
      </c>
      <c r="B2689" s="8">
        <v>1102.4950633151896</v>
      </c>
      <c r="F2689" s="7"/>
      <c r="G2689" s="7"/>
      <c r="M2689" s="10"/>
      <c r="P2689" s="11"/>
      <c r="Q2689" s="12"/>
    </row>
    <row r="2690" spans="1:17">
      <c r="A2690" s="14">
        <v>42592</v>
      </c>
      <c r="B2690" s="8">
        <v>1099.4437845434613</v>
      </c>
      <c r="F2690" s="7"/>
      <c r="G2690" s="7"/>
      <c r="M2690" s="10"/>
      <c r="P2690" s="11"/>
      <c r="Q2690" s="12"/>
    </row>
    <row r="2691" spans="1:17">
      <c r="A2691" s="14">
        <v>42593</v>
      </c>
      <c r="B2691" s="8">
        <v>1109.9836442673736</v>
      </c>
      <c r="F2691" s="7"/>
      <c r="G2691" s="7"/>
      <c r="M2691" s="10"/>
      <c r="P2691" s="11"/>
      <c r="Q2691" s="12"/>
    </row>
    <row r="2692" spans="1:17">
      <c r="A2692" s="14">
        <v>42594</v>
      </c>
      <c r="B2692" s="8">
        <v>1110.3093764616208</v>
      </c>
      <c r="F2692" s="7"/>
      <c r="G2692" s="7"/>
      <c r="M2692" s="10"/>
      <c r="P2692" s="11"/>
      <c r="Q2692" s="12"/>
    </row>
    <row r="2693" spans="1:17">
      <c r="A2693" s="14">
        <v>42597</v>
      </c>
      <c r="B2693" s="8">
        <v>1112.1240915102687</v>
      </c>
      <c r="F2693" s="7"/>
      <c r="G2693" s="7"/>
      <c r="M2693" s="10"/>
      <c r="P2693" s="11"/>
      <c r="Q2693" s="12"/>
    </row>
    <row r="2694" spans="1:17">
      <c r="A2694" s="14">
        <v>42598</v>
      </c>
      <c r="B2694" s="8">
        <v>1102.3146333092823</v>
      </c>
      <c r="F2694" s="7"/>
      <c r="G2694" s="7"/>
      <c r="M2694" s="10"/>
      <c r="P2694" s="11"/>
      <c r="Q2694" s="12"/>
    </row>
    <row r="2695" spans="1:17">
      <c r="A2695" s="14">
        <v>42599</v>
      </c>
      <c r="B2695" s="8">
        <v>1091.9810681664831</v>
      </c>
      <c r="F2695" s="7"/>
      <c r="G2695" s="7"/>
      <c r="M2695" s="10"/>
      <c r="P2695" s="11"/>
      <c r="Q2695" s="12"/>
    </row>
    <row r="2696" spans="1:17">
      <c r="A2696" s="14">
        <v>42600</v>
      </c>
      <c r="B2696" s="8">
        <v>1096.8625690094163</v>
      </c>
      <c r="F2696" s="7"/>
      <c r="G2696" s="7"/>
      <c r="M2696" s="10"/>
      <c r="P2696" s="11"/>
      <c r="Q2696" s="12"/>
    </row>
    <row r="2697" spans="1:17">
      <c r="A2697" s="14">
        <v>42601</v>
      </c>
      <c r="B2697" s="8">
        <v>1090.7562652155091</v>
      </c>
      <c r="F2697" s="7"/>
      <c r="G2697" s="7"/>
      <c r="M2697" s="10"/>
      <c r="P2697" s="11"/>
      <c r="Q2697" s="12"/>
    </row>
    <row r="2698" spans="1:17">
      <c r="A2698" s="14">
        <v>42604</v>
      </c>
      <c r="B2698" s="8">
        <v>1087.7111172351929</v>
      </c>
      <c r="F2698" s="7"/>
      <c r="G2698" s="7"/>
      <c r="M2698" s="10"/>
      <c r="P2698" s="11"/>
      <c r="Q2698" s="12"/>
    </row>
    <row r="2699" spans="1:17">
      <c r="A2699" s="14">
        <v>42605</v>
      </c>
      <c r="B2699" s="8">
        <v>1100.7508343792804</v>
      </c>
      <c r="F2699" s="7"/>
      <c r="G2699" s="7"/>
      <c r="M2699" s="10"/>
      <c r="P2699" s="11"/>
      <c r="Q2699" s="12"/>
    </row>
    <row r="2700" spans="1:17">
      <c r="A2700" s="14">
        <v>42606</v>
      </c>
      <c r="B2700" s="8">
        <v>1105.2021161554717</v>
      </c>
      <c r="F2700" s="7"/>
      <c r="G2700" s="7"/>
      <c r="M2700" s="10"/>
      <c r="P2700" s="11"/>
      <c r="Q2700" s="12"/>
    </row>
    <row r="2701" spans="1:17">
      <c r="A2701" s="14">
        <v>42607</v>
      </c>
      <c r="B2701" s="8">
        <v>1100.9609597293083</v>
      </c>
      <c r="F2701" s="7"/>
      <c r="G2701" s="7"/>
      <c r="M2701" s="10"/>
      <c r="P2701" s="11"/>
      <c r="Q2701" s="12"/>
    </row>
    <row r="2702" spans="1:17">
      <c r="A2702" s="14">
        <v>42608</v>
      </c>
      <c r="B2702" s="8">
        <v>1105.2481433209045</v>
      </c>
      <c r="F2702" s="7"/>
      <c r="G2702" s="7"/>
      <c r="M2702" s="10"/>
      <c r="P2702" s="11"/>
      <c r="Q2702" s="12"/>
    </row>
    <row r="2703" spans="1:17">
      <c r="A2703" s="14">
        <v>42611</v>
      </c>
      <c r="B2703" s="8">
        <v>1103.086253494542</v>
      </c>
      <c r="F2703" s="7"/>
      <c r="G2703" s="7"/>
      <c r="M2703" s="10"/>
      <c r="P2703" s="11"/>
      <c r="Q2703" s="12"/>
    </row>
    <row r="2704" spans="1:17">
      <c r="A2704" s="14">
        <v>42612</v>
      </c>
      <c r="B2704" s="8">
        <v>1109.7810534256676</v>
      </c>
      <c r="F2704" s="7"/>
      <c r="G2704" s="7"/>
      <c r="M2704" s="10"/>
      <c r="P2704" s="11"/>
      <c r="Q2704" s="12"/>
    </row>
    <row r="2705" spans="1:17">
      <c r="A2705" s="14">
        <v>42613</v>
      </c>
      <c r="B2705" s="8">
        <v>1111.3826941176412</v>
      </c>
      <c r="F2705" s="7"/>
      <c r="G2705" s="7"/>
      <c r="M2705" s="10"/>
      <c r="P2705" s="11"/>
      <c r="Q2705" s="12"/>
    </row>
    <row r="2706" spans="1:17">
      <c r="A2706" s="14">
        <v>42614</v>
      </c>
      <c r="B2706" s="8">
        <v>1113.5436169914935</v>
      </c>
      <c r="F2706" s="7"/>
      <c r="G2706" s="7"/>
      <c r="M2706" s="10"/>
      <c r="P2706" s="11"/>
      <c r="Q2706" s="12"/>
    </row>
    <row r="2707" spans="1:17">
      <c r="A2707" s="14">
        <v>42615</v>
      </c>
      <c r="B2707" s="8">
        <v>1123.963475438713</v>
      </c>
      <c r="F2707" s="7"/>
      <c r="G2707" s="7"/>
      <c r="M2707" s="10"/>
      <c r="P2707" s="11"/>
      <c r="Q2707" s="12"/>
    </row>
    <row r="2708" spans="1:17">
      <c r="A2708" s="14">
        <v>42618</v>
      </c>
      <c r="B2708" s="8">
        <v>1120.4198780845604</v>
      </c>
      <c r="F2708" s="7"/>
      <c r="G2708" s="7"/>
      <c r="M2708" s="10"/>
      <c r="P2708" s="11"/>
      <c r="Q2708" s="12"/>
    </row>
    <row r="2709" spans="1:17">
      <c r="A2709" s="14">
        <v>42619</v>
      </c>
      <c r="B2709" s="8">
        <v>1116.8354874956331</v>
      </c>
      <c r="F2709" s="7"/>
      <c r="G2709" s="7"/>
      <c r="M2709" s="10"/>
      <c r="P2709" s="11"/>
      <c r="Q2709" s="12"/>
    </row>
    <row r="2710" spans="1:17">
      <c r="A2710" s="14">
        <v>42620</v>
      </c>
      <c r="B2710" s="8">
        <v>1118.0448318921547</v>
      </c>
      <c r="F2710" s="7"/>
      <c r="G2710" s="7"/>
      <c r="M2710" s="10"/>
      <c r="P2710" s="11"/>
      <c r="Q2710" s="12"/>
    </row>
    <row r="2711" spans="1:17">
      <c r="A2711" s="14">
        <v>42621</v>
      </c>
      <c r="B2711" s="8">
        <v>1114.3591982392404</v>
      </c>
      <c r="F2711" s="7"/>
      <c r="G2711" s="7"/>
      <c r="M2711" s="10"/>
      <c r="P2711" s="11"/>
      <c r="Q2711" s="12"/>
    </row>
    <row r="2712" spans="1:17">
      <c r="A2712" s="14">
        <v>42622</v>
      </c>
      <c r="B2712" s="8">
        <v>1094.3950200834217</v>
      </c>
      <c r="F2712" s="7"/>
      <c r="G2712" s="7"/>
      <c r="M2712" s="10"/>
      <c r="P2712" s="11"/>
      <c r="Q2712" s="12"/>
    </row>
    <row r="2713" spans="1:17">
      <c r="A2713" s="14">
        <v>42625</v>
      </c>
      <c r="B2713" s="8">
        <v>1093.1199583105617</v>
      </c>
      <c r="F2713" s="7"/>
      <c r="G2713" s="7"/>
      <c r="M2713" s="10"/>
      <c r="P2713" s="11"/>
      <c r="Q2713" s="12"/>
    </row>
    <row r="2714" spans="1:17">
      <c r="A2714" s="14">
        <v>42626</v>
      </c>
      <c r="B2714" s="8">
        <v>1076.3070198854214</v>
      </c>
      <c r="F2714" s="7"/>
      <c r="G2714" s="7"/>
      <c r="M2714" s="10"/>
      <c r="P2714" s="11"/>
      <c r="Q2714" s="12"/>
    </row>
    <row r="2715" spans="1:17">
      <c r="A2715" s="14">
        <v>42627</v>
      </c>
      <c r="B2715" s="8">
        <v>1075.759995859433</v>
      </c>
      <c r="F2715" s="7"/>
      <c r="G2715" s="7"/>
      <c r="M2715" s="10"/>
      <c r="P2715" s="11"/>
      <c r="Q2715" s="12"/>
    </row>
    <row r="2716" spans="1:17">
      <c r="A2716" s="14">
        <v>42628</v>
      </c>
      <c r="B2716" s="8">
        <v>1086.5990295883637</v>
      </c>
      <c r="F2716" s="7"/>
      <c r="G2716" s="7"/>
      <c r="M2716" s="10"/>
      <c r="P2716" s="11"/>
      <c r="Q2716" s="12"/>
    </row>
    <row r="2717" spans="1:17">
      <c r="A2717" s="14">
        <v>42629</v>
      </c>
      <c r="B2717" s="8">
        <v>1076.2767038170546</v>
      </c>
      <c r="F2717" s="7"/>
      <c r="G2717" s="7"/>
      <c r="M2717" s="10"/>
      <c r="P2717" s="11"/>
      <c r="Q2717" s="12"/>
    </row>
    <row r="2718" spans="1:17">
      <c r="A2718" s="14">
        <v>42632</v>
      </c>
      <c r="B2718" s="8">
        <v>1082.3602220288988</v>
      </c>
      <c r="F2718" s="7"/>
      <c r="G2718" s="7"/>
      <c r="M2718" s="10"/>
      <c r="P2718" s="11"/>
      <c r="Q2718" s="12"/>
    </row>
    <row r="2719" spans="1:17">
      <c r="A2719" s="14">
        <v>42633</v>
      </c>
      <c r="B2719" s="8">
        <v>1080.5609997546765</v>
      </c>
      <c r="F2719" s="7"/>
      <c r="G2719" s="7"/>
      <c r="M2719" s="10"/>
      <c r="P2719" s="11"/>
      <c r="Q2719" s="12"/>
    </row>
    <row r="2720" spans="1:17">
      <c r="A2720" s="14">
        <v>42634</v>
      </c>
      <c r="B2720" s="8">
        <v>1095.0039154390888</v>
      </c>
      <c r="F2720" s="7"/>
      <c r="G2720" s="7"/>
      <c r="M2720" s="10"/>
      <c r="P2720" s="11"/>
      <c r="Q2720" s="12"/>
    </row>
    <row r="2721" spans="1:17">
      <c r="A2721" s="14">
        <v>42635</v>
      </c>
      <c r="B2721" s="8">
        <v>1109.2953410803939</v>
      </c>
      <c r="F2721" s="7"/>
      <c r="G2721" s="7"/>
      <c r="M2721" s="10"/>
      <c r="P2721" s="11"/>
      <c r="Q2721" s="12"/>
    </row>
    <row r="2722" spans="1:17">
      <c r="A2722" s="14">
        <v>42636</v>
      </c>
      <c r="B2722" s="8">
        <v>1101.9617373783478</v>
      </c>
      <c r="F2722" s="7"/>
      <c r="G2722" s="7"/>
      <c r="M2722" s="10"/>
      <c r="P2722" s="11"/>
      <c r="Q2722" s="12"/>
    </row>
    <row r="2723" spans="1:17">
      <c r="A2723" s="14">
        <v>42639</v>
      </c>
      <c r="B2723" s="8">
        <v>1084.6737308783888</v>
      </c>
      <c r="F2723" s="7"/>
      <c r="G2723" s="7"/>
      <c r="M2723" s="10"/>
      <c r="P2723" s="11"/>
      <c r="Q2723" s="12"/>
    </row>
    <row r="2724" spans="1:17">
      <c r="A2724" s="14">
        <v>42640</v>
      </c>
      <c r="B2724" s="8">
        <v>1089.3320133558036</v>
      </c>
      <c r="F2724" s="7"/>
      <c r="G2724" s="7"/>
      <c r="M2724" s="10"/>
      <c r="P2724" s="11"/>
      <c r="Q2724" s="12"/>
    </row>
    <row r="2725" spans="1:17">
      <c r="A2725" s="14">
        <v>42641</v>
      </c>
      <c r="B2725" s="8">
        <v>1093.5445250264497</v>
      </c>
      <c r="F2725" s="7"/>
      <c r="G2725" s="7"/>
      <c r="M2725" s="10"/>
      <c r="P2725" s="11"/>
      <c r="Q2725" s="12"/>
    </row>
    <row r="2726" spans="1:17">
      <c r="A2726" s="14">
        <v>42642</v>
      </c>
      <c r="B2726" s="8">
        <v>1088.4316860248596</v>
      </c>
      <c r="F2726" s="7"/>
      <c r="G2726" s="7"/>
      <c r="M2726" s="10"/>
      <c r="P2726" s="11"/>
      <c r="Q2726" s="12"/>
    </row>
    <row r="2727" spans="1:17">
      <c r="A2727" s="14">
        <v>42643</v>
      </c>
      <c r="B2727" s="8">
        <v>1097.6234993228427</v>
      </c>
      <c r="F2727" s="7"/>
      <c r="G2727" s="7"/>
      <c r="M2727" s="10"/>
      <c r="P2727" s="11"/>
      <c r="Q2727" s="12"/>
    </row>
    <row r="2728" spans="1:17">
      <c r="A2728" s="14">
        <v>42646</v>
      </c>
      <c r="B2728" s="8">
        <v>1094.9470727282689</v>
      </c>
      <c r="F2728" s="7"/>
      <c r="G2728" s="7"/>
      <c r="M2728" s="10"/>
      <c r="P2728" s="11"/>
      <c r="Q2728" s="12"/>
    </row>
    <row r="2729" spans="1:17">
      <c r="A2729" s="14">
        <v>42647</v>
      </c>
      <c r="B2729" s="8">
        <v>1097.574719012573</v>
      </c>
      <c r="F2729" s="7"/>
      <c r="G2729" s="7"/>
      <c r="M2729" s="10"/>
      <c r="P2729" s="11"/>
      <c r="Q2729" s="12"/>
    </row>
    <row r="2730" spans="1:17">
      <c r="A2730" s="14">
        <v>42648</v>
      </c>
      <c r="B2730" s="8">
        <v>1105.3951901100804</v>
      </c>
      <c r="F2730" s="7"/>
      <c r="G2730" s="7"/>
      <c r="M2730" s="10"/>
      <c r="P2730" s="11"/>
      <c r="Q2730" s="12"/>
    </row>
    <row r="2731" spans="1:17">
      <c r="A2731" s="14">
        <v>42649</v>
      </c>
      <c r="B2731" s="8">
        <v>1108.0247476307791</v>
      </c>
      <c r="F2731" s="7"/>
      <c r="G2731" s="7"/>
      <c r="M2731" s="10"/>
      <c r="P2731" s="11"/>
      <c r="Q2731" s="12"/>
    </row>
    <row r="2732" spans="1:17">
      <c r="A2732" s="14">
        <v>42650</v>
      </c>
      <c r="B2732" s="8">
        <v>1100.3250852957228</v>
      </c>
      <c r="F2732" s="7"/>
      <c r="G2732" s="7"/>
      <c r="M2732" s="10"/>
      <c r="P2732" s="11"/>
      <c r="Q2732" s="12"/>
    </row>
    <row r="2733" spans="1:17">
      <c r="A2733" s="14">
        <v>42653</v>
      </c>
      <c r="B2733" s="8">
        <v>1105.0893594337431</v>
      </c>
      <c r="F2733" s="7"/>
      <c r="G2733" s="7"/>
      <c r="M2733" s="10"/>
      <c r="P2733" s="11"/>
      <c r="Q2733" s="12"/>
    </row>
    <row r="2734" spans="1:17">
      <c r="A2734" s="14">
        <v>42654</v>
      </c>
      <c r="B2734" s="8">
        <v>1094.4386864034898</v>
      </c>
      <c r="F2734" s="7"/>
      <c r="G2734" s="7"/>
      <c r="M2734" s="10"/>
      <c r="P2734" s="11"/>
      <c r="Q2734" s="12"/>
    </row>
    <row r="2735" spans="1:17">
      <c r="A2735" s="14">
        <v>42655</v>
      </c>
      <c r="B2735" s="8">
        <v>1092.8282512729324</v>
      </c>
      <c r="F2735" s="7"/>
      <c r="G2735" s="7"/>
      <c r="M2735" s="10"/>
      <c r="P2735" s="11"/>
      <c r="Q2735" s="12"/>
    </row>
    <row r="2736" spans="1:17">
      <c r="A2736" s="14">
        <v>42656</v>
      </c>
      <c r="B2736" s="8">
        <v>1080.8529656243825</v>
      </c>
      <c r="F2736" s="7"/>
      <c r="G2736" s="7"/>
      <c r="M2736" s="10"/>
      <c r="P2736" s="11"/>
      <c r="Q2736" s="12"/>
    </row>
    <row r="2737" spans="1:17">
      <c r="A2737" s="14">
        <v>42657</v>
      </c>
      <c r="B2737" s="8">
        <v>1092.5165548773091</v>
      </c>
      <c r="F2737" s="7"/>
      <c r="G2737" s="7"/>
      <c r="M2737" s="10"/>
      <c r="P2737" s="11"/>
      <c r="Q2737" s="12"/>
    </row>
    <row r="2738" spans="1:17">
      <c r="A2738" s="14">
        <v>42660</v>
      </c>
      <c r="B2738" s="8">
        <v>1087.7755855340404</v>
      </c>
      <c r="F2738" s="7"/>
      <c r="G2738" s="7"/>
      <c r="M2738" s="10"/>
      <c r="P2738" s="11"/>
      <c r="Q2738" s="12"/>
    </row>
    <row r="2739" spans="1:17">
      <c r="A2739" s="14">
        <v>42661</v>
      </c>
      <c r="B2739" s="8">
        <v>1107.2192549084323</v>
      </c>
      <c r="F2739" s="7"/>
      <c r="G2739" s="7"/>
      <c r="M2739" s="10"/>
      <c r="P2739" s="11"/>
      <c r="Q2739" s="12"/>
    </row>
    <row r="2740" spans="1:17">
      <c r="A2740" s="14">
        <v>42662</v>
      </c>
      <c r="B2740" s="8">
        <v>1115.9759590749563</v>
      </c>
      <c r="F2740" s="7"/>
      <c r="G2740" s="7"/>
      <c r="M2740" s="10"/>
      <c r="P2740" s="11"/>
      <c r="Q2740" s="12"/>
    </row>
    <row r="2741" spans="1:17">
      <c r="A2741" s="14">
        <v>42663</v>
      </c>
      <c r="B2741" s="8">
        <v>1121.1886054084712</v>
      </c>
      <c r="F2741" s="7"/>
      <c r="G2741" s="7"/>
      <c r="M2741" s="10"/>
      <c r="P2741" s="11"/>
      <c r="Q2741" s="12"/>
    </row>
    <row r="2742" spans="1:17">
      <c r="A2742" s="14">
        <v>42664</v>
      </c>
      <c r="B2742" s="8">
        <v>1125.731129390781</v>
      </c>
      <c r="F2742" s="7"/>
      <c r="G2742" s="7"/>
      <c r="M2742" s="10"/>
      <c r="P2742" s="11"/>
      <c r="Q2742" s="12"/>
    </row>
    <row r="2743" spans="1:17">
      <c r="A2743" s="14">
        <v>42667</v>
      </c>
      <c r="B2743" s="8">
        <v>1137.1154447447511</v>
      </c>
      <c r="F2743" s="7"/>
      <c r="G2743" s="7"/>
      <c r="M2743" s="10"/>
      <c r="P2743" s="11"/>
      <c r="Q2743" s="12"/>
    </row>
    <row r="2744" spans="1:17">
      <c r="A2744" s="14">
        <v>42668</v>
      </c>
      <c r="B2744" s="8">
        <v>1128.2117761520544</v>
      </c>
      <c r="F2744" s="7"/>
      <c r="G2744" s="7"/>
      <c r="M2744" s="10"/>
      <c r="P2744" s="11"/>
      <c r="Q2744" s="12"/>
    </row>
    <row r="2745" spans="1:17">
      <c r="A2745" s="14">
        <v>42669</v>
      </c>
      <c r="B2745" s="8">
        <v>1128.6361873811952</v>
      </c>
      <c r="F2745" s="7"/>
      <c r="G2745" s="7"/>
      <c r="M2745" s="10"/>
      <c r="P2745" s="11"/>
      <c r="Q2745" s="12"/>
    </row>
    <row r="2746" spans="1:17">
      <c r="A2746" s="14">
        <v>42670</v>
      </c>
      <c r="B2746" s="8">
        <v>1132.9966662546281</v>
      </c>
      <c r="F2746" s="7"/>
      <c r="G2746" s="7"/>
      <c r="M2746" s="10"/>
      <c r="P2746" s="11"/>
      <c r="Q2746" s="12"/>
    </row>
    <row r="2747" spans="1:17">
      <c r="A2747" s="14">
        <v>42671</v>
      </c>
      <c r="B2747" s="8">
        <v>1133.0665957185131</v>
      </c>
      <c r="F2747" s="7"/>
      <c r="G2747" s="7"/>
      <c r="M2747" s="10"/>
      <c r="P2747" s="11"/>
      <c r="Q2747" s="12"/>
    </row>
    <row r="2748" spans="1:17">
      <c r="A2748" s="14">
        <v>42674</v>
      </c>
      <c r="B2748" s="8">
        <v>1126.0673898877349</v>
      </c>
      <c r="F2748" s="7"/>
      <c r="G2748" s="7"/>
      <c r="M2748" s="10"/>
      <c r="P2748" s="11"/>
      <c r="Q2748" s="12"/>
    </row>
    <row r="2749" spans="1:17">
      <c r="A2749" s="14">
        <v>42675</v>
      </c>
      <c r="B2749" s="8">
        <v>1111.3814014438015</v>
      </c>
      <c r="F2749" s="7"/>
      <c r="G2749" s="7"/>
      <c r="M2749" s="10"/>
      <c r="P2749" s="11"/>
      <c r="Q2749" s="12"/>
    </row>
    <row r="2750" spans="1:17">
      <c r="A2750" s="14">
        <v>42676</v>
      </c>
      <c r="B2750" s="8">
        <v>1095.4029468849226</v>
      </c>
      <c r="F2750" s="7"/>
      <c r="G2750" s="7"/>
      <c r="M2750" s="10"/>
      <c r="P2750" s="11"/>
      <c r="Q2750" s="12"/>
    </row>
    <row r="2751" spans="1:17">
      <c r="A2751" s="14">
        <v>42677</v>
      </c>
      <c r="B2751" s="8">
        <v>1096.677446985592</v>
      </c>
      <c r="F2751" s="7"/>
      <c r="G2751" s="7"/>
      <c r="M2751" s="10"/>
      <c r="P2751" s="11"/>
      <c r="Q2751" s="12"/>
    </row>
    <row r="2752" spans="1:17">
      <c r="A2752" s="14">
        <v>42678</v>
      </c>
      <c r="B2752" s="8">
        <v>1091.5926909133332</v>
      </c>
      <c r="F2752" s="7"/>
      <c r="G2752" s="7"/>
      <c r="M2752" s="10"/>
      <c r="P2752" s="11"/>
      <c r="Q2752" s="12"/>
    </row>
    <row r="2753" spans="1:17">
      <c r="A2753" s="14">
        <v>42681</v>
      </c>
      <c r="B2753" s="8">
        <v>1118.2998461163083</v>
      </c>
      <c r="F2753" s="7"/>
      <c r="G2753" s="7"/>
      <c r="M2753" s="10"/>
      <c r="P2753" s="11"/>
      <c r="Q2753" s="12"/>
    </row>
    <row r="2754" spans="1:17">
      <c r="A2754" s="14">
        <v>42682</v>
      </c>
      <c r="B2754" s="8">
        <v>1124.1085667953275</v>
      </c>
      <c r="F2754" s="7"/>
      <c r="G2754" s="7"/>
      <c r="M2754" s="10"/>
      <c r="P2754" s="11"/>
      <c r="Q2754" s="12"/>
    </row>
    <row r="2755" spans="1:17">
      <c r="A2755" s="14">
        <v>42683</v>
      </c>
      <c r="B2755" s="8">
        <v>1131.0421713210258</v>
      </c>
      <c r="F2755" s="7"/>
      <c r="G2755" s="7"/>
      <c r="M2755" s="10"/>
      <c r="P2755" s="11"/>
      <c r="Q2755" s="12"/>
    </row>
    <row r="2756" spans="1:17">
      <c r="A2756" s="14">
        <v>42684</v>
      </c>
      <c r="B2756" s="8">
        <v>1135.3234872743235</v>
      </c>
      <c r="F2756" s="7"/>
      <c r="G2756" s="7"/>
      <c r="M2756" s="10"/>
      <c r="P2756" s="11"/>
      <c r="Q2756" s="12"/>
    </row>
    <row r="2757" spans="1:17">
      <c r="A2757" s="14">
        <v>42685</v>
      </c>
      <c r="B2757" s="8">
        <v>1140.6195908446152</v>
      </c>
      <c r="F2757" s="7"/>
      <c r="G2757" s="7"/>
      <c r="M2757" s="10"/>
      <c r="P2757" s="11"/>
      <c r="Q2757" s="12"/>
    </row>
    <row r="2758" spans="1:17">
      <c r="A2758" s="14">
        <v>42688</v>
      </c>
      <c r="B2758" s="8">
        <v>1141.4892519713899</v>
      </c>
      <c r="F2758" s="7"/>
      <c r="G2758" s="7"/>
      <c r="M2758" s="10"/>
      <c r="P2758" s="11"/>
      <c r="Q2758" s="12"/>
    </row>
    <row r="2759" spans="1:17">
      <c r="A2759" s="14">
        <v>42689</v>
      </c>
      <c r="B2759" s="8">
        <v>1144.7532814695858</v>
      </c>
      <c r="F2759" s="7"/>
      <c r="G2759" s="7"/>
      <c r="M2759" s="10"/>
      <c r="P2759" s="11"/>
      <c r="Q2759" s="12"/>
    </row>
    <row r="2760" spans="1:17">
      <c r="A2760" s="14">
        <v>42690</v>
      </c>
      <c r="B2760" s="8">
        <v>1138.6032584841016</v>
      </c>
      <c r="F2760" s="7"/>
      <c r="G2760" s="7"/>
      <c r="M2760" s="10"/>
      <c r="P2760" s="11"/>
      <c r="Q2760" s="12"/>
    </row>
    <row r="2761" spans="1:17">
      <c r="A2761" s="14">
        <v>42691</v>
      </c>
      <c r="B2761" s="8">
        <v>1146.0448667804842</v>
      </c>
      <c r="F2761" s="7"/>
      <c r="G2761" s="7"/>
      <c r="M2761" s="10"/>
      <c r="P2761" s="11"/>
      <c r="Q2761" s="12"/>
    </row>
    <row r="2762" spans="1:17">
      <c r="A2762" s="14">
        <v>42692</v>
      </c>
      <c r="B2762" s="8">
        <v>1144.4415449804462</v>
      </c>
      <c r="F2762" s="7"/>
      <c r="G2762" s="7"/>
      <c r="M2762" s="10"/>
      <c r="P2762" s="11"/>
      <c r="Q2762" s="12"/>
    </row>
    <row r="2763" spans="1:17">
      <c r="A2763" s="14">
        <v>42695</v>
      </c>
      <c r="B2763" s="8">
        <v>1149.4491743230753</v>
      </c>
      <c r="F2763" s="7"/>
      <c r="G2763" s="7"/>
      <c r="M2763" s="10"/>
      <c r="P2763" s="11"/>
      <c r="Q2763" s="12"/>
    </row>
    <row r="2764" spans="1:17">
      <c r="A2764" s="14">
        <v>42696</v>
      </c>
      <c r="B2764" s="8">
        <v>1159.6855337512386</v>
      </c>
      <c r="F2764" s="7"/>
      <c r="G2764" s="7"/>
      <c r="M2764" s="10"/>
      <c r="P2764" s="11"/>
      <c r="Q2764" s="12"/>
    </row>
    <row r="2765" spans="1:17">
      <c r="A2765" s="14">
        <v>42697</v>
      </c>
      <c r="B2765" s="8">
        <v>1157.0855207325901</v>
      </c>
      <c r="F2765" s="7"/>
      <c r="G2765" s="7"/>
      <c r="M2765" s="10"/>
      <c r="P2765" s="11"/>
      <c r="Q2765" s="12"/>
    </row>
    <row r="2766" spans="1:17">
      <c r="A2766" s="14">
        <v>42698</v>
      </c>
      <c r="B2766" s="8">
        <v>1156.1063914935576</v>
      </c>
      <c r="F2766" s="7"/>
      <c r="G2766" s="7"/>
      <c r="M2766" s="10"/>
      <c r="P2766" s="11"/>
      <c r="Q2766" s="12"/>
    </row>
    <row r="2767" spans="1:17">
      <c r="A2767" s="14">
        <v>42699</v>
      </c>
      <c r="B2767" s="8">
        <v>1155.9318088161649</v>
      </c>
      <c r="F2767" s="7"/>
      <c r="G2767" s="7"/>
      <c r="M2767" s="10"/>
      <c r="P2767" s="11"/>
      <c r="Q2767" s="12"/>
    </row>
    <row r="2768" spans="1:17">
      <c r="A2768" s="14">
        <v>42702</v>
      </c>
      <c r="B2768" s="8">
        <v>1141.9446630058919</v>
      </c>
      <c r="F2768" s="7"/>
      <c r="G2768" s="7"/>
      <c r="M2768" s="10"/>
      <c r="P2768" s="11"/>
      <c r="Q2768" s="12"/>
    </row>
    <row r="2769" spans="1:17">
      <c r="A2769" s="14">
        <v>42703</v>
      </c>
      <c r="B2769" s="8">
        <v>1146.6266300429409</v>
      </c>
      <c r="F2769" s="7"/>
      <c r="G2769" s="7"/>
      <c r="M2769" s="10"/>
      <c r="P2769" s="11"/>
      <c r="Q2769" s="12"/>
    </row>
    <row r="2770" spans="1:17">
      <c r="A2770" s="14">
        <v>42704</v>
      </c>
      <c r="B2770" s="8">
        <v>1149.5553754802786</v>
      </c>
      <c r="F2770" s="7"/>
      <c r="G2770" s="7"/>
      <c r="M2770" s="10"/>
      <c r="P2770" s="11"/>
      <c r="Q2770" s="12"/>
    </row>
    <row r="2771" spans="1:17">
      <c r="A2771" s="14">
        <v>42705</v>
      </c>
      <c r="B2771" s="8">
        <v>1140.7808713179356</v>
      </c>
      <c r="F2771" s="7"/>
      <c r="G2771" s="7"/>
      <c r="M2771" s="10"/>
      <c r="P2771" s="11"/>
      <c r="Q2771" s="12"/>
    </row>
    <row r="2772" spans="1:17">
      <c r="A2772" s="14">
        <v>42706</v>
      </c>
      <c r="B2772" s="8">
        <v>1134.7737195876427</v>
      </c>
      <c r="F2772" s="7"/>
      <c r="G2772" s="7"/>
      <c r="M2772" s="10"/>
      <c r="P2772" s="11"/>
      <c r="Q2772" s="12"/>
    </row>
    <row r="2773" spans="1:17">
      <c r="A2773" s="14">
        <v>42709</v>
      </c>
      <c r="B2773" s="8">
        <v>1147.4447032438761</v>
      </c>
      <c r="F2773" s="7"/>
      <c r="G2773" s="7"/>
      <c r="M2773" s="10"/>
      <c r="P2773" s="11"/>
      <c r="Q2773" s="12"/>
    </row>
    <row r="2774" spans="1:17">
      <c r="A2774" s="14">
        <v>42710</v>
      </c>
      <c r="B2774" s="8">
        <v>1169.8447575955959</v>
      </c>
      <c r="F2774" s="7"/>
      <c r="G2774" s="7"/>
      <c r="M2774" s="10"/>
      <c r="P2774" s="11"/>
      <c r="Q2774" s="12"/>
    </row>
    <row r="2775" spans="1:17">
      <c r="A2775" s="14">
        <v>42711</v>
      </c>
      <c r="B2775" s="8">
        <v>1192.9641256149228</v>
      </c>
      <c r="F2775" s="7"/>
      <c r="G2775" s="7"/>
      <c r="M2775" s="10"/>
      <c r="P2775" s="11"/>
      <c r="Q2775" s="12"/>
    </row>
    <row r="2776" spans="1:17">
      <c r="A2776" s="14">
        <v>42712</v>
      </c>
      <c r="B2776" s="8">
        <v>1204.4977464348392</v>
      </c>
      <c r="F2776" s="7"/>
      <c r="G2776" s="7"/>
      <c r="M2776" s="10"/>
      <c r="P2776" s="11"/>
      <c r="Q2776" s="12"/>
    </row>
    <row r="2777" spans="1:17">
      <c r="A2777" s="14">
        <v>42713</v>
      </c>
      <c r="B2777" s="8">
        <v>1199.5662980148129</v>
      </c>
      <c r="F2777" s="7"/>
      <c r="G2777" s="7"/>
      <c r="M2777" s="10"/>
      <c r="P2777" s="11"/>
      <c r="Q2777" s="12"/>
    </row>
    <row r="2778" spans="1:17">
      <c r="A2778" s="14">
        <v>42716</v>
      </c>
      <c r="B2778" s="8">
        <v>1191.603528578258</v>
      </c>
      <c r="F2778" s="7"/>
      <c r="G2778" s="7"/>
      <c r="M2778" s="10"/>
      <c r="P2778" s="11"/>
      <c r="Q2778" s="12"/>
    </row>
    <row r="2779" spans="1:17">
      <c r="A2779" s="14">
        <v>42717</v>
      </c>
      <c r="B2779" s="8">
        <v>1209.8403395220255</v>
      </c>
      <c r="F2779" s="7"/>
      <c r="G2779" s="7"/>
      <c r="M2779" s="10"/>
      <c r="P2779" s="11"/>
      <c r="Q2779" s="12"/>
    </row>
    <row r="2780" spans="1:17">
      <c r="A2780" s="14">
        <v>42718</v>
      </c>
      <c r="B2780" s="8">
        <v>1200.4182389436398</v>
      </c>
      <c r="F2780" s="7"/>
      <c r="G2780" s="7"/>
      <c r="M2780" s="10"/>
      <c r="P2780" s="11"/>
      <c r="Q2780" s="12"/>
    </row>
    <row r="2781" spans="1:17">
      <c r="A2781" s="14">
        <v>42719</v>
      </c>
      <c r="B2781" s="8">
        <v>1216.7139402100061</v>
      </c>
      <c r="F2781" s="7"/>
      <c r="G2781" s="7"/>
      <c r="M2781" s="10"/>
      <c r="P2781" s="11"/>
      <c r="Q2781" s="12"/>
    </row>
    <row r="2782" spans="1:17">
      <c r="A2782" s="14">
        <v>42720</v>
      </c>
      <c r="B2782" s="8">
        <v>1214.9524537657671</v>
      </c>
      <c r="F2782" s="7"/>
      <c r="G2782" s="7"/>
      <c r="M2782" s="10"/>
      <c r="P2782" s="11"/>
      <c r="Q2782" s="12"/>
    </row>
    <row r="2783" spans="1:17">
      <c r="A2783" s="14">
        <v>42723</v>
      </c>
      <c r="B2783" s="8">
        <v>1213.1624352561121</v>
      </c>
      <c r="F2783" s="7"/>
      <c r="G2783" s="7"/>
      <c r="M2783" s="10"/>
      <c r="P2783" s="11"/>
      <c r="Q2783" s="12"/>
    </row>
    <row r="2784" spans="1:17">
      <c r="A2784" s="14">
        <v>42724</v>
      </c>
      <c r="B2784" s="8">
        <v>1224.695446305951</v>
      </c>
      <c r="F2784" s="7"/>
      <c r="G2784" s="7"/>
      <c r="M2784" s="10"/>
      <c r="P2784" s="11"/>
      <c r="Q2784" s="12"/>
    </row>
    <row r="2785" spans="1:17">
      <c r="A2785" s="14">
        <v>42725</v>
      </c>
      <c r="B2785" s="8">
        <v>1223.674262296787</v>
      </c>
      <c r="F2785" s="7"/>
      <c r="G2785" s="7"/>
      <c r="M2785" s="10"/>
      <c r="P2785" s="11"/>
      <c r="Q2785" s="12"/>
    </row>
    <row r="2786" spans="1:17">
      <c r="A2786" s="14">
        <v>42726</v>
      </c>
      <c r="B2786" s="8">
        <v>1219.9450921131906</v>
      </c>
      <c r="F2786" s="7"/>
      <c r="G2786" s="7"/>
      <c r="M2786" s="10"/>
      <c r="P2786" s="11"/>
      <c r="Q2786" s="12"/>
    </row>
    <row r="2787" spans="1:17">
      <c r="A2787" s="14">
        <v>42727</v>
      </c>
      <c r="B2787" s="8">
        <v>1223.0691019666265</v>
      </c>
      <c r="F2787" s="7"/>
      <c r="G2787" s="7"/>
      <c r="M2787" s="10"/>
      <c r="P2787" s="11"/>
      <c r="Q2787" s="12"/>
    </row>
    <row r="2788" spans="1:17">
      <c r="A2788" s="14">
        <v>42730</v>
      </c>
      <c r="B2788" s="8">
        <v>1221.9240239343283</v>
      </c>
      <c r="F2788" s="7"/>
      <c r="G2788" s="7"/>
      <c r="M2788" s="10"/>
      <c r="P2788" s="11"/>
      <c r="Q2788" s="12"/>
    </row>
    <row r="2789" spans="1:17">
      <c r="A2789" s="14">
        <v>42731</v>
      </c>
      <c r="B2789" s="8">
        <v>1227.0890257804801</v>
      </c>
      <c r="F2789" s="7"/>
      <c r="G2789" s="7"/>
      <c r="M2789" s="10"/>
      <c r="P2789" s="11"/>
      <c r="Q2789" s="12"/>
    </row>
    <row r="2790" spans="1:17">
      <c r="A2790" s="14">
        <v>42732</v>
      </c>
      <c r="B2790" s="8">
        <v>1218.3695575261336</v>
      </c>
      <c r="F2790" s="7"/>
      <c r="G2790" s="7"/>
      <c r="M2790" s="10"/>
      <c r="P2790" s="11"/>
      <c r="Q2790" s="12"/>
    </row>
    <row r="2791" spans="1:17">
      <c r="A2791" s="14">
        <v>42733</v>
      </c>
      <c r="B2791" s="8">
        <v>1212.4640605983464</v>
      </c>
      <c r="F2791" s="7"/>
      <c r="G2791" s="7"/>
      <c r="M2791" s="10"/>
      <c r="P2791" s="11"/>
      <c r="Q2791" s="12"/>
    </row>
    <row r="2792" spans="1:17">
      <c r="A2792" s="14">
        <v>42734</v>
      </c>
      <c r="B2792" s="8">
        <v>1210.7025512462487</v>
      </c>
      <c r="F2792" s="7"/>
      <c r="G2792" s="7"/>
      <c r="M2792" s="10"/>
      <c r="P2792" s="11"/>
      <c r="Q2792" s="12"/>
    </row>
    <row r="2793" spans="1:17">
      <c r="A2793" s="14">
        <v>42737</v>
      </c>
      <c r="B2793" s="8">
        <v>1213.2123724193784</v>
      </c>
      <c r="F2793" s="7"/>
      <c r="G2793" s="7"/>
      <c r="M2793" s="10"/>
      <c r="P2793" s="11"/>
      <c r="Q2793" s="12"/>
    </row>
    <row r="2794" spans="1:17">
      <c r="A2794" s="14">
        <v>42738</v>
      </c>
      <c r="B2794" s="8">
        <v>1221.5407069566004</v>
      </c>
      <c r="F2794" s="7"/>
      <c r="G2794" s="7"/>
      <c r="M2794" s="10"/>
      <c r="P2794" s="11"/>
      <c r="Q2794" s="12"/>
    </row>
    <row r="2795" spans="1:17">
      <c r="A2795" s="14">
        <v>42739</v>
      </c>
      <c r="B2795" s="8">
        <v>1228.1575753687043</v>
      </c>
      <c r="F2795" s="7"/>
      <c r="G2795" s="7"/>
      <c r="M2795" s="10"/>
      <c r="P2795" s="11"/>
      <c r="Q2795" s="12"/>
    </row>
    <row r="2796" spans="1:17">
      <c r="A2796" s="14">
        <v>42740</v>
      </c>
      <c r="B2796" s="8">
        <v>1224.3941779390182</v>
      </c>
      <c r="F2796" s="7"/>
      <c r="G2796" s="7"/>
      <c r="M2796" s="10"/>
      <c r="P2796" s="11"/>
      <c r="Q2796" s="12"/>
    </row>
    <row r="2797" spans="1:17">
      <c r="A2797" s="14">
        <v>42741</v>
      </c>
      <c r="B2797" s="8">
        <v>1229.531800085681</v>
      </c>
      <c r="F2797" s="7"/>
      <c r="G2797" s="7"/>
      <c r="M2797" s="10"/>
      <c r="P2797" s="11"/>
      <c r="Q2797" s="12"/>
    </row>
    <row r="2798" spans="1:17">
      <c r="A2798" s="14">
        <v>42744</v>
      </c>
      <c r="B2798" s="8">
        <v>1223.7493926931897</v>
      </c>
      <c r="F2798" s="7"/>
      <c r="G2798" s="7"/>
      <c r="M2798" s="10"/>
      <c r="P2798" s="11"/>
      <c r="Q2798" s="12"/>
    </row>
    <row r="2799" spans="1:17">
      <c r="A2799" s="14">
        <v>42745</v>
      </c>
      <c r="B2799" s="8">
        <v>1222.9695907704015</v>
      </c>
      <c r="F2799" s="7"/>
      <c r="G2799" s="7"/>
      <c r="M2799" s="10"/>
      <c r="P2799" s="11"/>
      <c r="Q2799" s="12"/>
    </row>
    <row r="2800" spans="1:17">
      <c r="A2800" s="14">
        <v>42746</v>
      </c>
      <c r="B2800" s="8">
        <v>1222.1508714851916</v>
      </c>
      <c r="F2800" s="7"/>
      <c r="G2800" s="7"/>
      <c r="M2800" s="10"/>
      <c r="P2800" s="11"/>
      <c r="Q2800" s="12"/>
    </row>
    <row r="2801" spans="1:17">
      <c r="A2801" s="14">
        <v>42747</v>
      </c>
      <c r="B2801" s="8">
        <v>1217.6250090756207</v>
      </c>
      <c r="F2801" s="7"/>
      <c r="G2801" s="7"/>
      <c r="M2801" s="10"/>
      <c r="P2801" s="11"/>
      <c r="Q2801" s="12"/>
    </row>
    <row r="2802" spans="1:17">
      <c r="A2802" s="14">
        <v>42748</v>
      </c>
      <c r="B2802" s="8">
        <v>1231.315541416363</v>
      </c>
      <c r="F2802" s="7"/>
      <c r="G2802" s="7"/>
      <c r="M2802" s="10"/>
      <c r="P2802" s="11"/>
      <c r="Q2802" s="12"/>
    </row>
    <row r="2803" spans="1:17">
      <c r="A2803" s="14">
        <v>42751</v>
      </c>
      <c r="B2803" s="8">
        <v>1222.5922230374579</v>
      </c>
      <c r="F2803" s="7"/>
      <c r="G2803" s="7"/>
      <c r="M2803" s="10"/>
      <c r="P2803" s="11"/>
      <c r="Q2803" s="12"/>
    </row>
    <row r="2804" spans="1:17">
      <c r="A2804" s="14">
        <v>42752</v>
      </c>
      <c r="B2804" s="8">
        <v>1211.0778473801754</v>
      </c>
      <c r="F2804" s="7"/>
      <c r="G2804" s="7"/>
      <c r="M2804" s="10"/>
      <c r="P2804" s="11"/>
      <c r="Q2804" s="12"/>
    </row>
    <row r="2805" spans="1:17">
      <c r="A2805" s="14">
        <v>42753</v>
      </c>
      <c r="B2805" s="8">
        <v>1214.9978147697368</v>
      </c>
      <c r="F2805" s="7"/>
      <c r="G2805" s="7"/>
      <c r="M2805" s="10"/>
      <c r="P2805" s="11"/>
      <c r="Q2805" s="12"/>
    </row>
    <row r="2806" spans="1:17">
      <c r="A2806" s="14">
        <v>42754</v>
      </c>
      <c r="B2806" s="8">
        <v>1217.7085410856362</v>
      </c>
      <c r="F2806" s="7"/>
      <c r="G2806" s="7"/>
      <c r="M2806" s="10"/>
      <c r="P2806" s="11"/>
      <c r="Q2806" s="12"/>
    </row>
    <row r="2807" spans="1:17">
      <c r="A2807" s="14">
        <v>42755</v>
      </c>
      <c r="B2807" s="8">
        <v>1220.4004215115906</v>
      </c>
      <c r="F2807" s="7"/>
      <c r="G2807" s="7"/>
      <c r="M2807" s="10"/>
      <c r="P2807" s="11"/>
      <c r="Q2807" s="12"/>
    </row>
    <row r="2808" spans="1:17">
      <c r="A2808" s="14">
        <v>42758</v>
      </c>
      <c r="B2808" s="8">
        <v>1210.4020245317404</v>
      </c>
      <c r="F2808" s="7"/>
      <c r="G2808" s="7"/>
      <c r="M2808" s="10"/>
      <c r="P2808" s="11"/>
      <c r="Q2808" s="12"/>
    </row>
    <row r="2809" spans="1:17">
      <c r="A2809" s="14">
        <v>42759</v>
      </c>
      <c r="B2809" s="8">
        <v>1222.105543208474</v>
      </c>
      <c r="F2809" s="7"/>
      <c r="G2809" s="7"/>
      <c r="M2809" s="10"/>
      <c r="P2809" s="11"/>
      <c r="Q2809" s="12"/>
    </row>
    <row r="2810" spans="1:17">
      <c r="A2810" s="14">
        <v>42760</v>
      </c>
      <c r="B2810" s="8">
        <v>1242.7980882882123</v>
      </c>
      <c r="F2810" s="7"/>
      <c r="G2810" s="7"/>
      <c r="M2810" s="10"/>
      <c r="P2810" s="11"/>
      <c r="Q2810" s="12"/>
    </row>
    <row r="2811" spans="1:17">
      <c r="A2811" s="14">
        <v>42761</v>
      </c>
      <c r="B2811" s="8">
        <v>1239.7551896353646</v>
      </c>
      <c r="F2811" s="7"/>
      <c r="G2811" s="7"/>
      <c r="M2811" s="10"/>
      <c r="P2811" s="11"/>
      <c r="Q2811" s="12"/>
    </row>
    <row r="2812" spans="1:17">
      <c r="A2812" s="14">
        <v>42762</v>
      </c>
      <c r="B2812" s="8">
        <v>1238.5492753452791</v>
      </c>
      <c r="F2812" s="7"/>
      <c r="G2812" s="7"/>
      <c r="M2812" s="10"/>
      <c r="P2812" s="11"/>
      <c r="Q2812" s="12"/>
    </row>
    <row r="2813" spans="1:17">
      <c r="A2813" s="14">
        <v>42765</v>
      </c>
      <c r="B2813" s="8">
        <v>1225.0883288381872</v>
      </c>
      <c r="F2813" s="7"/>
      <c r="G2813" s="7"/>
      <c r="M2813" s="10"/>
      <c r="P2813" s="11"/>
      <c r="Q2813" s="12"/>
    </row>
    <row r="2814" spans="1:17">
      <c r="A2814" s="14">
        <v>42766</v>
      </c>
      <c r="B2814" s="8">
        <v>1214.7891757550208</v>
      </c>
      <c r="F2814" s="7"/>
      <c r="G2814" s="7"/>
      <c r="M2814" s="10"/>
      <c r="P2814" s="11"/>
      <c r="Q2814" s="12"/>
    </row>
    <row r="2815" spans="1:17">
      <c r="A2815" s="14">
        <v>42767</v>
      </c>
      <c r="B2815" s="8">
        <v>1222.0025010708619</v>
      </c>
      <c r="F2815" s="7"/>
      <c r="G2815" s="7"/>
      <c r="M2815" s="10"/>
      <c r="P2815" s="11"/>
      <c r="Q2815" s="12"/>
    </row>
    <row r="2816" spans="1:17">
      <c r="A2816" s="14">
        <v>42768</v>
      </c>
      <c r="B2816" s="8">
        <v>1222.7579814262863</v>
      </c>
      <c r="F2816" s="7"/>
      <c r="G2816" s="7"/>
      <c r="M2816" s="10"/>
      <c r="P2816" s="11"/>
      <c r="Q2816" s="12"/>
    </row>
    <row r="2817" spans="1:17">
      <c r="A2817" s="14">
        <v>42769</v>
      </c>
      <c r="B2817" s="8">
        <v>1232.0702925031846</v>
      </c>
      <c r="F2817" s="7"/>
      <c r="G2817" s="7"/>
      <c r="M2817" s="10"/>
      <c r="P2817" s="11"/>
      <c r="Q2817" s="12"/>
    </row>
    <row r="2818" spans="1:17">
      <c r="A2818" s="14">
        <v>42772</v>
      </c>
      <c r="B2818" s="8">
        <v>1221.5853939256504</v>
      </c>
      <c r="F2818" s="7"/>
      <c r="G2818" s="7"/>
      <c r="M2818" s="10"/>
      <c r="P2818" s="11"/>
      <c r="Q2818" s="12"/>
    </row>
    <row r="2819" spans="1:17">
      <c r="A2819" s="14">
        <v>42773</v>
      </c>
      <c r="B2819" s="8">
        <v>1220.4197158708446</v>
      </c>
      <c r="F2819" s="7"/>
      <c r="G2819" s="7"/>
      <c r="M2819" s="10"/>
      <c r="P2819" s="11"/>
      <c r="Q2819" s="12"/>
    </row>
    <row r="2820" spans="1:17">
      <c r="A2820" s="14">
        <v>42774</v>
      </c>
      <c r="B2820" s="8">
        <v>1217.2281913784072</v>
      </c>
      <c r="F2820" s="7"/>
      <c r="G2820" s="7"/>
      <c r="M2820" s="10"/>
      <c r="P2820" s="11"/>
      <c r="Q2820" s="12"/>
    </row>
    <row r="2821" spans="1:17">
      <c r="A2821" s="14">
        <v>42775</v>
      </c>
      <c r="B2821" s="8">
        <v>1226.0336098890161</v>
      </c>
      <c r="F2821" s="7"/>
      <c r="G2821" s="7"/>
      <c r="M2821" s="10"/>
      <c r="P2821" s="11"/>
      <c r="Q2821" s="12"/>
    </row>
    <row r="2822" spans="1:17">
      <c r="A2822" s="14">
        <v>42776</v>
      </c>
      <c r="B2822" s="8">
        <v>1225.5914763260068</v>
      </c>
      <c r="F2822" s="7"/>
      <c r="G2822" s="7"/>
      <c r="M2822" s="10"/>
      <c r="P2822" s="11"/>
      <c r="Q2822" s="12"/>
    </row>
    <row r="2823" spans="1:17">
      <c r="A2823" s="14">
        <v>42779</v>
      </c>
      <c r="B2823" s="8">
        <v>1233.2736002445145</v>
      </c>
      <c r="F2823" s="7"/>
      <c r="G2823" s="7"/>
      <c r="M2823" s="10"/>
      <c r="P2823" s="11"/>
      <c r="Q2823" s="12"/>
    </row>
    <row r="2824" spans="1:17">
      <c r="A2824" s="14">
        <v>42780</v>
      </c>
      <c r="B2824" s="8">
        <v>1239.3378383730935</v>
      </c>
      <c r="F2824" s="7"/>
      <c r="G2824" s="7"/>
      <c r="M2824" s="10"/>
      <c r="P2824" s="11"/>
      <c r="Q2824" s="12"/>
    </row>
    <row r="2825" spans="1:17">
      <c r="A2825" s="14">
        <v>42781</v>
      </c>
      <c r="B2825" s="8">
        <v>1248.2517332781169</v>
      </c>
      <c r="F2825" s="7"/>
      <c r="G2825" s="7"/>
      <c r="M2825" s="10"/>
      <c r="P2825" s="11"/>
      <c r="Q2825" s="12"/>
    </row>
    <row r="2826" spans="1:17">
      <c r="A2826" s="14">
        <v>42782</v>
      </c>
      <c r="B2826" s="8">
        <v>1240.1729174516843</v>
      </c>
      <c r="F2826" s="7"/>
      <c r="G2826" s="7"/>
      <c r="M2826" s="10"/>
      <c r="P2826" s="11"/>
      <c r="Q2826" s="12"/>
    </row>
    <row r="2827" spans="1:17">
      <c r="A2827" s="14">
        <v>42783</v>
      </c>
      <c r="B2827" s="8">
        <v>1242.3486230263334</v>
      </c>
      <c r="F2827" s="7"/>
      <c r="G2827" s="7"/>
      <c r="M2827" s="10"/>
      <c r="P2827" s="11"/>
      <c r="Q2827" s="12"/>
    </row>
    <row r="2828" spans="1:17">
      <c r="A2828" s="14">
        <v>42786</v>
      </c>
      <c r="B2828" s="8">
        <v>1241.1652438897461</v>
      </c>
      <c r="F2828" s="7"/>
      <c r="G2828" s="7"/>
      <c r="M2828" s="10"/>
      <c r="P2828" s="11"/>
      <c r="Q2828" s="12"/>
    </row>
    <row r="2829" spans="1:17">
      <c r="A2829" s="14">
        <v>42787</v>
      </c>
      <c r="B2829" s="8">
        <v>1250.2704355447474</v>
      </c>
      <c r="F2829" s="7"/>
      <c r="G2829" s="7"/>
      <c r="M2829" s="10"/>
      <c r="P2829" s="11"/>
      <c r="Q2829" s="12"/>
    </row>
    <row r="2830" spans="1:17">
      <c r="A2830" s="14">
        <v>42788</v>
      </c>
      <c r="B2830" s="8">
        <v>1245.4622184949108</v>
      </c>
      <c r="F2830" s="7"/>
      <c r="G2830" s="7"/>
      <c r="M2830" s="10"/>
      <c r="P2830" s="11"/>
      <c r="Q2830" s="12"/>
    </row>
    <row r="2831" spans="1:17">
      <c r="A2831" s="14">
        <v>42789</v>
      </c>
      <c r="B2831" s="8">
        <v>1235.5701850668661</v>
      </c>
      <c r="F2831" s="7"/>
      <c r="G2831" s="7"/>
      <c r="M2831" s="10"/>
      <c r="P2831" s="11"/>
      <c r="Q2831" s="12"/>
    </row>
    <row r="2832" spans="1:17">
      <c r="A2832" s="14">
        <v>42790</v>
      </c>
      <c r="B2832" s="8">
        <v>1229.3540885991563</v>
      </c>
      <c r="F2832" s="7"/>
      <c r="G2832" s="7"/>
      <c r="M2832" s="10"/>
      <c r="P2832" s="11"/>
      <c r="Q2832" s="12"/>
    </row>
    <row r="2833" spans="1:17">
      <c r="A2833" s="14">
        <v>42793</v>
      </c>
      <c r="B2833" s="8">
        <v>1227.8906334271885</v>
      </c>
      <c r="F2833" s="7"/>
      <c r="G2833" s="7"/>
      <c r="M2833" s="10"/>
      <c r="P2833" s="11"/>
      <c r="Q2833" s="12"/>
    </row>
    <row r="2834" spans="1:17">
      <c r="A2834" s="14">
        <v>42794</v>
      </c>
      <c r="B2834" s="8">
        <v>1227.8090791205996</v>
      </c>
      <c r="F2834" s="7"/>
      <c r="G2834" s="7"/>
      <c r="M2834" s="10"/>
      <c r="P2834" s="11"/>
      <c r="Q2834" s="12"/>
    </row>
    <row r="2835" spans="1:17">
      <c r="A2835" s="14">
        <v>42795</v>
      </c>
      <c r="B2835" s="8">
        <v>1256.3652308591552</v>
      </c>
      <c r="F2835" s="7"/>
      <c r="G2835" s="7"/>
      <c r="M2835" s="10"/>
      <c r="P2835" s="11"/>
      <c r="Q2835" s="12"/>
    </row>
    <row r="2836" spans="1:17">
      <c r="A2836" s="14">
        <v>42796</v>
      </c>
      <c r="B2836" s="8">
        <v>1248.8049275550313</v>
      </c>
      <c r="F2836" s="7"/>
      <c r="G2836" s="7"/>
      <c r="M2836" s="10"/>
      <c r="P2836" s="11"/>
      <c r="Q2836" s="12"/>
    </row>
    <row r="2837" spans="1:17">
      <c r="A2837" s="14">
        <v>42797</v>
      </c>
      <c r="B2837" s="8">
        <v>1257.0002045708652</v>
      </c>
      <c r="F2837" s="7"/>
      <c r="G2837" s="7"/>
      <c r="M2837" s="10"/>
      <c r="P2837" s="11"/>
      <c r="Q2837" s="12"/>
    </row>
    <row r="2838" spans="1:17">
      <c r="A2838" s="14">
        <v>42800</v>
      </c>
      <c r="B2838" s="8">
        <v>1250.2151926717293</v>
      </c>
      <c r="F2838" s="7"/>
      <c r="G2838" s="7"/>
      <c r="M2838" s="10"/>
      <c r="P2838" s="11"/>
      <c r="Q2838" s="12"/>
    </row>
    <row r="2839" spans="1:17">
      <c r="A2839" s="14">
        <v>42801</v>
      </c>
      <c r="B2839" s="8">
        <v>1250.4150936954545</v>
      </c>
      <c r="F2839" s="7"/>
      <c r="G2839" s="7"/>
      <c r="M2839" s="10"/>
      <c r="P2839" s="11"/>
      <c r="Q2839" s="12"/>
    </row>
    <row r="2840" spans="1:17">
      <c r="A2840" s="14">
        <v>42802</v>
      </c>
      <c r="B2840" s="8">
        <v>1254.6137527116987</v>
      </c>
      <c r="F2840" s="7"/>
      <c r="G2840" s="7"/>
      <c r="M2840" s="10"/>
      <c r="P2840" s="11"/>
      <c r="Q2840" s="12"/>
    </row>
    <row r="2841" spans="1:17">
      <c r="A2841" s="14">
        <v>42803</v>
      </c>
      <c r="B2841" s="8">
        <v>1260.5670941170342</v>
      </c>
      <c r="F2841" s="7"/>
      <c r="G2841" s="7"/>
      <c r="M2841" s="10"/>
      <c r="P2841" s="11"/>
      <c r="Q2841" s="12"/>
    </row>
    <row r="2842" spans="1:17">
      <c r="A2842" s="14">
        <v>42804</v>
      </c>
      <c r="B2842" s="8">
        <v>1267.3599558975102</v>
      </c>
      <c r="F2842" s="7"/>
      <c r="G2842" s="7"/>
      <c r="M2842" s="10"/>
      <c r="P2842" s="11"/>
      <c r="Q2842" s="12"/>
    </row>
    <row r="2843" spans="1:17">
      <c r="A2843" s="14">
        <v>42807</v>
      </c>
      <c r="B2843" s="8">
        <v>1270.8874678527861</v>
      </c>
      <c r="F2843" s="7"/>
      <c r="G2843" s="7"/>
      <c r="M2843" s="10"/>
      <c r="P2843" s="11"/>
      <c r="Q2843" s="12"/>
    </row>
    <row r="2844" spans="1:17">
      <c r="A2844" s="14">
        <v>42808</v>
      </c>
      <c r="B2844" s="8">
        <v>1267.0785195730707</v>
      </c>
      <c r="F2844" s="7"/>
      <c r="G2844" s="7"/>
      <c r="M2844" s="10"/>
      <c r="P2844" s="11"/>
      <c r="Q2844" s="12"/>
    </row>
    <row r="2845" spans="1:17">
      <c r="A2845" s="14">
        <v>42809</v>
      </c>
      <c r="B2845" s="8">
        <v>1272.9602085764122</v>
      </c>
      <c r="F2845" s="7"/>
      <c r="G2845" s="7"/>
      <c r="M2845" s="10"/>
      <c r="P2845" s="11"/>
      <c r="Q2845" s="12"/>
    </row>
    <row r="2846" spans="1:17">
      <c r="A2846" s="14">
        <v>42810</v>
      </c>
      <c r="B2846" s="8">
        <v>1280.9073799762707</v>
      </c>
      <c r="F2846" s="7"/>
      <c r="G2846" s="7"/>
      <c r="M2846" s="10"/>
      <c r="P2846" s="11"/>
      <c r="Q2846" s="12"/>
    </row>
    <row r="2847" spans="1:17">
      <c r="A2847" s="14">
        <v>42811</v>
      </c>
      <c r="B2847" s="8">
        <v>1283.4397456141305</v>
      </c>
      <c r="F2847" s="7"/>
      <c r="G2847" s="7"/>
      <c r="M2847" s="10"/>
      <c r="P2847" s="11"/>
      <c r="Q2847" s="12"/>
    </row>
    <row r="2848" spans="1:17">
      <c r="A2848" s="14">
        <v>42814</v>
      </c>
      <c r="B2848" s="8">
        <v>1279.5074475935635</v>
      </c>
      <c r="F2848" s="7"/>
      <c r="G2848" s="7"/>
      <c r="M2848" s="10"/>
      <c r="P2848" s="11"/>
      <c r="Q2848" s="12"/>
    </row>
    <row r="2849" spans="1:17">
      <c r="A2849" s="14">
        <v>42815</v>
      </c>
      <c r="B2849" s="8">
        <v>1264.2605944881489</v>
      </c>
      <c r="F2849" s="7"/>
      <c r="G2849" s="7"/>
      <c r="M2849" s="10"/>
      <c r="P2849" s="11"/>
      <c r="Q2849" s="12"/>
    </row>
    <row r="2850" spans="1:17">
      <c r="A2850" s="14">
        <v>42816</v>
      </c>
      <c r="B2850" s="8">
        <v>1265.7038958671278</v>
      </c>
      <c r="F2850" s="7"/>
      <c r="G2850" s="7"/>
      <c r="M2850" s="10"/>
      <c r="P2850" s="11"/>
      <c r="Q2850" s="12"/>
    </row>
    <row r="2851" spans="1:17">
      <c r="A2851" s="14">
        <v>42817</v>
      </c>
      <c r="B2851" s="8">
        <v>1271.4775157613458</v>
      </c>
      <c r="F2851" s="7"/>
      <c r="G2851" s="7"/>
      <c r="M2851" s="10"/>
      <c r="P2851" s="11"/>
      <c r="Q2851" s="12"/>
    </row>
    <row r="2852" spans="1:17">
      <c r="A2852" s="14">
        <v>42818</v>
      </c>
      <c r="B2852" s="8">
        <v>1277.2688265769425</v>
      </c>
      <c r="F2852" s="7"/>
      <c r="G2852" s="7"/>
      <c r="M2852" s="10"/>
      <c r="P2852" s="11"/>
      <c r="Q2852" s="12"/>
    </row>
    <row r="2853" spans="1:17">
      <c r="A2853" s="14">
        <v>42821</v>
      </c>
      <c r="B2853" s="8">
        <v>1273.7621172021124</v>
      </c>
      <c r="F2853" s="7"/>
      <c r="G2853" s="7"/>
      <c r="M2853" s="10"/>
      <c r="P2853" s="11"/>
      <c r="Q2853" s="12"/>
    </row>
    <row r="2854" spans="1:17">
      <c r="A2854" s="14">
        <v>42822</v>
      </c>
      <c r="B2854" s="8">
        <v>1285.7701465109571</v>
      </c>
      <c r="F2854" s="7"/>
      <c r="G2854" s="7"/>
      <c r="M2854" s="10"/>
      <c r="P2854" s="11"/>
      <c r="Q2854" s="12"/>
    </row>
    <row r="2855" spans="1:17">
      <c r="A2855" s="14">
        <v>42823</v>
      </c>
      <c r="B2855" s="8">
        <v>1284.5489555934244</v>
      </c>
      <c r="F2855" s="7"/>
      <c r="G2855" s="7"/>
      <c r="M2855" s="10"/>
      <c r="P2855" s="11"/>
      <c r="Q2855" s="12"/>
    </row>
    <row r="2856" spans="1:17">
      <c r="A2856" s="14">
        <v>42824</v>
      </c>
      <c r="B2856" s="8">
        <v>1290.3937849306096</v>
      </c>
      <c r="F2856" s="7"/>
      <c r="G2856" s="7"/>
      <c r="M2856" s="10"/>
      <c r="P2856" s="11"/>
      <c r="Q2856" s="12"/>
    </row>
    <row r="2857" spans="1:17">
      <c r="A2857" s="14">
        <v>42825</v>
      </c>
      <c r="B2857" s="8">
        <v>1293.4021460948773</v>
      </c>
      <c r="F2857" s="7"/>
      <c r="G2857" s="7"/>
      <c r="M2857" s="10"/>
      <c r="P2857" s="11"/>
      <c r="Q2857" s="12"/>
    </row>
    <row r="2858" spans="1:17">
      <c r="A2858" s="14">
        <v>42828</v>
      </c>
      <c r="B2858" s="8">
        <v>1283.7971228256101</v>
      </c>
      <c r="F2858" s="7"/>
      <c r="G2858" s="7"/>
      <c r="M2858" s="10"/>
      <c r="P2858" s="11"/>
      <c r="Q2858" s="12"/>
    </row>
    <row r="2859" spans="1:17">
      <c r="A2859" s="14">
        <v>42829</v>
      </c>
      <c r="B2859" s="8">
        <v>1281.6770565375662</v>
      </c>
      <c r="F2859" s="7"/>
      <c r="G2859" s="7"/>
      <c r="M2859" s="10"/>
      <c r="P2859" s="11"/>
      <c r="Q2859" s="12"/>
    </row>
    <row r="2860" spans="1:17">
      <c r="A2860" s="14">
        <v>42830</v>
      </c>
      <c r="B2860" s="8">
        <v>1278.3634389408455</v>
      </c>
      <c r="F2860" s="7"/>
      <c r="G2860" s="7"/>
      <c r="M2860" s="10"/>
      <c r="P2860" s="11"/>
      <c r="Q2860" s="12"/>
    </row>
    <row r="2861" spans="1:17">
      <c r="A2861" s="14">
        <v>42831</v>
      </c>
      <c r="B2861" s="8">
        <v>1284.0414670910045</v>
      </c>
      <c r="F2861" s="7"/>
      <c r="G2861" s="7"/>
      <c r="M2861" s="10"/>
      <c r="P2861" s="11"/>
      <c r="Q2861" s="12"/>
    </row>
    <row r="2862" spans="1:17">
      <c r="A2862" s="14">
        <v>42832</v>
      </c>
      <c r="B2862" s="8">
        <v>1284.2636040975544</v>
      </c>
      <c r="F2862" s="7"/>
      <c r="G2862" s="7"/>
      <c r="M2862" s="10"/>
      <c r="P2862" s="11"/>
      <c r="Q2862" s="12"/>
    </row>
    <row r="2863" spans="1:17">
      <c r="A2863" s="14">
        <v>42835</v>
      </c>
      <c r="B2863" s="8">
        <v>1278.846202745395</v>
      </c>
      <c r="F2863" s="7"/>
      <c r="G2863" s="7"/>
      <c r="M2863" s="10"/>
      <c r="P2863" s="11"/>
      <c r="Q2863" s="12"/>
    </row>
    <row r="2864" spans="1:17">
      <c r="A2864" s="14">
        <v>42836</v>
      </c>
      <c r="B2864" s="8">
        <v>1272.9066827359143</v>
      </c>
      <c r="F2864" s="7"/>
      <c r="G2864" s="7"/>
      <c r="M2864" s="10"/>
      <c r="P2864" s="11"/>
      <c r="Q2864" s="12"/>
    </row>
    <row r="2865" spans="1:17">
      <c r="A2865" s="14">
        <v>42837</v>
      </c>
      <c r="B2865" s="8">
        <v>1262.2471267638734</v>
      </c>
      <c r="F2865" s="7"/>
      <c r="G2865" s="7"/>
      <c r="M2865" s="10"/>
      <c r="P2865" s="11"/>
      <c r="Q2865" s="12"/>
    </row>
    <row r="2866" spans="1:17">
      <c r="A2866" s="14">
        <v>42838</v>
      </c>
      <c r="B2866" s="8">
        <v>1253.7604127425275</v>
      </c>
      <c r="F2866" s="7"/>
      <c r="G2866" s="7"/>
      <c r="M2866" s="10"/>
      <c r="P2866" s="11"/>
      <c r="Q2866" s="12"/>
    </row>
    <row r="2867" spans="1:17">
      <c r="A2867" s="14">
        <v>42839</v>
      </c>
      <c r="B2867" s="8">
        <v>1253.3787200650934</v>
      </c>
      <c r="F2867" s="7"/>
      <c r="G2867" s="7"/>
      <c r="M2867" s="10"/>
      <c r="P2867" s="11"/>
      <c r="Q2867" s="12"/>
    </row>
    <row r="2868" spans="1:17">
      <c r="A2868" s="14">
        <v>42842</v>
      </c>
      <c r="B2868" s="8">
        <v>1260.5107997577622</v>
      </c>
      <c r="F2868" s="7"/>
      <c r="G2868" s="7"/>
      <c r="M2868" s="10"/>
      <c r="P2868" s="11"/>
      <c r="Q2868" s="12"/>
    </row>
    <row r="2869" spans="1:17">
      <c r="A2869" s="14">
        <v>42843</v>
      </c>
      <c r="B2869" s="8">
        <v>1252.8582634540758</v>
      </c>
      <c r="F2869" s="7"/>
      <c r="G2869" s="7"/>
      <c r="M2869" s="10"/>
      <c r="P2869" s="11"/>
      <c r="Q2869" s="12"/>
    </row>
    <row r="2870" spans="1:17">
      <c r="A2870" s="14">
        <v>42844</v>
      </c>
      <c r="B2870" s="8">
        <v>1260.5127694115552</v>
      </c>
      <c r="F2870" s="7"/>
      <c r="G2870" s="7"/>
      <c r="M2870" s="10"/>
      <c r="P2870" s="11"/>
      <c r="Q2870" s="12"/>
    </row>
    <row r="2871" spans="1:17">
      <c r="A2871" s="14">
        <v>42845</v>
      </c>
      <c r="B2871" s="8">
        <v>1273.9545189581231</v>
      </c>
      <c r="F2871" s="7"/>
      <c r="G2871" s="7"/>
      <c r="M2871" s="10"/>
      <c r="P2871" s="11"/>
      <c r="Q2871" s="12"/>
    </row>
    <row r="2872" spans="1:17">
      <c r="A2872" s="14">
        <v>42846</v>
      </c>
      <c r="B2872" s="8">
        <v>1274.3238152915023</v>
      </c>
      <c r="F2872" s="7"/>
      <c r="G2872" s="7"/>
      <c r="M2872" s="10"/>
      <c r="P2872" s="11"/>
      <c r="Q2872" s="12"/>
    </row>
    <row r="2873" spans="1:17">
      <c r="A2873" s="14">
        <v>42849</v>
      </c>
      <c r="B2873" s="8">
        <v>1317.0009034366235</v>
      </c>
      <c r="F2873" s="7"/>
      <c r="G2873" s="7"/>
      <c r="M2873" s="10"/>
      <c r="P2873" s="11"/>
      <c r="Q2873" s="12"/>
    </row>
    <row r="2874" spans="1:17">
      <c r="A2874" s="14">
        <v>42850</v>
      </c>
      <c r="B2874" s="8">
        <v>1328.4071331569196</v>
      </c>
      <c r="F2874" s="7"/>
      <c r="G2874" s="7"/>
      <c r="M2874" s="10"/>
      <c r="P2874" s="11"/>
      <c r="Q2874" s="12"/>
    </row>
    <row r="2875" spans="1:17">
      <c r="A2875" s="14">
        <v>42851</v>
      </c>
      <c r="B2875" s="8">
        <v>1322.5106560337231</v>
      </c>
      <c r="F2875" s="7"/>
      <c r="G2875" s="7"/>
      <c r="M2875" s="10"/>
      <c r="P2875" s="11"/>
      <c r="Q2875" s="12"/>
    </row>
    <row r="2876" spans="1:17">
      <c r="A2876" s="14">
        <v>42852</v>
      </c>
      <c r="B2876" s="8">
        <v>1323.4219617981564</v>
      </c>
      <c r="F2876" s="7"/>
      <c r="G2876" s="7"/>
      <c r="M2876" s="10"/>
      <c r="P2876" s="11"/>
      <c r="Q2876" s="12"/>
    </row>
    <row r="2877" spans="1:17">
      <c r="A2877" s="14">
        <v>42853</v>
      </c>
      <c r="B2877" s="8">
        <v>1321.2244234491548</v>
      </c>
      <c r="F2877" s="7"/>
      <c r="G2877" s="7"/>
      <c r="M2877" s="10"/>
      <c r="P2877" s="11"/>
      <c r="Q2877" s="12"/>
    </row>
    <row r="2878" spans="1:17">
      <c r="A2878" s="14">
        <v>42856</v>
      </c>
      <c r="B2878" s="8">
        <v>1323.8161106367115</v>
      </c>
      <c r="F2878" s="7"/>
      <c r="G2878" s="7"/>
      <c r="M2878" s="10"/>
      <c r="P2878" s="11"/>
      <c r="Q2878" s="12"/>
    </row>
    <row r="2879" spans="1:17">
      <c r="A2879" s="14">
        <v>42857</v>
      </c>
      <c r="B2879" s="8">
        <v>1328.9369716887743</v>
      </c>
      <c r="F2879" s="7"/>
      <c r="G2879" s="7"/>
      <c r="M2879" s="10"/>
      <c r="P2879" s="11"/>
      <c r="Q2879" s="12"/>
    </row>
    <row r="2880" spans="1:17">
      <c r="A2880" s="14">
        <v>42858</v>
      </c>
      <c r="B2880" s="8">
        <v>1328.5954899231922</v>
      </c>
      <c r="F2880" s="7"/>
      <c r="G2880" s="7"/>
      <c r="M2880" s="10"/>
      <c r="P2880" s="11"/>
      <c r="Q2880" s="12"/>
    </row>
    <row r="2881" spans="1:17">
      <c r="A2881" s="14">
        <v>42859</v>
      </c>
      <c r="B2881" s="8">
        <v>1335.0430146044932</v>
      </c>
      <c r="F2881" s="7"/>
      <c r="G2881" s="7"/>
      <c r="M2881" s="10"/>
      <c r="P2881" s="11"/>
      <c r="Q2881" s="12"/>
    </row>
    <row r="2882" spans="1:17">
      <c r="A2882" s="14">
        <v>42860</v>
      </c>
      <c r="B2882" s="8">
        <v>1349.2207671270562</v>
      </c>
      <c r="F2882" s="7"/>
      <c r="G2882" s="7"/>
      <c r="M2882" s="10"/>
      <c r="P2882" s="11"/>
      <c r="Q2882" s="12"/>
    </row>
    <row r="2883" spans="1:17">
      <c r="A2883" s="14">
        <v>42863</v>
      </c>
      <c r="B2883" s="8">
        <v>1339.5129816748654</v>
      </c>
      <c r="F2883" s="7"/>
      <c r="G2883" s="7"/>
      <c r="M2883" s="10"/>
      <c r="P2883" s="11"/>
      <c r="Q2883" s="12"/>
    </row>
    <row r="2884" spans="1:17">
      <c r="A2884" s="14">
        <v>42864</v>
      </c>
      <c r="B2884" s="8">
        <v>1340.8628397403454</v>
      </c>
      <c r="F2884" s="7"/>
      <c r="G2884" s="7"/>
      <c r="M2884" s="10"/>
      <c r="P2884" s="11"/>
      <c r="Q2884" s="12"/>
    </row>
    <row r="2885" spans="1:17">
      <c r="A2885" s="14">
        <v>42865</v>
      </c>
      <c r="B2885" s="8">
        <v>1347.9578769860757</v>
      </c>
      <c r="F2885" s="7"/>
      <c r="G2885" s="7"/>
      <c r="M2885" s="10"/>
      <c r="P2885" s="11"/>
      <c r="Q2885" s="12"/>
    </row>
    <row r="2886" spans="1:17">
      <c r="A2886" s="14">
        <v>42866</v>
      </c>
      <c r="B2886" s="8">
        <v>1344.5449462636027</v>
      </c>
      <c r="F2886" s="7"/>
      <c r="G2886" s="7"/>
      <c r="M2886" s="10"/>
      <c r="P2886" s="11"/>
      <c r="Q2886" s="12"/>
    </row>
    <row r="2887" spans="1:17">
      <c r="A2887" s="14">
        <v>42867</v>
      </c>
      <c r="B2887" s="8">
        <v>1347.7683666933353</v>
      </c>
      <c r="F2887" s="7"/>
      <c r="G2887" s="7"/>
      <c r="M2887" s="10"/>
      <c r="P2887" s="11"/>
      <c r="Q2887" s="12"/>
    </row>
    <row r="2888" spans="1:17">
      <c r="A2888" s="14">
        <v>42870</v>
      </c>
      <c r="B2888" s="8">
        <v>1354.3745611709792</v>
      </c>
      <c r="F2888" s="7"/>
      <c r="G2888" s="7"/>
      <c r="M2888" s="10"/>
      <c r="P2888" s="11"/>
      <c r="Q2888" s="12"/>
    </row>
    <row r="2889" spans="1:17">
      <c r="A2889" s="14">
        <v>42871</v>
      </c>
      <c r="B2889" s="8">
        <v>1358.4459220959586</v>
      </c>
      <c r="F2889" s="7"/>
      <c r="G2889" s="7"/>
      <c r="M2889" s="10"/>
      <c r="P2889" s="11"/>
      <c r="Q2889" s="12"/>
    </row>
    <row r="2890" spans="1:17">
      <c r="A2890" s="14">
        <v>42872</v>
      </c>
      <c r="B2890" s="8">
        <v>1325.1905711072714</v>
      </c>
      <c r="F2890" s="7"/>
      <c r="G2890" s="7"/>
      <c r="M2890" s="10"/>
      <c r="P2890" s="11"/>
      <c r="Q2890" s="12"/>
    </row>
    <row r="2891" spans="1:17">
      <c r="A2891" s="14">
        <v>42873</v>
      </c>
      <c r="B2891" s="8">
        <v>1326.8599566121713</v>
      </c>
      <c r="F2891" s="7"/>
      <c r="G2891" s="7"/>
      <c r="M2891" s="10"/>
      <c r="P2891" s="11"/>
      <c r="Q2891" s="12"/>
    </row>
    <row r="2892" spans="1:17">
      <c r="A2892" s="14">
        <v>42874</v>
      </c>
      <c r="B2892" s="8">
        <v>1338.2873266111249</v>
      </c>
      <c r="F2892" s="7"/>
      <c r="G2892" s="7"/>
      <c r="M2892" s="10"/>
      <c r="P2892" s="11"/>
      <c r="Q2892" s="12"/>
    </row>
    <row r="2893" spans="1:17">
      <c r="A2893" s="14">
        <v>42877</v>
      </c>
      <c r="B2893" s="8">
        <v>1338.8097729019194</v>
      </c>
      <c r="F2893" s="7"/>
      <c r="G2893" s="7"/>
      <c r="M2893" s="10"/>
      <c r="P2893" s="11"/>
      <c r="Q2893" s="12"/>
    </row>
    <row r="2894" spans="1:17">
      <c r="A2894" s="14">
        <v>42878</v>
      </c>
      <c r="B2894" s="8">
        <v>1341.7047622674281</v>
      </c>
      <c r="F2894" s="7"/>
      <c r="G2894" s="7"/>
      <c r="M2894" s="10"/>
      <c r="P2894" s="11"/>
      <c r="Q2894" s="12"/>
    </row>
    <row r="2895" spans="1:17">
      <c r="A2895" s="14">
        <v>42879</v>
      </c>
      <c r="B2895" s="8">
        <v>1347.6002373595747</v>
      </c>
      <c r="F2895" s="7"/>
      <c r="G2895" s="7"/>
      <c r="M2895" s="10"/>
      <c r="P2895" s="11"/>
      <c r="Q2895" s="12"/>
    </row>
    <row r="2896" spans="1:17">
      <c r="A2896" s="14">
        <v>42880</v>
      </c>
      <c r="B2896" s="8">
        <v>1352.3430705113417</v>
      </c>
      <c r="F2896" s="7"/>
      <c r="G2896" s="7"/>
      <c r="M2896" s="10"/>
      <c r="P2896" s="11"/>
      <c r="Q2896" s="12"/>
    </row>
    <row r="2897" spans="1:17">
      <c r="A2897" s="14">
        <v>42881</v>
      </c>
      <c r="B2897" s="8">
        <v>1350.140669002164</v>
      </c>
      <c r="F2897" s="7"/>
      <c r="G2897" s="7"/>
      <c r="M2897" s="10"/>
      <c r="P2897" s="11"/>
      <c r="Q2897" s="12"/>
    </row>
    <row r="2898" spans="1:17">
      <c r="A2898" s="14">
        <v>42884</v>
      </c>
      <c r="B2898" s="8">
        <v>1345.8567993988102</v>
      </c>
      <c r="F2898" s="7"/>
      <c r="G2898" s="7"/>
      <c r="M2898" s="10"/>
      <c r="P2898" s="11"/>
      <c r="Q2898" s="12"/>
    </row>
    <row r="2899" spans="1:17">
      <c r="A2899" s="14">
        <v>42885</v>
      </c>
      <c r="B2899" s="8">
        <v>1345.372372494691</v>
      </c>
      <c r="F2899" s="7"/>
      <c r="G2899" s="7"/>
      <c r="M2899" s="10"/>
      <c r="P2899" s="11"/>
      <c r="Q2899" s="12"/>
    </row>
    <row r="2900" spans="1:17">
      <c r="A2900" s="14">
        <v>42886</v>
      </c>
      <c r="B2900" s="8">
        <v>1341.093343687266</v>
      </c>
      <c r="F2900" s="7"/>
      <c r="G2900" s="7"/>
      <c r="M2900" s="10"/>
      <c r="P2900" s="11"/>
      <c r="Q2900" s="12"/>
    </row>
    <row r="2901" spans="1:17">
      <c r="A2901" s="14">
        <v>42887</v>
      </c>
      <c r="B2901" s="8">
        <v>1349.2320565907519</v>
      </c>
      <c r="F2901" s="7"/>
      <c r="G2901" s="7"/>
      <c r="M2901" s="10"/>
      <c r="P2901" s="11"/>
      <c r="Q2901" s="12"/>
    </row>
    <row r="2902" spans="1:17">
      <c r="A2902" s="14">
        <v>42888</v>
      </c>
      <c r="B2902" s="8">
        <v>1354.9402332718794</v>
      </c>
      <c r="F2902" s="7"/>
      <c r="G2902" s="7"/>
      <c r="M2902" s="10"/>
      <c r="P2902" s="11"/>
      <c r="Q2902" s="12"/>
    </row>
    <row r="2903" spans="1:17">
      <c r="A2903" s="14">
        <v>42891</v>
      </c>
      <c r="B2903" s="8">
        <v>1353.4887736837018</v>
      </c>
      <c r="F2903" s="7"/>
      <c r="G2903" s="7"/>
      <c r="M2903" s="10"/>
      <c r="P2903" s="11"/>
      <c r="Q2903" s="12"/>
    </row>
    <row r="2904" spans="1:17">
      <c r="A2904" s="14">
        <v>42892</v>
      </c>
      <c r="B2904" s="8">
        <v>1347.9915271541449</v>
      </c>
      <c r="F2904" s="7"/>
      <c r="G2904" s="7"/>
      <c r="M2904" s="10"/>
      <c r="P2904" s="11"/>
      <c r="Q2904" s="12"/>
    </row>
    <row r="2905" spans="1:17">
      <c r="A2905" s="14">
        <v>42893</v>
      </c>
      <c r="B2905" s="8">
        <v>1354.2549912382917</v>
      </c>
      <c r="F2905" s="7"/>
      <c r="G2905" s="7"/>
      <c r="M2905" s="10"/>
      <c r="P2905" s="11"/>
      <c r="Q2905" s="12"/>
    </row>
    <row r="2906" spans="1:17">
      <c r="A2906" s="14">
        <v>42894</v>
      </c>
      <c r="B2906" s="8">
        <v>1366.9945052852574</v>
      </c>
      <c r="F2906" s="7"/>
      <c r="G2906" s="7"/>
      <c r="M2906" s="10"/>
      <c r="P2906" s="11"/>
      <c r="Q2906" s="12"/>
    </row>
    <row r="2907" spans="1:17">
      <c r="A2907" s="14">
        <v>42895</v>
      </c>
      <c r="B2907" s="8">
        <v>1358.5067287748857</v>
      </c>
      <c r="F2907" s="7"/>
      <c r="G2907" s="7"/>
      <c r="M2907" s="10"/>
      <c r="P2907" s="11"/>
      <c r="Q2907" s="12"/>
    </row>
    <row r="2908" spans="1:17">
      <c r="A2908" s="14">
        <v>42898</v>
      </c>
      <c r="B2908" s="8">
        <v>1343.6312279887597</v>
      </c>
      <c r="F2908" s="7"/>
      <c r="G2908" s="7"/>
      <c r="M2908" s="10"/>
      <c r="P2908" s="11"/>
      <c r="Q2908" s="12"/>
    </row>
    <row r="2909" spans="1:17">
      <c r="A2909" s="14">
        <v>42899</v>
      </c>
      <c r="B2909" s="8">
        <v>1352.7030309346524</v>
      </c>
      <c r="F2909" s="7"/>
      <c r="G2909" s="7"/>
      <c r="M2909" s="10"/>
      <c r="P2909" s="11"/>
      <c r="Q2909" s="12"/>
    </row>
    <row r="2910" spans="1:17">
      <c r="A2910" s="14">
        <v>42900</v>
      </c>
      <c r="B2910" s="8">
        <v>1347.4463877939452</v>
      </c>
      <c r="F2910" s="7"/>
      <c r="G2910" s="7"/>
      <c r="M2910" s="10"/>
      <c r="P2910" s="11"/>
      <c r="Q2910" s="12"/>
    </row>
    <row r="2911" spans="1:17">
      <c r="A2911" s="14">
        <v>42901</v>
      </c>
      <c r="B2911" s="8">
        <v>1340.9237709543982</v>
      </c>
      <c r="F2911" s="7"/>
      <c r="G2911" s="7"/>
      <c r="M2911" s="10"/>
      <c r="P2911" s="11"/>
      <c r="Q2911" s="12"/>
    </row>
    <row r="2912" spans="1:17">
      <c r="A2912" s="14">
        <v>42902</v>
      </c>
      <c r="B2912" s="8">
        <v>1342.7274004720305</v>
      </c>
      <c r="F2912" s="7"/>
      <c r="G2912" s="7"/>
      <c r="M2912" s="10"/>
      <c r="P2912" s="11"/>
      <c r="Q2912" s="12"/>
    </row>
    <row r="2913" spans="1:17">
      <c r="A2913" s="14">
        <v>42905</v>
      </c>
      <c r="B2913" s="8">
        <v>1358.9516362148747</v>
      </c>
      <c r="F2913" s="7"/>
      <c r="G2913" s="7"/>
      <c r="M2913" s="10"/>
      <c r="P2913" s="11"/>
      <c r="Q2913" s="12"/>
    </row>
    <row r="2914" spans="1:17">
      <c r="A2914" s="14">
        <v>42906</v>
      </c>
      <c r="B2914" s="8">
        <v>1349.0228397409726</v>
      </c>
      <c r="F2914" s="7"/>
      <c r="G2914" s="7"/>
      <c r="M2914" s="10"/>
      <c r="P2914" s="11"/>
      <c r="Q2914" s="12"/>
    </row>
    <row r="2915" spans="1:17">
      <c r="A2915" s="14">
        <v>42907</v>
      </c>
      <c r="B2915" s="8">
        <v>1352.6821454865678</v>
      </c>
      <c r="F2915" s="7"/>
      <c r="G2915" s="7"/>
      <c r="M2915" s="10"/>
      <c r="P2915" s="11"/>
      <c r="Q2915" s="12"/>
    </row>
    <row r="2916" spans="1:17">
      <c r="A2916" s="14">
        <v>42908</v>
      </c>
      <c r="B2916" s="8">
        <v>1351.2887120166447</v>
      </c>
      <c r="F2916" s="7"/>
      <c r="G2916" s="7"/>
      <c r="M2916" s="10"/>
      <c r="P2916" s="11"/>
      <c r="Q2916" s="12"/>
    </row>
    <row r="2917" spans="1:17">
      <c r="A2917" s="14">
        <v>42909</v>
      </c>
      <c r="B2917" s="8">
        <v>1349.0191144196883</v>
      </c>
      <c r="F2917" s="7"/>
      <c r="G2917" s="7"/>
      <c r="M2917" s="10"/>
      <c r="P2917" s="11"/>
      <c r="Q2917" s="12"/>
    </row>
    <row r="2918" spans="1:17">
      <c r="A2918" s="14">
        <v>42912</v>
      </c>
      <c r="B2918" s="8">
        <v>1348.9221722630934</v>
      </c>
      <c r="F2918" s="7"/>
      <c r="G2918" s="7"/>
      <c r="M2918" s="10"/>
      <c r="P2918" s="11"/>
      <c r="Q2918" s="12"/>
    </row>
    <row r="2919" spans="1:17">
      <c r="A2919" s="14">
        <v>42913</v>
      </c>
      <c r="B2919" s="8">
        <v>1338.708479354349</v>
      </c>
      <c r="F2919" s="7"/>
      <c r="G2919" s="7"/>
      <c r="M2919" s="10"/>
      <c r="P2919" s="11"/>
      <c r="Q2919" s="12"/>
    </row>
    <row r="2920" spans="1:17">
      <c r="A2920" s="14">
        <v>42914</v>
      </c>
      <c r="B2920" s="8">
        <v>1353.2972226628531</v>
      </c>
      <c r="F2920" s="7"/>
      <c r="G2920" s="7"/>
      <c r="M2920" s="10"/>
      <c r="P2920" s="11"/>
      <c r="Q2920" s="12"/>
    </row>
    <row r="2921" spans="1:17">
      <c r="A2921" s="14">
        <v>42915</v>
      </c>
      <c r="B2921" s="8">
        <v>1333.0524484009952</v>
      </c>
      <c r="F2921" s="7"/>
      <c r="G2921" s="7"/>
      <c r="M2921" s="10"/>
      <c r="P2921" s="11"/>
      <c r="Q2921" s="12"/>
    </row>
    <row r="2922" spans="1:17">
      <c r="A2922" s="14">
        <v>42916</v>
      </c>
      <c r="B2922" s="8">
        <v>1328.3148902932455</v>
      </c>
      <c r="F2922" s="7"/>
      <c r="G2922" s="7"/>
      <c r="M2922" s="10"/>
      <c r="P2922" s="11"/>
      <c r="Q2922" s="12"/>
    </row>
    <row r="2923" spans="1:17">
      <c r="A2923" s="14">
        <v>42919</v>
      </c>
      <c r="B2923" s="8">
        <v>1335.7745271800422</v>
      </c>
      <c r="F2923" s="7"/>
      <c r="G2923" s="7"/>
      <c r="M2923" s="10"/>
      <c r="P2923" s="11"/>
      <c r="Q2923" s="12"/>
    </row>
    <row r="2924" spans="1:17">
      <c r="A2924" s="14">
        <v>42920</v>
      </c>
      <c r="B2924" s="8">
        <v>1333.136480067599</v>
      </c>
      <c r="F2924" s="7"/>
      <c r="G2924" s="7"/>
      <c r="M2924" s="10"/>
      <c r="P2924" s="11"/>
      <c r="Q2924" s="12"/>
    </row>
    <row r="2925" spans="1:17">
      <c r="A2925" s="14">
        <v>42921</v>
      </c>
      <c r="B2925" s="8">
        <v>1336.471956979002</v>
      </c>
      <c r="F2925" s="7"/>
      <c r="G2925" s="7"/>
      <c r="M2925" s="10"/>
      <c r="P2925" s="11"/>
      <c r="Q2925" s="12"/>
    </row>
    <row r="2926" spans="1:17">
      <c r="A2926" s="14">
        <v>42922</v>
      </c>
      <c r="B2926" s="8">
        <v>1330.5741989931116</v>
      </c>
      <c r="F2926" s="7"/>
      <c r="G2926" s="7"/>
      <c r="M2926" s="10"/>
      <c r="P2926" s="11"/>
      <c r="Q2926" s="12"/>
    </row>
    <row r="2927" spans="1:17">
      <c r="A2927" s="14">
        <v>42923</v>
      </c>
      <c r="B2927" s="8">
        <v>1337.7603536347137</v>
      </c>
      <c r="F2927" s="7"/>
      <c r="G2927" s="7"/>
      <c r="M2927" s="10"/>
      <c r="P2927" s="11"/>
      <c r="Q2927" s="12"/>
    </row>
    <row r="2928" spans="1:17">
      <c r="A2928" s="14">
        <v>42926</v>
      </c>
      <c r="B2928" s="8">
        <v>1340.3878892440582</v>
      </c>
      <c r="F2928" s="7"/>
      <c r="G2928" s="7"/>
      <c r="M2928" s="10"/>
      <c r="P2928" s="11"/>
      <c r="Q2928" s="12"/>
    </row>
    <row r="2929" spans="1:17">
      <c r="A2929" s="14">
        <v>42927</v>
      </c>
      <c r="B2929" s="8">
        <v>1337.5569727440054</v>
      </c>
      <c r="F2929" s="7"/>
      <c r="G2929" s="7"/>
      <c r="M2929" s="10"/>
      <c r="P2929" s="11"/>
      <c r="Q2929" s="12"/>
    </row>
    <row r="2930" spans="1:17">
      <c r="A2930" s="14">
        <v>42928</v>
      </c>
      <c r="B2930" s="8">
        <v>1354.0602616866313</v>
      </c>
      <c r="F2930" s="7"/>
      <c r="G2930" s="7"/>
      <c r="M2930" s="10"/>
      <c r="P2930" s="11"/>
      <c r="Q2930" s="12"/>
    </row>
    <row r="2931" spans="1:17">
      <c r="A2931" s="14">
        <v>42929</v>
      </c>
      <c r="B2931" s="8">
        <v>1353.774638651734</v>
      </c>
      <c r="F2931" s="7"/>
      <c r="G2931" s="7"/>
      <c r="M2931" s="10"/>
      <c r="P2931" s="11"/>
      <c r="Q2931" s="12"/>
    </row>
    <row r="2932" spans="1:17">
      <c r="A2932" s="14">
        <v>42930</v>
      </c>
      <c r="B2932" s="8">
        <v>1354.5455645296606</v>
      </c>
      <c r="F2932" s="7"/>
      <c r="G2932" s="7"/>
      <c r="M2932" s="10"/>
      <c r="P2932" s="11"/>
      <c r="Q2932" s="12"/>
    </row>
    <row r="2933" spans="1:17">
      <c r="A2933" s="14">
        <v>42933</v>
      </c>
      <c r="B2933" s="8">
        <v>1350.3667305132128</v>
      </c>
      <c r="F2933" s="7"/>
      <c r="G2933" s="7"/>
      <c r="M2933" s="10"/>
      <c r="P2933" s="11"/>
      <c r="Q2933" s="12"/>
    </row>
    <row r="2934" spans="1:17">
      <c r="A2934" s="14">
        <v>42934</v>
      </c>
      <c r="B2934" s="8">
        <v>1350.568018192766</v>
      </c>
      <c r="F2934" s="7"/>
      <c r="G2934" s="7"/>
      <c r="M2934" s="10"/>
      <c r="P2934" s="11"/>
      <c r="Q2934" s="12"/>
    </row>
    <row r="2935" spans="1:17">
      <c r="A2935" s="14">
        <v>42935</v>
      </c>
      <c r="B2935" s="8">
        <v>1357.2066464483087</v>
      </c>
      <c r="F2935" s="7"/>
      <c r="G2935" s="7"/>
      <c r="M2935" s="10"/>
      <c r="P2935" s="11"/>
      <c r="Q2935" s="12"/>
    </row>
    <row r="2936" spans="1:17">
      <c r="A2936" s="14">
        <v>42936</v>
      </c>
      <c r="B2936" s="8">
        <v>1354.6186356452986</v>
      </c>
      <c r="F2936" s="7"/>
      <c r="G2936" s="7"/>
      <c r="M2936" s="10"/>
      <c r="P2936" s="11"/>
      <c r="Q2936" s="12"/>
    </row>
    <row r="2937" spans="1:17">
      <c r="A2937" s="14">
        <v>42937</v>
      </c>
      <c r="B2937" s="8">
        <v>1343.2308363266927</v>
      </c>
      <c r="F2937" s="7"/>
      <c r="G2937" s="7"/>
      <c r="M2937" s="10"/>
      <c r="P2937" s="11"/>
      <c r="Q2937" s="12"/>
    </row>
    <row r="2938" spans="1:17">
      <c r="A2938" s="14">
        <v>42940</v>
      </c>
      <c r="B2938" s="8">
        <v>1343.4830841672544</v>
      </c>
      <c r="F2938" s="7"/>
      <c r="G2938" s="7"/>
      <c r="M2938" s="10"/>
      <c r="P2938" s="11"/>
      <c r="Q2938" s="12"/>
    </row>
    <row r="2939" spans="1:17">
      <c r="A2939" s="14">
        <v>42941</v>
      </c>
      <c r="B2939" s="8">
        <v>1353.5222015592663</v>
      </c>
      <c r="F2939" s="7"/>
      <c r="G2939" s="7"/>
      <c r="M2939" s="10"/>
      <c r="P2939" s="11"/>
      <c r="Q2939" s="12"/>
    </row>
    <row r="2940" spans="1:17">
      <c r="A2940" s="14">
        <v>42942</v>
      </c>
      <c r="B2940" s="8">
        <v>1362.938206368241</v>
      </c>
      <c r="F2940" s="7"/>
      <c r="G2940" s="7"/>
      <c r="M2940" s="10"/>
      <c r="P2940" s="11"/>
      <c r="Q2940" s="12"/>
    </row>
    <row r="2941" spans="1:17">
      <c r="A2941" s="14">
        <v>42943</v>
      </c>
      <c r="B2941" s="8">
        <v>1361.5316807367385</v>
      </c>
      <c r="F2941" s="7"/>
      <c r="G2941" s="7"/>
      <c r="M2941" s="10"/>
      <c r="P2941" s="11"/>
      <c r="Q2941" s="12"/>
    </row>
    <row r="2942" spans="1:17">
      <c r="A2942" s="14">
        <v>42944</v>
      </c>
      <c r="B2942" s="8">
        <v>1357.034089642139</v>
      </c>
      <c r="F2942" s="7"/>
      <c r="G2942" s="7"/>
      <c r="M2942" s="10"/>
      <c r="P2942" s="11"/>
      <c r="Q2942" s="12"/>
    </row>
    <row r="2943" spans="1:17">
      <c r="A2943" s="14">
        <v>42947</v>
      </c>
      <c r="B2943" s="8">
        <v>1351.8525724520318</v>
      </c>
      <c r="F2943" s="7"/>
      <c r="G2943" s="7"/>
      <c r="M2943" s="10"/>
      <c r="P2943" s="11"/>
      <c r="Q2943" s="12"/>
    </row>
    <row r="2944" spans="1:17">
      <c r="A2944" s="14">
        <v>42948</v>
      </c>
      <c r="B2944" s="8">
        <v>1360.4344639127842</v>
      </c>
      <c r="F2944" s="7"/>
      <c r="G2944" s="7"/>
      <c r="M2944" s="10"/>
      <c r="P2944" s="11"/>
      <c r="Q2944" s="12"/>
    </row>
    <row r="2945" spans="1:17">
      <c r="A2945" s="14">
        <v>42949</v>
      </c>
      <c r="B2945" s="8">
        <v>1350.9602550948921</v>
      </c>
      <c r="F2945" s="7"/>
      <c r="G2945" s="7"/>
      <c r="M2945" s="10"/>
      <c r="P2945" s="11"/>
      <c r="Q2945" s="12"/>
    </row>
    <row r="2946" spans="1:17">
      <c r="A2946" s="14">
        <v>42950</v>
      </c>
      <c r="B2946" s="8">
        <v>1355.4482003417506</v>
      </c>
      <c r="F2946" s="7"/>
      <c r="G2946" s="7"/>
      <c r="M2946" s="10"/>
      <c r="P2946" s="11"/>
      <c r="Q2946" s="12"/>
    </row>
    <row r="2947" spans="1:17">
      <c r="A2947" s="14">
        <v>42951</v>
      </c>
      <c r="B2947" s="8">
        <v>1373.395803047164</v>
      </c>
      <c r="F2947" s="7"/>
      <c r="G2947" s="7"/>
      <c r="M2947" s="10"/>
      <c r="P2947" s="11"/>
      <c r="Q2947" s="12"/>
    </row>
    <row r="2948" spans="1:17">
      <c r="A2948" s="14">
        <v>42954</v>
      </c>
      <c r="B2948" s="8">
        <v>1377.3212309732246</v>
      </c>
      <c r="F2948" s="7"/>
      <c r="G2948" s="7"/>
      <c r="M2948" s="10"/>
      <c r="P2948" s="11"/>
      <c r="Q2948" s="12"/>
    </row>
    <row r="2949" spans="1:17">
      <c r="A2949" s="14">
        <v>42955</v>
      </c>
      <c r="B2949" s="8">
        <v>1373.7522659605581</v>
      </c>
      <c r="F2949" s="7"/>
      <c r="G2949" s="7"/>
      <c r="M2949" s="10"/>
      <c r="P2949" s="11"/>
      <c r="Q2949" s="12"/>
    </row>
    <row r="2950" spans="1:17">
      <c r="A2950" s="14">
        <v>42956</v>
      </c>
      <c r="B2950" s="8">
        <v>1360.8223988003338</v>
      </c>
      <c r="F2950" s="7"/>
      <c r="G2950" s="7"/>
      <c r="M2950" s="10"/>
      <c r="P2950" s="11"/>
      <c r="Q2950" s="12"/>
    </row>
    <row r="2951" spans="1:17">
      <c r="A2951" s="14">
        <v>42957</v>
      </c>
      <c r="B2951" s="8">
        <v>1339.5521486214141</v>
      </c>
      <c r="F2951" s="7"/>
      <c r="G2951" s="7"/>
      <c r="M2951" s="10"/>
      <c r="P2951" s="11"/>
      <c r="Q2951" s="12"/>
    </row>
    <row r="2952" spans="1:17">
      <c r="A2952" s="14">
        <v>42958</v>
      </c>
      <c r="B2952" s="8">
        <v>1332.528571305327</v>
      </c>
      <c r="F2952" s="7"/>
      <c r="G2952" s="7"/>
      <c r="M2952" s="10"/>
      <c r="P2952" s="11"/>
      <c r="Q2952" s="12"/>
    </row>
    <row r="2953" spans="1:17">
      <c r="A2953" s="14">
        <v>42961</v>
      </c>
      <c r="B2953" s="8">
        <v>1350.8084228389407</v>
      </c>
      <c r="F2953" s="7"/>
      <c r="G2953" s="7"/>
      <c r="M2953" s="10"/>
      <c r="P2953" s="11"/>
      <c r="Q2953" s="12"/>
    </row>
    <row r="2954" spans="1:17">
      <c r="A2954" s="14">
        <v>42962</v>
      </c>
      <c r="B2954" s="8">
        <v>1349.216885063498</v>
      </c>
      <c r="F2954" s="7"/>
      <c r="G2954" s="7"/>
      <c r="M2954" s="10"/>
      <c r="P2954" s="11"/>
      <c r="Q2954" s="12"/>
    </row>
    <row r="2955" spans="1:17">
      <c r="A2955" s="14">
        <v>42963</v>
      </c>
      <c r="B2955" s="8">
        <v>1356.8139816827193</v>
      </c>
      <c r="F2955" s="7"/>
      <c r="G2955" s="7"/>
      <c r="M2955" s="10"/>
      <c r="P2955" s="11"/>
      <c r="Q2955" s="12"/>
    </row>
    <row r="2956" spans="1:17">
      <c r="A2956" s="14">
        <v>42964</v>
      </c>
      <c r="B2956" s="8">
        <v>1334.6265215999617</v>
      </c>
      <c r="F2956" s="7"/>
      <c r="G2956" s="7"/>
      <c r="M2956" s="10"/>
      <c r="P2956" s="11"/>
      <c r="Q2956" s="12"/>
    </row>
    <row r="2957" spans="1:17">
      <c r="A2957" s="14">
        <v>42965</v>
      </c>
      <c r="B2957" s="8">
        <v>1330.2761882082461</v>
      </c>
      <c r="F2957" s="7"/>
      <c r="G2957" s="7"/>
      <c r="M2957" s="10"/>
      <c r="P2957" s="11"/>
      <c r="Q2957" s="12"/>
    </row>
    <row r="2958" spans="1:17">
      <c r="A2958" s="14">
        <v>42968</v>
      </c>
      <c r="B2958" s="8">
        <v>1323.5767669703134</v>
      </c>
      <c r="F2958" s="7"/>
      <c r="G2958" s="7"/>
      <c r="M2958" s="10"/>
      <c r="P2958" s="11"/>
      <c r="Q2958" s="12"/>
    </row>
    <row r="2959" spans="1:17">
      <c r="A2959" s="14">
        <v>42969</v>
      </c>
      <c r="B2959" s="8">
        <v>1336.9382240979592</v>
      </c>
      <c r="F2959" s="7"/>
      <c r="G2959" s="7"/>
      <c r="M2959" s="10"/>
      <c r="P2959" s="11"/>
      <c r="Q2959" s="12"/>
    </row>
    <row r="2960" spans="1:17">
      <c r="A2960" s="14">
        <v>42970</v>
      </c>
      <c r="B2960" s="8">
        <v>1330.112708163464</v>
      </c>
      <c r="F2960" s="7"/>
      <c r="G2960" s="7"/>
      <c r="M2960" s="10"/>
      <c r="P2960" s="11"/>
      <c r="Q2960" s="12"/>
    </row>
    <row r="2961" spans="1:17">
      <c r="A2961" s="14">
        <v>42971</v>
      </c>
      <c r="B2961" s="8">
        <v>1331.3851547936299</v>
      </c>
      <c r="F2961" s="7"/>
      <c r="G2961" s="7"/>
      <c r="M2961" s="10"/>
      <c r="P2961" s="11"/>
      <c r="Q2961" s="12"/>
    </row>
    <row r="2962" spans="1:17">
      <c r="A2962" s="14">
        <v>42972</v>
      </c>
      <c r="B2962" s="8">
        <v>1329.4474222084471</v>
      </c>
      <c r="F2962" s="7"/>
      <c r="G2962" s="7"/>
      <c r="M2962" s="10"/>
      <c r="P2962" s="11"/>
      <c r="Q2962" s="12"/>
    </row>
    <row r="2963" spans="1:17">
      <c r="A2963" s="14">
        <v>42975</v>
      </c>
      <c r="B2963" s="8">
        <v>1327.5625641538263</v>
      </c>
      <c r="F2963" s="7"/>
      <c r="G2963" s="7"/>
      <c r="M2963" s="10"/>
      <c r="P2963" s="11"/>
      <c r="Q2963" s="12"/>
    </row>
    <row r="2964" spans="1:17">
      <c r="A2964" s="14">
        <v>42976</v>
      </c>
      <c r="B2964" s="8">
        <v>1319.1965473594946</v>
      </c>
      <c r="F2964" s="7"/>
      <c r="G2964" s="7"/>
      <c r="M2964" s="10"/>
      <c r="P2964" s="11"/>
      <c r="Q2964" s="12"/>
    </row>
    <row r="2965" spans="1:17">
      <c r="A2965" s="14">
        <v>42977</v>
      </c>
      <c r="B2965" s="8">
        <v>1327.9314285077287</v>
      </c>
      <c r="F2965" s="7"/>
      <c r="G2965" s="7"/>
      <c r="M2965" s="10"/>
      <c r="P2965" s="11"/>
      <c r="Q2965" s="12"/>
    </row>
    <row r="2966" spans="1:17">
      <c r="A2966" s="14">
        <v>42978</v>
      </c>
      <c r="B2966" s="8">
        <v>1334.7955787495396</v>
      </c>
      <c r="F2966" s="7"/>
      <c r="G2966" s="7"/>
      <c r="M2966" s="10"/>
      <c r="P2966" s="11"/>
      <c r="Q2966" s="12"/>
    </row>
    <row r="2967" spans="1:17">
      <c r="A2967" s="14">
        <v>42979</v>
      </c>
      <c r="B2967" s="8">
        <v>1340.9934069010069</v>
      </c>
      <c r="F2967" s="7"/>
      <c r="G2967" s="7"/>
      <c r="M2967" s="10"/>
      <c r="P2967" s="11"/>
      <c r="Q2967" s="12"/>
    </row>
    <row r="2968" spans="1:17">
      <c r="A2968" s="14">
        <v>42982</v>
      </c>
      <c r="B2968" s="8">
        <v>1336.5980028207011</v>
      </c>
      <c r="F2968" s="7"/>
      <c r="G2968" s="7"/>
      <c r="M2968" s="10"/>
      <c r="P2968" s="11"/>
      <c r="Q2968" s="12"/>
    </row>
    <row r="2969" spans="1:17">
      <c r="A2969" s="14">
        <v>42983</v>
      </c>
      <c r="B2969" s="8">
        <v>1326.5502375735334</v>
      </c>
      <c r="F2969" s="7"/>
      <c r="G2969" s="7"/>
      <c r="M2969" s="10"/>
      <c r="P2969" s="11"/>
      <c r="Q2969" s="12"/>
    </row>
    <row r="2970" spans="1:17">
      <c r="A2970" s="14">
        <v>42984</v>
      </c>
      <c r="B2970" s="8">
        <v>1327.291281206747</v>
      </c>
      <c r="F2970" s="7"/>
      <c r="G2970" s="7"/>
      <c r="M2970" s="10"/>
      <c r="P2970" s="11"/>
      <c r="Q2970" s="12"/>
    </row>
    <row r="2971" spans="1:17">
      <c r="A2971" s="14">
        <v>42985</v>
      </c>
      <c r="B2971" s="8">
        <v>1329.1084111306218</v>
      </c>
      <c r="F2971" s="7"/>
      <c r="G2971" s="7"/>
      <c r="M2971" s="10"/>
      <c r="P2971" s="11"/>
      <c r="Q2971" s="12"/>
    </row>
    <row r="2972" spans="1:17">
      <c r="A2972" s="14">
        <v>42986</v>
      </c>
      <c r="B2972" s="8">
        <v>1327.5338632118896</v>
      </c>
      <c r="F2972" s="7"/>
      <c r="G2972" s="7"/>
      <c r="M2972" s="10"/>
      <c r="P2972" s="11"/>
      <c r="Q2972" s="12"/>
    </row>
    <row r="2973" spans="1:17">
      <c r="A2973" s="14">
        <v>42989</v>
      </c>
      <c r="B2973" s="8">
        <v>1347.8499774694237</v>
      </c>
      <c r="F2973" s="7"/>
      <c r="G2973" s="7"/>
      <c r="M2973" s="10"/>
      <c r="P2973" s="11"/>
      <c r="Q2973" s="12"/>
    </row>
    <row r="2974" spans="1:17">
      <c r="A2974" s="14">
        <v>42990</v>
      </c>
      <c r="B2974" s="8">
        <v>1359.3803187702381</v>
      </c>
      <c r="F2974" s="7"/>
      <c r="G2974" s="7"/>
      <c r="M2974" s="10"/>
      <c r="P2974" s="11"/>
      <c r="Q2974" s="12"/>
    </row>
    <row r="2975" spans="1:17">
      <c r="A2975" s="14">
        <v>42991</v>
      </c>
      <c r="B2975" s="8">
        <v>1362.5471735890389</v>
      </c>
      <c r="F2975" s="7"/>
      <c r="G2975" s="7"/>
      <c r="M2975" s="10"/>
      <c r="P2975" s="11"/>
      <c r="Q2975" s="12"/>
    </row>
    <row r="2976" spans="1:17">
      <c r="A2976" s="14">
        <v>42992</v>
      </c>
      <c r="B2976" s="8">
        <v>1363.5570709473482</v>
      </c>
      <c r="F2976" s="7"/>
      <c r="G2976" s="7"/>
      <c r="M2976" s="10"/>
      <c r="P2976" s="11"/>
      <c r="Q2976" s="12"/>
    </row>
    <row r="2977" spans="1:17">
      <c r="A2977" s="14">
        <v>42993</v>
      </c>
      <c r="B2977" s="8">
        <v>1365.3590094500905</v>
      </c>
      <c r="F2977" s="7"/>
      <c r="G2977" s="7"/>
      <c r="M2977" s="10"/>
      <c r="P2977" s="11"/>
      <c r="Q2977" s="12"/>
    </row>
    <row r="2978" spans="1:17">
      <c r="A2978" s="14">
        <v>42996</v>
      </c>
      <c r="B2978" s="8">
        <v>1376.4679265044845</v>
      </c>
      <c r="F2978" s="7"/>
      <c r="G2978" s="7"/>
      <c r="M2978" s="10"/>
      <c r="P2978" s="11"/>
      <c r="Q2978" s="12"/>
    </row>
    <row r="2979" spans="1:17">
      <c r="A2979" s="14">
        <v>42997</v>
      </c>
      <c r="B2979" s="8">
        <v>1379.5537628395693</v>
      </c>
      <c r="F2979" s="7"/>
      <c r="G2979" s="7"/>
      <c r="M2979" s="10"/>
      <c r="P2979" s="11"/>
      <c r="Q2979" s="12"/>
    </row>
    <row r="2980" spans="1:17">
      <c r="A2980" s="14">
        <v>42998</v>
      </c>
      <c r="B2980" s="8">
        <v>1375.1991812289937</v>
      </c>
      <c r="F2980" s="7"/>
      <c r="G2980" s="7"/>
      <c r="M2980" s="10"/>
      <c r="P2980" s="11"/>
      <c r="Q2980" s="12"/>
    </row>
    <row r="2981" spans="1:17">
      <c r="A2981" s="14">
        <v>42999</v>
      </c>
      <c r="B2981" s="8">
        <v>1378.3543959979572</v>
      </c>
      <c r="F2981" s="7"/>
      <c r="G2981" s="7"/>
      <c r="M2981" s="10"/>
      <c r="P2981" s="11"/>
      <c r="Q2981" s="12"/>
    </row>
    <row r="2982" spans="1:17">
      <c r="A2982" s="14">
        <v>43000</v>
      </c>
      <c r="B2982" s="8">
        <v>1380.7985292358692</v>
      </c>
      <c r="F2982" s="7"/>
      <c r="G2982" s="7"/>
      <c r="M2982" s="10"/>
      <c r="P2982" s="11"/>
      <c r="Q2982" s="12"/>
    </row>
    <row r="2983" spans="1:17">
      <c r="A2983" s="14">
        <v>43003</v>
      </c>
      <c r="B2983" s="8">
        <v>1363.3563540561627</v>
      </c>
      <c r="F2983" s="7"/>
      <c r="G2983" s="7"/>
      <c r="M2983" s="10"/>
      <c r="P2983" s="11"/>
      <c r="Q2983" s="12"/>
    </row>
    <row r="2984" spans="1:17">
      <c r="A2984" s="14">
        <v>43004</v>
      </c>
      <c r="B2984" s="8">
        <v>1362.6331747984084</v>
      </c>
      <c r="F2984" s="7"/>
      <c r="G2984" s="7"/>
      <c r="M2984" s="10"/>
      <c r="P2984" s="11"/>
      <c r="Q2984" s="12"/>
    </row>
    <row r="2985" spans="1:17">
      <c r="A2985" s="14">
        <v>43005</v>
      </c>
      <c r="B2985" s="8">
        <v>1376.256162106296</v>
      </c>
      <c r="F2985" s="7"/>
      <c r="G2985" s="7"/>
      <c r="M2985" s="10"/>
      <c r="P2985" s="11"/>
      <c r="Q2985" s="12"/>
    </row>
    <row r="2986" spans="1:17">
      <c r="A2986" s="14">
        <v>43006</v>
      </c>
      <c r="B2986" s="8">
        <v>1379.4205748735067</v>
      </c>
      <c r="F2986" s="7"/>
      <c r="G2986" s="7"/>
      <c r="M2986" s="10"/>
      <c r="P2986" s="11"/>
      <c r="Q2986" s="12"/>
    </row>
    <row r="2987" spans="1:17">
      <c r="A2987" s="14">
        <v>43007</v>
      </c>
      <c r="B2987" s="8">
        <v>1388.6009727091741</v>
      </c>
      <c r="F2987" s="7"/>
      <c r="G2987" s="7"/>
      <c r="M2987" s="10"/>
      <c r="P2987" s="11"/>
      <c r="Q2987" s="12"/>
    </row>
    <row r="2988" spans="1:17">
      <c r="A2988" s="14">
        <v>43010</v>
      </c>
      <c r="B2988" s="8">
        <v>1390.0804237971279</v>
      </c>
      <c r="F2988" s="7"/>
      <c r="G2988" s="7"/>
      <c r="M2988" s="10"/>
      <c r="P2988" s="11"/>
      <c r="Q2988" s="12"/>
    </row>
    <row r="2989" spans="1:17">
      <c r="A2989" s="14">
        <v>43011</v>
      </c>
      <c r="B2989" s="8">
        <v>1394.2232012254237</v>
      </c>
      <c r="F2989" s="7"/>
      <c r="G2989" s="7"/>
      <c r="M2989" s="10"/>
      <c r="P2989" s="11"/>
      <c r="Q2989" s="12"/>
    </row>
    <row r="2990" spans="1:17">
      <c r="A2990" s="14">
        <v>43012</v>
      </c>
      <c r="B2990" s="8">
        <v>1391.2655694092521</v>
      </c>
      <c r="F2990" s="7"/>
      <c r="G2990" s="7"/>
      <c r="M2990" s="10"/>
      <c r="P2990" s="11"/>
      <c r="Q2990" s="12"/>
    </row>
    <row r="2991" spans="1:17">
      <c r="A2991" s="14">
        <v>43013</v>
      </c>
      <c r="B2991" s="8">
        <v>1399.746745697614</v>
      </c>
      <c r="F2991" s="7"/>
      <c r="G2991" s="7"/>
      <c r="M2991" s="10"/>
      <c r="P2991" s="11"/>
      <c r="Q2991" s="12"/>
    </row>
    <row r="2992" spans="1:17">
      <c r="A2992" s="14">
        <v>43014</v>
      </c>
      <c r="B2992" s="8">
        <v>1399.6858100660181</v>
      </c>
      <c r="F2992" s="7"/>
      <c r="G2992" s="7"/>
      <c r="M2992" s="10"/>
      <c r="P2992" s="11"/>
      <c r="Q2992" s="12"/>
    </row>
    <row r="2993" spans="1:17">
      <c r="A2993" s="14">
        <v>43017</v>
      </c>
      <c r="B2993" s="8">
        <v>1398.2506349705952</v>
      </c>
      <c r="F2993" s="7"/>
      <c r="G2993" s="7"/>
      <c r="M2993" s="10"/>
      <c r="P2993" s="11"/>
      <c r="Q2993" s="12"/>
    </row>
    <row r="2994" spans="1:17">
      <c r="A2994" s="14">
        <v>43018</v>
      </c>
      <c r="B2994" s="8">
        <v>1397.3860180738898</v>
      </c>
      <c r="F2994" s="7"/>
      <c r="G2994" s="7"/>
      <c r="M2994" s="10"/>
      <c r="P2994" s="11"/>
      <c r="Q2994" s="12"/>
    </row>
    <row r="2995" spans="1:17">
      <c r="A2995" s="14">
        <v>43019</v>
      </c>
      <c r="B2995" s="8">
        <v>1400.7395139513756</v>
      </c>
      <c r="F2995" s="7"/>
      <c r="G2995" s="7"/>
      <c r="M2995" s="10"/>
      <c r="P2995" s="11"/>
      <c r="Q2995" s="12"/>
    </row>
    <row r="2996" spans="1:17">
      <c r="A2996" s="14">
        <v>43020</v>
      </c>
      <c r="B2996" s="8">
        <v>1395.6512345203325</v>
      </c>
      <c r="F2996" s="7"/>
      <c r="G2996" s="7"/>
      <c r="M2996" s="10"/>
      <c r="P2996" s="11"/>
      <c r="Q2996" s="12"/>
    </row>
    <row r="2997" spans="1:17">
      <c r="A2997" s="14">
        <v>43021</v>
      </c>
      <c r="B2997" s="8">
        <v>1395.0819938816758</v>
      </c>
      <c r="F2997" s="7"/>
      <c r="G2997" s="7"/>
      <c r="M2997" s="10"/>
      <c r="P2997" s="11"/>
      <c r="Q2997" s="12"/>
    </row>
    <row r="2998" spans="1:17">
      <c r="A2998" s="14">
        <v>43024</v>
      </c>
      <c r="B2998" s="8">
        <v>1392.7129880566795</v>
      </c>
      <c r="F2998" s="7"/>
      <c r="G2998" s="7"/>
      <c r="M2998" s="10"/>
      <c r="P2998" s="11"/>
      <c r="Q2998" s="12"/>
    </row>
    <row r="2999" spans="1:17">
      <c r="A2999" s="14">
        <v>43025</v>
      </c>
      <c r="B2999" s="8">
        <v>1393.7641254039638</v>
      </c>
      <c r="F2999" s="7"/>
      <c r="G2999" s="7"/>
      <c r="M2999" s="10"/>
      <c r="P2999" s="11"/>
      <c r="Q2999" s="12"/>
    </row>
    <row r="3000" spans="1:17">
      <c r="A3000" s="14">
        <v>43026</v>
      </c>
      <c r="B3000" s="8">
        <v>1394.8048501185317</v>
      </c>
      <c r="F3000" s="7"/>
      <c r="G3000" s="7"/>
      <c r="M3000" s="10"/>
      <c r="P3000" s="11"/>
      <c r="Q3000" s="12"/>
    </row>
    <row r="3001" spans="1:17">
      <c r="A3001" s="14">
        <v>43027</v>
      </c>
      <c r="B3001" s="8">
        <v>1395.8367939774596</v>
      </c>
      <c r="F3001" s="7"/>
      <c r="G3001" s="7"/>
      <c r="M3001" s="10"/>
      <c r="P3001" s="11"/>
      <c r="Q3001" s="12"/>
    </row>
    <row r="3002" spans="1:17">
      <c r="A3002" s="14">
        <v>43028</v>
      </c>
      <c r="B3002" s="8">
        <v>1402.3377807332784</v>
      </c>
      <c r="F3002" s="7"/>
      <c r="G3002" s="7"/>
      <c r="M3002" s="10"/>
      <c r="P3002" s="11"/>
      <c r="Q3002" s="12"/>
    </row>
    <row r="3003" spans="1:17">
      <c r="A3003" s="14">
        <v>43031</v>
      </c>
      <c r="B3003" s="8">
        <v>1400.9873227016294</v>
      </c>
      <c r="F3003" s="7"/>
      <c r="G3003" s="7"/>
      <c r="M3003" s="10"/>
      <c r="P3003" s="11"/>
      <c r="Q3003" s="12"/>
    </row>
    <row r="3004" spans="1:17">
      <c r="A3004" s="14">
        <v>43032</v>
      </c>
      <c r="B3004" s="8">
        <v>1407.8144050663193</v>
      </c>
      <c r="F3004" s="7"/>
      <c r="G3004" s="7"/>
      <c r="M3004" s="10"/>
      <c r="P3004" s="11"/>
      <c r="Q3004" s="12"/>
    </row>
    <row r="3005" spans="1:17">
      <c r="A3005" s="14">
        <v>43033</v>
      </c>
      <c r="B3005" s="8">
        <v>1400.5214781422428</v>
      </c>
      <c r="F3005" s="7"/>
      <c r="G3005" s="7"/>
      <c r="M3005" s="10"/>
      <c r="P3005" s="11"/>
      <c r="Q3005" s="12"/>
    </row>
    <row r="3006" spans="1:17">
      <c r="A3006" s="14">
        <v>43034</v>
      </c>
      <c r="B3006" s="8">
        <v>1415.8864768060459</v>
      </c>
      <c r="F3006" s="7"/>
      <c r="G3006" s="7"/>
      <c r="M3006" s="10"/>
      <c r="P3006" s="11"/>
      <c r="Q3006" s="12"/>
    </row>
    <row r="3007" spans="1:17">
      <c r="A3007" s="14">
        <v>43035</v>
      </c>
      <c r="B3007" s="8">
        <v>1418.5648183321125</v>
      </c>
      <c r="F3007" s="7"/>
      <c r="G3007" s="7"/>
      <c r="M3007" s="10"/>
      <c r="P3007" s="11"/>
      <c r="Q3007" s="12"/>
    </row>
    <row r="3008" spans="1:17">
      <c r="A3008" s="14">
        <v>43038</v>
      </c>
      <c r="B3008" s="8">
        <v>1416.505131885581</v>
      </c>
      <c r="F3008" s="7"/>
      <c r="G3008" s="7"/>
      <c r="M3008" s="10"/>
      <c r="P3008" s="11"/>
      <c r="Q3008" s="12"/>
    </row>
    <row r="3009" spans="1:17">
      <c r="A3009" s="14">
        <v>43039</v>
      </c>
      <c r="B3009" s="8">
        <v>1416.8016401733389</v>
      </c>
      <c r="F3009" s="7"/>
      <c r="G3009" s="7"/>
      <c r="M3009" s="10"/>
      <c r="P3009" s="11"/>
      <c r="Q3009" s="12"/>
    </row>
    <row r="3010" spans="1:17">
      <c r="A3010" s="14">
        <v>43040</v>
      </c>
      <c r="B3010" s="8">
        <v>1419.3812667840548</v>
      </c>
      <c r="F3010" s="7"/>
      <c r="G3010" s="7"/>
      <c r="M3010" s="10"/>
      <c r="P3010" s="11"/>
      <c r="Q3010" s="12"/>
    </row>
    <row r="3011" spans="1:17">
      <c r="A3011" s="14">
        <v>43041</v>
      </c>
      <c r="B3011" s="8">
        <v>1410.9790805297132</v>
      </c>
      <c r="F3011" s="7"/>
      <c r="G3011" s="7"/>
      <c r="M3011" s="10"/>
      <c r="P3011" s="11"/>
      <c r="Q3011" s="12"/>
    </row>
    <row r="3012" spans="1:17">
      <c r="A3012" s="14">
        <v>43042</v>
      </c>
      <c r="B3012" s="8">
        <v>1420.4999556539519</v>
      </c>
      <c r="F3012" s="7"/>
      <c r="G3012" s="7"/>
      <c r="M3012" s="10"/>
      <c r="P3012" s="11"/>
      <c r="Q3012" s="12"/>
    </row>
    <row r="3013" spans="1:17">
      <c r="A3013" s="14">
        <v>43045</v>
      </c>
      <c r="B3013" s="8">
        <v>1415.4946055678672</v>
      </c>
      <c r="F3013" s="7"/>
      <c r="G3013" s="7"/>
      <c r="M3013" s="10"/>
      <c r="P3013" s="11"/>
      <c r="Q3013" s="12"/>
    </row>
    <row r="3014" spans="1:17">
      <c r="A3014" s="14">
        <v>43046</v>
      </c>
      <c r="B3014" s="8">
        <v>1405.2994329812698</v>
      </c>
      <c r="F3014" s="7"/>
      <c r="G3014" s="7"/>
      <c r="M3014" s="10"/>
      <c r="P3014" s="11"/>
      <c r="Q3014" s="12"/>
    </row>
    <row r="3015" spans="1:17">
      <c r="A3015" s="14">
        <v>43047</v>
      </c>
      <c r="B3015" s="8">
        <v>1406.8447231265573</v>
      </c>
      <c r="F3015" s="7"/>
      <c r="G3015" s="7"/>
      <c r="M3015" s="10"/>
      <c r="P3015" s="11"/>
      <c r="Q3015" s="12"/>
    </row>
    <row r="3016" spans="1:17">
      <c r="A3016" s="14">
        <v>43048</v>
      </c>
      <c r="B3016" s="8">
        <v>1393.5839089992182</v>
      </c>
      <c r="F3016" s="7"/>
      <c r="G3016" s="7"/>
      <c r="M3016" s="10"/>
      <c r="P3016" s="11"/>
      <c r="Q3016" s="12"/>
    </row>
    <row r="3017" spans="1:17">
      <c r="A3017" s="14">
        <v>43049</v>
      </c>
      <c r="B3017" s="8">
        <v>1394.6856641232632</v>
      </c>
      <c r="F3017" s="7"/>
      <c r="G3017" s="7"/>
      <c r="M3017" s="10"/>
      <c r="P3017" s="11"/>
      <c r="Q3017" s="12"/>
    </row>
    <row r="3018" spans="1:17">
      <c r="A3018" s="14">
        <v>43052</v>
      </c>
      <c r="B3018" s="8">
        <v>1394.6919724538905</v>
      </c>
      <c r="F3018" s="7"/>
      <c r="G3018" s="7"/>
      <c r="M3018" s="10"/>
      <c r="P3018" s="11"/>
      <c r="Q3018" s="12"/>
    </row>
    <row r="3019" spans="1:17">
      <c r="A3019" s="14">
        <v>43053</v>
      </c>
      <c r="B3019" s="8">
        <v>1393.1441619491954</v>
      </c>
      <c r="F3019" s="7"/>
      <c r="G3019" s="7"/>
      <c r="M3019" s="10"/>
      <c r="P3019" s="11"/>
      <c r="Q3019" s="12"/>
    </row>
    <row r="3020" spans="1:17">
      <c r="A3020" s="14">
        <v>43054</v>
      </c>
      <c r="B3020" s="8">
        <v>1387.2896051213036</v>
      </c>
      <c r="F3020" s="7"/>
      <c r="G3020" s="7"/>
      <c r="M3020" s="10"/>
      <c r="P3020" s="11"/>
      <c r="Q3020" s="12"/>
    </row>
    <row r="3021" spans="1:17">
      <c r="A3021" s="14">
        <v>43055</v>
      </c>
      <c r="B3021" s="8">
        <v>1400.785743466555</v>
      </c>
      <c r="F3021" s="7"/>
      <c r="G3021" s="7"/>
      <c r="M3021" s="10"/>
      <c r="P3021" s="11"/>
      <c r="Q3021" s="12"/>
    </row>
    <row r="3022" spans="1:17">
      <c r="A3022" s="14">
        <v>43056</v>
      </c>
      <c r="B3022" s="8">
        <v>1397.1717730808534</v>
      </c>
      <c r="F3022" s="7"/>
      <c r="G3022" s="7"/>
      <c r="M3022" s="10"/>
      <c r="P3022" s="11"/>
      <c r="Q3022" s="12"/>
    </row>
    <row r="3023" spans="1:17">
      <c r="A3023" s="14">
        <v>43059</v>
      </c>
      <c r="B3023" s="8">
        <v>1402.8206098877752</v>
      </c>
      <c r="F3023" s="7"/>
      <c r="G3023" s="7"/>
      <c r="M3023" s="10"/>
      <c r="P3023" s="11"/>
      <c r="Q3023" s="12"/>
    </row>
    <row r="3024" spans="1:17">
      <c r="A3024" s="14">
        <v>43060</v>
      </c>
      <c r="B3024" s="8">
        <v>1406.6322239612721</v>
      </c>
      <c r="F3024" s="7"/>
      <c r="G3024" s="7"/>
      <c r="M3024" s="10"/>
      <c r="P3024" s="11"/>
      <c r="Q3024" s="12"/>
    </row>
    <row r="3025" spans="1:17">
      <c r="A3025" s="14">
        <v>43061</v>
      </c>
      <c r="B3025" s="8">
        <v>1401.331302310499</v>
      </c>
      <c r="F3025" s="7"/>
      <c r="G3025" s="7"/>
      <c r="M3025" s="10"/>
      <c r="P3025" s="11"/>
      <c r="Q3025" s="12"/>
    </row>
    <row r="3026" spans="1:17">
      <c r="A3026" s="14">
        <v>43062</v>
      </c>
      <c r="B3026" s="8">
        <v>1403.7679589656907</v>
      </c>
      <c r="F3026" s="7"/>
      <c r="G3026" s="7"/>
      <c r="M3026" s="10"/>
      <c r="P3026" s="11"/>
      <c r="Q3026" s="12"/>
    </row>
    <row r="3027" spans="1:17">
      <c r="A3027" s="14">
        <v>43063</v>
      </c>
      <c r="B3027" s="8">
        <v>1409.7645093298167</v>
      </c>
      <c r="F3027" s="7"/>
      <c r="G3027" s="7"/>
      <c r="M3027" s="10"/>
      <c r="P3027" s="11"/>
      <c r="Q3027" s="12"/>
    </row>
    <row r="3028" spans="1:17">
      <c r="A3028" s="14">
        <v>43066</v>
      </c>
      <c r="B3028" s="8">
        <v>1401.7129791980026</v>
      </c>
      <c r="F3028" s="7"/>
      <c r="G3028" s="7"/>
      <c r="M3028" s="10"/>
      <c r="P3028" s="11"/>
      <c r="Q3028" s="12"/>
    </row>
    <row r="3029" spans="1:17">
      <c r="A3029" s="14">
        <v>43067</v>
      </c>
      <c r="B3029" s="8">
        <v>1411.7149086364625</v>
      </c>
      <c r="F3029" s="7"/>
      <c r="G3029" s="7"/>
      <c r="M3029" s="10"/>
      <c r="P3029" s="11"/>
      <c r="Q3029" s="12"/>
    </row>
    <row r="3030" spans="1:17">
      <c r="A3030" s="14">
        <v>43068</v>
      </c>
      <c r="B3030" s="8">
        <v>1398.1390030583304</v>
      </c>
      <c r="F3030" s="7"/>
      <c r="G3030" s="7"/>
      <c r="M3030" s="10"/>
      <c r="P3030" s="11"/>
      <c r="Q3030" s="12"/>
    </row>
    <row r="3031" spans="1:17">
      <c r="A3031" s="14">
        <v>43069</v>
      </c>
      <c r="B3031" s="8">
        <v>1399.6509430308672</v>
      </c>
      <c r="F3031" s="7"/>
      <c r="G3031" s="7"/>
      <c r="M3031" s="10"/>
      <c r="P3031" s="11"/>
      <c r="Q3031" s="12"/>
    </row>
    <row r="3032" spans="1:17">
      <c r="A3032" s="14">
        <v>43070</v>
      </c>
      <c r="B3032" s="8">
        <v>1386.5698343504139</v>
      </c>
      <c r="F3032" s="7"/>
      <c r="G3032" s="7"/>
      <c r="M3032" s="10"/>
      <c r="P3032" s="11"/>
      <c r="Q3032" s="12"/>
    </row>
    <row r="3033" spans="1:17">
      <c r="A3033" s="14">
        <v>43073</v>
      </c>
      <c r="B3033" s="8">
        <v>1386.0584199974603</v>
      </c>
      <c r="F3033" s="7"/>
      <c r="G3033" s="7"/>
      <c r="M3033" s="10"/>
      <c r="P3033" s="11"/>
      <c r="Q3033" s="12"/>
    </row>
    <row r="3034" spans="1:17">
      <c r="A3034" s="14">
        <v>43074</v>
      </c>
      <c r="B3034" s="8">
        <v>1385.6874462296237</v>
      </c>
      <c r="F3034" s="7"/>
      <c r="G3034" s="7"/>
      <c r="M3034" s="10"/>
      <c r="P3034" s="11"/>
      <c r="Q3034" s="12"/>
    </row>
    <row r="3035" spans="1:17">
      <c r="A3035" s="14">
        <v>43075</v>
      </c>
      <c r="B3035" s="8">
        <v>1383.180266608595</v>
      </c>
      <c r="F3035" s="7"/>
      <c r="G3035" s="7"/>
      <c r="M3035" s="10"/>
      <c r="P3035" s="11"/>
      <c r="Q3035" s="12"/>
    </row>
    <row r="3036" spans="1:17">
      <c r="A3036" s="14">
        <v>43076</v>
      </c>
      <c r="B3036" s="8">
        <v>1392.6464100496748</v>
      </c>
      <c r="F3036" s="7"/>
      <c r="G3036" s="7"/>
      <c r="M3036" s="10"/>
      <c r="P3036" s="11"/>
      <c r="Q3036" s="12"/>
    </row>
    <row r="3037" spans="1:17">
      <c r="A3037" s="14">
        <v>43077</v>
      </c>
      <c r="B3037" s="8">
        <v>1403.8591659717342</v>
      </c>
      <c r="F3037" s="7"/>
      <c r="G3037" s="7"/>
      <c r="M3037" s="10"/>
      <c r="P3037" s="11"/>
      <c r="Q3037" s="12"/>
    </row>
    <row r="3038" spans="1:17">
      <c r="A3038" s="14">
        <v>43080</v>
      </c>
      <c r="B3038" s="8">
        <v>1405.4783960510103</v>
      </c>
      <c r="F3038" s="7"/>
      <c r="G3038" s="7"/>
      <c r="M3038" s="10"/>
      <c r="P3038" s="11"/>
      <c r="Q3038" s="12"/>
    </row>
    <row r="3039" spans="1:17">
      <c r="A3039" s="14">
        <v>43081</v>
      </c>
      <c r="B3039" s="8">
        <v>1407.4739274731003</v>
      </c>
      <c r="F3039" s="7"/>
      <c r="G3039" s="7"/>
      <c r="M3039" s="10"/>
      <c r="P3039" s="11"/>
      <c r="Q3039" s="12"/>
    </row>
    <row r="3040" spans="1:17">
      <c r="A3040" s="14">
        <v>43082</v>
      </c>
      <c r="B3040" s="8">
        <v>1404.9953926108592</v>
      </c>
      <c r="F3040" s="7"/>
      <c r="G3040" s="7"/>
      <c r="M3040" s="10"/>
      <c r="P3040" s="11"/>
      <c r="Q3040" s="12"/>
    </row>
    <row r="3041" spans="1:17">
      <c r="A3041" s="14">
        <v>43083</v>
      </c>
      <c r="B3041" s="8">
        <v>1398.4893004602386</v>
      </c>
      <c r="F3041" s="7"/>
      <c r="G3041" s="7"/>
      <c r="M3041" s="10"/>
      <c r="P3041" s="11"/>
      <c r="Q3041" s="12"/>
    </row>
    <row r="3042" spans="1:17">
      <c r="A3042" s="14">
        <v>43084</v>
      </c>
      <c r="B3042" s="8">
        <v>1404.4570924087413</v>
      </c>
      <c r="F3042" s="7"/>
      <c r="G3042" s="7"/>
      <c r="M3042" s="10"/>
      <c r="P3042" s="11"/>
      <c r="Q3042" s="12"/>
    </row>
    <row r="3043" spans="1:17">
      <c r="A3043" s="14">
        <v>43087</v>
      </c>
      <c r="B3043" s="8">
        <v>1419.9824592898419</v>
      </c>
      <c r="F3043" s="7"/>
      <c r="G3043" s="7"/>
      <c r="M3043" s="10"/>
      <c r="P3043" s="11"/>
      <c r="Q3043" s="12"/>
    </row>
    <row r="3044" spans="1:17">
      <c r="A3044" s="14">
        <v>43088</v>
      </c>
      <c r="B3044" s="8">
        <v>1414.8129607058665</v>
      </c>
      <c r="F3044" s="7"/>
      <c r="G3044" s="7"/>
      <c r="M3044" s="10"/>
      <c r="P3044" s="11"/>
      <c r="Q3044" s="12"/>
    </row>
    <row r="3045" spans="1:17">
      <c r="A3045" s="14">
        <v>43089</v>
      </c>
      <c r="B3045" s="8">
        <v>1408.6111555058208</v>
      </c>
      <c r="F3045" s="7"/>
      <c r="G3045" s="7"/>
      <c r="M3045" s="10"/>
      <c r="P3045" s="11"/>
      <c r="Q3045" s="12"/>
    </row>
    <row r="3046" spans="1:17">
      <c r="A3046" s="14">
        <v>43090</v>
      </c>
      <c r="B3046" s="8">
        <v>1416.7543615945281</v>
      </c>
      <c r="F3046" s="7"/>
      <c r="G3046" s="7"/>
      <c r="M3046" s="10"/>
      <c r="P3046" s="11"/>
      <c r="Q3046" s="12"/>
    </row>
    <row r="3047" spans="1:17">
      <c r="A3047" s="14">
        <v>43091</v>
      </c>
      <c r="B3047" s="8">
        <v>1411.8841370111961</v>
      </c>
      <c r="F3047" s="7"/>
      <c r="G3047" s="7"/>
      <c r="M3047" s="10"/>
      <c r="P3047" s="11"/>
      <c r="Q3047" s="12"/>
    </row>
    <row r="3048" spans="1:17">
      <c r="A3048" s="14">
        <v>43094</v>
      </c>
      <c r="B3048" s="8">
        <v>1410.7390589788947</v>
      </c>
      <c r="F3048" s="7"/>
      <c r="G3048" s="7"/>
      <c r="M3048" s="10"/>
      <c r="P3048" s="11"/>
      <c r="Q3048" s="12"/>
    </row>
    <row r="3049" spans="1:17">
      <c r="A3049" s="14">
        <v>43095</v>
      </c>
      <c r="B3049" s="8">
        <v>1408.8028401086235</v>
      </c>
      <c r="F3049" s="7"/>
      <c r="G3049" s="7"/>
      <c r="M3049" s="10"/>
      <c r="P3049" s="11"/>
      <c r="Q3049" s="12"/>
    </row>
    <row r="3050" spans="1:17">
      <c r="A3050" s="14">
        <v>43096</v>
      </c>
      <c r="B3050" s="8">
        <v>1407.6046142528014</v>
      </c>
      <c r="F3050" s="7"/>
      <c r="G3050" s="7"/>
      <c r="M3050" s="10"/>
      <c r="P3050" s="11"/>
      <c r="Q3050" s="12"/>
    </row>
    <row r="3051" spans="1:17">
      <c r="A3051" s="14">
        <v>43097</v>
      </c>
      <c r="B3051" s="8">
        <v>1406.3791300498685</v>
      </c>
      <c r="F3051" s="7"/>
      <c r="G3051" s="7"/>
      <c r="M3051" s="10"/>
      <c r="P3051" s="11"/>
      <c r="Q3051" s="12"/>
    </row>
    <row r="3052" spans="1:17">
      <c r="A3052" s="14">
        <v>43098</v>
      </c>
      <c r="B3052" s="8">
        <v>1396.5698268194583</v>
      </c>
      <c r="F3052" s="7"/>
      <c r="G3052" s="7"/>
      <c r="M3052" s="10"/>
      <c r="P3052" s="11"/>
      <c r="Q3052" s="12"/>
    </row>
    <row r="3053" spans="1:17">
      <c r="A3053" s="14">
        <v>43101</v>
      </c>
      <c r="B3053" s="8">
        <v>1395.4247487871567</v>
      </c>
      <c r="F3053" s="7"/>
      <c r="G3053" s="7"/>
      <c r="M3053" s="10"/>
      <c r="P3053" s="11"/>
      <c r="Q3053" s="12"/>
    </row>
    <row r="3054" spans="1:17">
      <c r="A3054" s="14">
        <v>43102</v>
      </c>
      <c r="B3054" s="8">
        <v>1398.4671669198085</v>
      </c>
      <c r="F3054" s="7"/>
      <c r="G3054" s="7"/>
      <c r="M3054" s="10"/>
      <c r="P3054" s="11"/>
      <c r="Q3054" s="12"/>
    </row>
    <row r="3055" spans="1:17">
      <c r="A3055" s="14">
        <v>43103</v>
      </c>
      <c r="B3055" s="8">
        <v>1412.2572091752734</v>
      </c>
      <c r="F3055" s="7"/>
      <c r="G3055" s="7"/>
      <c r="M3055" s="10"/>
      <c r="P3055" s="11"/>
      <c r="Q3055" s="12"/>
    </row>
    <row r="3056" spans="1:17">
      <c r="A3056" s="14">
        <v>43104</v>
      </c>
      <c r="B3056" s="8">
        <v>1428.0579948628279</v>
      </c>
      <c r="F3056" s="7"/>
      <c r="G3056" s="7"/>
      <c r="M3056" s="10"/>
      <c r="P3056" s="11"/>
      <c r="Q3056" s="12"/>
    </row>
    <row r="3057" spans="1:17">
      <c r="A3057" s="14">
        <v>43105</v>
      </c>
      <c r="B3057" s="8">
        <v>1440.0442073223546</v>
      </c>
      <c r="F3057" s="7"/>
      <c r="G3057" s="7"/>
      <c r="M3057" s="10"/>
      <c r="P3057" s="11"/>
      <c r="Q3057" s="12"/>
    </row>
    <row r="3058" spans="1:17">
      <c r="A3058" s="14">
        <v>43108</v>
      </c>
      <c r="B3058" s="8">
        <v>1447.3028236386917</v>
      </c>
      <c r="F3058" s="7"/>
      <c r="G3058" s="7"/>
      <c r="M3058" s="10"/>
      <c r="P3058" s="11"/>
      <c r="Q3058" s="12"/>
    </row>
    <row r="3059" spans="1:17">
      <c r="A3059" s="14">
        <v>43109</v>
      </c>
      <c r="B3059" s="8">
        <v>1452.0108401872908</v>
      </c>
      <c r="F3059" s="7"/>
      <c r="G3059" s="7"/>
      <c r="M3059" s="10"/>
      <c r="P3059" s="11"/>
      <c r="Q3059" s="12"/>
    </row>
    <row r="3060" spans="1:17">
      <c r="A3060" s="14">
        <v>43110</v>
      </c>
      <c r="B3060" s="8">
        <v>1454.5481434414176</v>
      </c>
      <c r="F3060" s="7"/>
      <c r="G3060" s="7"/>
      <c r="M3060" s="10"/>
      <c r="P3060" s="11"/>
      <c r="Q3060" s="12"/>
    </row>
    <row r="3061" spans="1:17">
      <c r="A3061" s="14">
        <v>43111</v>
      </c>
      <c r="B3061" s="8">
        <v>1459.0891761982912</v>
      </c>
      <c r="F3061" s="7"/>
      <c r="G3061" s="7"/>
      <c r="M3061" s="10"/>
      <c r="P3061" s="11"/>
      <c r="Q3061" s="12"/>
    </row>
    <row r="3062" spans="1:17">
      <c r="A3062" s="14">
        <v>43112</v>
      </c>
      <c r="B3062" s="8">
        <v>1473.1105609774409</v>
      </c>
      <c r="F3062" s="7"/>
      <c r="G3062" s="7"/>
      <c r="M3062" s="10"/>
      <c r="P3062" s="11"/>
      <c r="Q3062" s="12"/>
    </row>
    <row r="3063" spans="1:17">
      <c r="A3063" s="14">
        <v>43115</v>
      </c>
      <c r="B3063" s="8">
        <v>1472.7087775030677</v>
      </c>
      <c r="F3063" s="7"/>
      <c r="G3063" s="7"/>
      <c r="M3063" s="10"/>
      <c r="P3063" s="11"/>
      <c r="Q3063" s="12"/>
    </row>
    <row r="3064" spans="1:17">
      <c r="A3064" s="14">
        <v>43116</v>
      </c>
      <c r="B3064" s="8">
        <v>1472.7914237973289</v>
      </c>
      <c r="F3064" s="7"/>
      <c r="G3064" s="7"/>
      <c r="M3064" s="10"/>
      <c r="P3064" s="11"/>
      <c r="Q3064" s="12"/>
    </row>
    <row r="3065" spans="1:17">
      <c r="A3065" s="14">
        <v>43117</v>
      </c>
      <c r="B3065" s="8">
        <v>1482.6575027213394</v>
      </c>
      <c r="F3065" s="7"/>
      <c r="G3065" s="7"/>
      <c r="M3065" s="10"/>
      <c r="P3065" s="11"/>
      <c r="Q3065" s="12"/>
    </row>
    <row r="3066" spans="1:17">
      <c r="A3066" s="14">
        <v>43118</v>
      </c>
      <c r="B3066" s="8">
        <v>1486.6722913895464</v>
      </c>
      <c r="F3066" s="7"/>
      <c r="G3066" s="7"/>
      <c r="M3066" s="10"/>
      <c r="P3066" s="11"/>
      <c r="Q3066" s="12"/>
    </row>
    <row r="3067" spans="1:17">
      <c r="A3067" s="14">
        <v>43119</v>
      </c>
      <c r="B3067" s="8">
        <v>1497.0981775404468</v>
      </c>
      <c r="F3067" s="7"/>
      <c r="G3067" s="7"/>
      <c r="M3067" s="10"/>
      <c r="P3067" s="11"/>
      <c r="Q3067" s="12"/>
    </row>
    <row r="3068" spans="1:17">
      <c r="A3068" s="14">
        <v>43122</v>
      </c>
      <c r="B3068" s="8">
        <v>1510.6628737432036</v>
      </c>
      <c r="F3068" s="7"/>
      <c r="G3068" s="7"/>
      <c r="M3068" s="10"/>
      <c r="P3068" s="11"/>
      <c r="Q3068" s="12"/>
    </row>
    <row r="3069" spans="1:17">
      <c r="A3069" s="14">
        <v>43123</v>
      </c>
      <c r="B3069" s="8">
        <v>1516.1135726860211</v>
      </c>
      <c r="F3069" s="7"/>
      <c r="G3069" s="7"/>
      <c r="M3069" s="10"/>
      <c r="P3069" s="11"/>
      <c r="Q3069" s="12"/>
    </row>
    <row r="3070" spans="1:17">
      <c r="A3070" s="14">
        <v>43124</v>
      </c>
      <c r="B3070" s="8">
        <v>1505.1411167203603</v>
      </c>
      <c r="F3070" s="7"/>
      <c r="G3070" s="7"/>
      <c r="M3070" s="10"/>
      <c r="P3070" s="11"/>
      <c r="Q3070" s="12"/>
    </row>
    <row r="3071" spans="1:17">
      <c r="A3071" s="14">
        <v>43125</v>
      </c>
      <c r="B3071" s="8">
        <v>1507.8963599619308</v>
      </c>
      <c r="F3071" s="7"/>
      <c r="G3071" s="7"/>
      <c r="M3071" s="10"/>
      <c r="P3071" s="11"/>
      <c r="Q3071" s="12"/>
    </row>
    <row r="3072" spans="1:17">
      <c r="A3072" s="14">
        <v>43126</v>
      </c>
      <c r="B3072" s="8">
        <v>1523.4941915864281</v>
      </c>
      <c r="F3072" s="7"/>
      <c r="G3072" s="7"/>
      <c r="M3072" s="10"/>
      <c r="P3072" s="11"/>
      <c r="Q3072" s="12"/>
    </row>
    <row r="3073" spans="1:17">
      <c r="A3073" s="14">
        <v>43129</v>
      </c>
      <c r="B3073" s="8">
        <v>1519.4835463524541</v>
      </c>
      <c r="F3073" s="7"/>
      <c r="G3073" s="7"/>
      <c r="M3073" s="10"/>
      <c r="P3073" s="11"/>
      <c r="Q3073" s="12"/>
    </row>
    <row r="3074" spans="1:17">
      <c r="A3074" s="14">
        <v>43130</v>
      </c>
      <c r="B3074" s="8">
        <v>1504.6375651376704</v>
      </c>
      <c r="F3074" s="7"/>
      <c r="G3074" s="7"/>
      <c r="M3074" s="10"/>
      <c r="P3074" s="11"/>
      <c r="Q3074" s="12"/>
    </row>
    <row r="3075" spans="1:17">
      <c r="A3075" s="14">
        <v>43131</v>
      </c>
      <c r="B3075" s="8">
        <v>1507.7990319786943</v>
      </c>
      <c r="F3075" s="7"/>
      <c r="G3075" s="7"/>
      <c r="M3075" s="10"/>
      <c r="P3075" s="11"/>
      <c r="Q3075" s="12"/>
    </row>
    <row r="3076" spans="1:17">
      <c r="A3076" s="14">
        <v>43132</v>
      </c>
      <c r="B3076" s="8">
        <v>1502.172658814203</v>
      </c>
      <c r="F3076" s="7"/>
      <c r="G3076" s="7"/>
      <c r="M3076" s="10"/>
      <c r="P3076" s="11"/>
      <c r="Q3076" s="12"/>
    </row>
    <row r="3077" spans="1:17">
      <c r="A3077" s="14">
        <v>43133</v>
      </c>
      <c r="B3077" s="8">
        <v>1476.3760980709167</v>
      </c>
      <c r="F3077" s="7"/>
      <c r="G3077" s="7"/>
      <c r="M3077" s="10"/>
      <c r="P3077" s="11"/>
      <c r="Q3077" s="12"/>
    </row>
    <row r="3078" spans="1:17">
      <c r="A3078" s="14">
        <v>43136</v>
      </c>
      <c r="B3078" s="8">
        <v>1434.2519885842507</v>
      </c>
      <c r="F3078" s="7"/>
      <c r="G3078" s="7"/>
      <c r="M3078" s="10"/>
      <c r="P3078" s="11"/>
      <c r="Q3078" s="12"/>
    </row>
    <row r="3079" spans="1:17">
      <c r="A3079" s="14">
        <v>43137</v>
      </c>
      <c r="B3079" s="8">
        <v>1436.2823881697611</v>
      </c>
      <c r="F3079" s="7"/>
      <c r="G3079" s="7"/>
      <c r="M3079" s="10"/>
      <c r="P3079" s="11"/>
      <c r="Q3079" s="12"/>
    </row>
    <row r="3080" spans="1:17">
      <c r="A3080" s="14">
        <v>43138</v>
      </c>
      <c r="B3080" s="8">
        <v>1453.4264344279154</v>
      </c>
      <c r="F3080" s="7"/>
      <c r="G3080" s="7"/>
      <c r="M3080" s="10"/>
      <c r="P3080" s="11"/>
      <c r="Q3080" s="12"/>
    </row>
    <row r="3081" spans="1:17">
      <c r="A3081" s="14">
        <v>43139</v>
      </c>
      <c r="B3081" s="8">
        <v>1401.3707520928381</v>
      </c>
      <c r="F3081" s="7"/>
      <c r="G3081" s="7"/>
      <c r="M3081" s="10"/>
      <c r="P3081" s="11"/>
      <c r="Q3081" s="12"/>
    </row>
    <row r="3082" spans="1:17">
      <c r="A3082" s="14">
        <v>43140</v>
      </c>
      <c r="B3082" s="8">
        <v>1406.550943957767</v>
      </c>
      <c r="F3082" s="7"/>
      <c r="G3082" s="7"/>
      <c r="M3082" s="10"/>
      <c r="P3082" s="11"/>
      <c r="Q3082" s="12"/>
    </row>
    <row r="3083" spans="1:17">
      <c r="A3083" s="14">
        <v>43143</v>
      </c>
      <c r="B3083" s="8">
        <v>1424.3260282732504</v>
      </c>
      <c r="F3083" s="7"/>
      <c r="G3083" s="7"/>
      <c r="M3083" s="10"/>
      <c r="P3083" s="11"/>
      <c r="Q3083" s="12"/>
    </row>
    <row r="3084" spans="1:17">
      <c r="A3084" s="14">
        <v>43144</v>
      </c>
      <c r="B3084" s="8">
        <v>1420.7717525075418</v>
      </c>
      <c r="F3084" s="7"/>
      <c r="G3084" s="7"/>
      <c r="M3084" s="10"/>
      <c r="P3084" s="11"/>
      <c r="Q3084" s="12"/>
    </row>
    <row r="3085" spans="1:17">
      <c r="A3085" s="14">
        <v>43145</v>
      </c>
      <c r="B3085" s="8">
        <v>1441.3398781781821</v>
      </c>
      <c r="F3085" s="7"/>
      <c r="G3085" s="7"/>
      <c r="M3085" s="10"/>
      <c r="P3085" s="11"/>
      <c r="Q3085" s="12"/>
    </row>
    <row r="3086" spans="1:17">
      <c r="A3086" s="14">
        <v>43146</v>
      </c>
      <c r="B3086" s="8">
        <v>1460.2081384550972</v>
      </c>
      <c r="F3086" s="7"/>
      <c r="G3086" s="7"/>
      <c r="M3086" s="10"/>
      <c r="P3086" s="11"/>
      <c r="Q3086" s="12"/>
    </row>
    <row r="3087" spans="1:17">
      <c r="A3087" s="14">
        <v>43147</v>
      </c>
      <c r="B3087" s="8">
        <v>1458.142829335673</v>
      </c>
      <c r="F3087" s="7"/>
      <c r="G3087" s="7"/>
      <c r="M3087" s="10"/>
      <c r="P3087" s="11"/>
      <c r="Q3087" s="12"/>
    </row>
    <row r="3088" spans="1:17">
      <c r="A3088" s="14">
        <v>43150</v>
      </c>
      <c r="B3088" s="8">
        <v>1452.1585445876349</v>
      </c>
      <c r="F3088" s="7"/>
      <c r="G3088" s="7"/>
      <c r="M3088" s="10"/>
      <c r="P3088" s="11"/>
      <c r="Q3088" s="12"/>
    </row>
    <row r="3089" spans="1:17">
      <c r="A3089" s="14">
        <v>43151</v>
      </c>
      <c r="B3089" s="8">
        <v>1459.4013925660474</v>
      </c>
      <c r="F3089" s="7"/>
      <c r="G3089" s="7"/>
      <c r="M3089" s="10"/>
      <c r="P3089" s="11"/>
      <c r="Q3089" s="12"/>
    </row>
    <row r="3090" spans="1:17">
      <c r="A3090" s="14">
        <v>43152</v>
      </c>
      <c r="B3090" s="8">
        <v>1452.905440609414</v>
      </c>
      <c r="F3090" s="7"/>
      <c r="G3090" s="7"/>
      <c r="M3090" s="10"/>
      <c r="P3090" s="11"/>
      <c r="Q3090" s="12"/>
    </row>
    <row r="3091" spans="1:17">
      <c r="A3091" s="14">
        <v>43153</v>
      </c>
      <c r="B3091" s="8">
        <v>1450.9198603726861</v>
      </c>
      <c r="F3091" s="7"/>
      <c r="G3091" s="7"/>
      <c r="M3091" s="10"/>
      <c r="P3091" s="11"/>
      <c r="Q3091" s="12"/>
    </row>
    <row r="3092" spans="1:17">
      <c r="A3092" s="14">
        <v>43154</v>
      </c>
      <c r="B3092" s="8">
        <v>1463.0074610980787</v>
      </c>
      <c r="F3092" s="7"/>
      <c r="G3092" s="7"/>
      <c r="M3092" s="10"/>
      <c r="P3092" s="11"/>
      <c r="Q3092" s="12"/>
    </row>
    <row r="3093" spans="1:17">
      <c r="A3093" s="14">
        <v>43157</v>
      </c>
      <c r="B3093" s="8">
        <v>1476.4106930292869</v>
      </c>
      <c r="F3093" s="7"/>
      <c r="G3093" s="7"/>
      <c r="M3093" s="10"/>
      <c r="P3093" s="11"/>
      <c r="Q3093" s="12"/>
    </row>
    <row r="3094" spans="1:17">
      <c r="A3094" s="14">
        <v>43158</v>
      </c>
      <c r="B3094" s="8">
        <v>1470.8963664333469</v>
      </c>
      <c r="F3094" s="7"/>
      <c r="G3094" s="7"/>
      <c r="M3094" s="10"/>
      <c r="P3094" s="11"/>
      <c r="Q3094" s="12"/>
    </row>
    <row r="3095" spans="1:17">
      <c r="A3095" s="14">
        <v>43159</v>
      </c>
      <c r="B3095" s="8">
        <v>1462.4828653282286</v>
      </c>
      <c r="F3095" s="7"/>
      <c r="G3095" s="7"/>
      <c r="M3095" s="10"/>
      <c r="P3095" s="11"/>
      <c r="Q3095" s="12"/>
    </row>
    <row r="3096" spans="1:17">
      <c r="A3096" s="14">
        <v>43160</v>
      </c>
      <c r="B3096" s="8">
        <v>1441.5084781959636</v>
      </c>
      <c r="F3096" s="7"/>
      <c r="G3096" s="7"/>
      <c r="M3096" s="10"/>
      <c r="P3096" s="11"/>
      <c r="Q3096" s="12"/>
    </row>
    <row r="3097" spans="1:17">
      <c r="A3097" s="14">
        <v>43161</v>
      </c>
      <c r="B3097" s="8">
        <v>1431.139098928074</v>
      </c>
      <c r="F3097" s="7"/>
      <c r="G3097" s="7"/>
      <c r="M3097" s="10"/>
      <c r="P3097" s="11"/>
      <c r="Q3097" s="12"/>
    </row>
    <row r="3098" spans="1:17">
      <c r="A3098" s="14">
        <v>43164</v>
      </c>
      <c r="B3098" s="8">
        <v>1442.253050007107</v>
      </c>
      <c r="F3098" s="7"/>
      <c r="G3098" s="7"/>
      <c r="M3098" s="10"/>
      <c r="P3098" s="11"/>
      <c r="Q3098" s="12"/>
    </row>
    <row r="3099" spans="1:17">
      <c r="A3099" s="14">
        <v>43165</v>
      </c>
      <c r="B3099" s="8">
        <v>1450.8687154143884</v>
      </c>
      <c r="F3099" s="7"/>
      <c r="G3099" s="7"/>
      <c r="M3099" s="10"/>
      <c r="P3099" s="11"/>
      <c r="Q3099" s="12"/>
    </row>
    <row r="3100" spans="1:17">
      <c r="A3100" s="14">
        <v>43166</v>
      </c>
      <c r="B3100" s="8">
        <v>1455.4268566993235</v>
      </c>
      <c r="F3100" s="7"/>
      <c r="G3100" s="7"/>
      <c r="M3100" s="10"/>
      <c r="P3100" s="11"/>
      <c r="Q3100" s="12"/>
    </row>
    <row r="3101" spans="1:17">
      <c r="A3101" s="14">
        <v>43167</v>
      </c>
      <c r="B3101" s="8">
        <v>1462.4358441767022</v>
      </c>
      <c r="F3101" s="7"/>
      <c r="G3101" s="7"/>
      <c r="M3101" s="10"/>
      <c r="P3101" s="11"/>
      <c r="Q3101" s="12"/>
    </row>
    <row r="3102" spans="1:17">
      <c r="A3102" s="14">
        <v>43168</v>
      </c>
      <c r="B3102" s="8">
        <v>1476.1384274840884</v>
      </c>
      <c r="F3102" s="7"/>
      <c r="G3102" s="7"/>
      <c r="M3102" s="10"/>
      <c r="P3102" s="11"/>
      <c r="Q3102" s="12"/>
    </row>
    <row r="3103" spans="1:17">
      <c r="A3103" s="14">
        <v>43171</v>
      </c>
      <c r="B3103" s="8">
        <v>1480.735842793415</v>
      </c>
      <c r="F3103" s="7"/>
      <c r="G3103" s="7"/>
      <c r="M3103" s="10"/>
      <c r="P3103" s="11"/>
      <c r="Q3103" s="12"/>
    </row>
    <row r="3104" spans="1:17">
      <c r="A3104" s="14">
        <v>43172</v>
      </c>
      <c r="B3104" s="8">
        <v>1466.4955704055333</v>
      </c>
      <c r="F3104" s="7"/>
      <c r="G3104" s="7"/>
      <c r="M3104" s="10"/>
      <c r="P3104" s="11"/>
      <c r="Q3104" s="12"/>
    </row>
    <row r="3105" spans="1:17">
      <c r="A3105" s="14">
        <v>43173</v>
      </c>
      <c r="B3105" s="8">
        <v>1461.2064086971357</v>
      </c>
      <c r="F3105" s="7"/>
      <c r="G3105" s="7"/>
      <c r="M3105" s="10"/>
      <c r="P3105" s="11"/>
      <c r="Q3105" s="12"/>
    </row>
    <row r="3106" spans="1:17">
      <c r="A3106" s="14">
        <v>43174</v>
      </c>
      <c r="B3106" s="8">
        <v>1465.6598928608573</v>
      </c>
      <c r="F3106" s="7"/>
      <c r="G3106" s="7"/>
      <c r="M3106" s="10"/>
      <c r="P3106" s="11"/>
      <c r="Q3106" s="12"/>
    </row>
    <row r="3107" spans="1:17">
      <c r="A3107" s="14">
        <v>43175</v>
      </c>
      <c r="B3107" s="8">
        <v>1471.390833462614</v>
      </c>
      <c r="F3107" s="7"/>
      <c r="G3107" s="7"/>
      <c r="M3107" s="10"/>
      <c r="P3107" s="11"/>
      <c r="Q3107" s="12"/>
    </row>
    <row r="3108" spans="1:17">
      <c r="A3108" s="14">
        <v>43178</v>
      </c>
      <c r="B3108" s="8">
        <v>1450.2069236354478</v>
      </c>
      <c r="F3108" s="7"/>
      <c r="G3108" s="7"/>
      <c r="M3108" s="10"/>
      <c r="P3108" s="11"/>
      <c r="Q3108" s="12"/>
    </row>
    <row r="3109" spans="1:17">
      <c r="A3109" s="14">
        <v>43179</v>
      </c>
      <c r="B3109" s="8">
        <v>1462.267108924342</v>
      </c>
      <c r="F3109" s="7"/>
      <c r="G3109" s="7"/>
      <c r="M3109" s="10"/>
      <c r="P3109" s="11"/>
      <c r="Q3109" s="12"/>
    </row>
    <row r="3110" spans="1:17">
      <c r="A3110" s="14">
        <v>43180</v>
      </c>
      <c r="B3110" s="8">
        <v>1457.2649835075858</v>
      </c>
      <c r="F3110" s="7"/>
      <c r="G3110" s="7"/>
      <c r="M3110" s="10"/>
      <c r="P3110" s="11"/>
      <c r="Q3110" s="12"/>
    </row>
    <row r="3111" spans="1:17">
      <c r="A3111" s="14">
        <v>43181</v>
      </c>
      <c r="B3111" s="8">
        <v>1422.8938592020666</v>
      </c>
      <c r="F3111" s="7"/>
      <c r="G3111" s="7"/>
      <c r="M3111" s="10"/>
      <c r="P3111" s="11"/>
      <c r="Q3111" s="12"/>
    </row>
    <row r="3112" spans="1:17">
      <c r="A3112" s="14">
        <v>43182</v>
      </c>
      <c r="B3112" s="8">
        <v>1393.6084720427643</v>
      </c>
      <c r="F3112" s="7"/>
      <c r="G3112" s="7"/>
      <c r="M3112" s="10"/>
      <c r="P3112" s="11"/>
      <c r="Q3112" s="12"/>
    </row>
    <row r="3113" spans="1:17">
      <c r="A3113" s="14">
        <v>43185</v>
      </c>
      <c r="B3113" s="8">
        <v>1414.9918264755727</v>
      </c>
      <c r="F3113" s="7"/>
      <c r="G3113" s="7"/>
      <c r="M3113" s="10"/>
      <c r="P3113" s="11"/>
      <c r="Q3113" s="12"/>
    </row>
    <row r="3114" spans="1:17">
      <c r="A3114" s="14">
        <v>43186</v>
      </c>
      <c r="B3114" s="8">
        <v>1398.1956175881294</v>
      </c>
      <c r="F3114" s="7"/>
      <c r="G3114" s="7"/>
      <c r="M3114" s="10"/>
      <c r="P3114" s="11"/>
      <c r="Q3114" s="12"/>
    </row>
    <row r="3115" spans="1:17">
      <c r="A3115" s="14">
        <v>43187</v>
      </c>
      <c r="B3115" s="8">
        <v>1388.615096929507</v>
      </c>
      <c r="F3115" s="7"/>
      <c r="G3115" s="7"/>
      <c r="M3115" s="10"/>
      <c r="P3115" s="11"/>
      <c r="Q3115" s="12"/>
    </row>
    <row r="3116" spans="1:17">
      <c r="A3116" s="14">
        <v>43188</v>
      </c>
      <c r="B3116" s="8">
        <v>1407.7985923995009</v>
      </c>
      <c r="F3116" s="7"/>
      <c r="G3116" s="7"/>
      <c r="M3116" s="10"/>
      <c r="P3116" s="11"/>
      <c r="Q3116" s="12"/>
    </row>
    <row r="3117" spans="1:17">
      <c r="A3117" s="14">
        <v>43189</v>
      </c>
      <c r="B3117" s="8">
        <v>1407.4168997220665</v>
      </c>
      <c r="F3117" s="7"/>
      <c r="G3117" s="7"/>
      <c r="M3117" s="10"/>
      <c r="P3117" s="11"/>
      <c r="Q3117" s="12"/>
    </row>
    <row r="3118" spans="1:17">
      <c r="A3118" s="14">
        <v>43192</v>
      </c>
      <c r="B3118" s="8">
        <v>1389.1923153276734</v>
      </c>
      <c r="F3118" s="7"/>
      <c r="G3118" s="7"/>
      <c r="M3118" s="10"/>
      <c r="P3118" s="11"/>
      <c r="Q3118" s="12"/>
    </row>
    <row r="3119" spans="1:17">
      <c r="A3119" s="14">
        <v>43193</v>
      </c>
      <c r="B3119" s="8">
        <v>1395.0396790045183</v>
      </c>
      <c r="F3119" s="7"/>
      <c r="G3119" s="7"/>
      <c r="M3119" s="10"/>
      <c r="P3119" s="11"/>
      <c r="Q3119" s="12"/>
    </row>
    <row r="3120" spans="1:17">
      <c r="A3120" s="14">
        <v>43194</v>
      </c>
      <c r="B3120" s="8">
        <v>1401.6882063544492</v>
      </c>
      <c r="F3120" s="7"/>
      <c r="G3120" s="7"/>
      <c r="M3120" s="10"/>
      <c r="P3120" s="11"/>
      <c r="Q3120" s="12"/>
    </row>
    <row r="3121" spans="1:17">
      <c r="A3121" s="14">
        <v>43195</v>
      </c>
      <c r="B3121" s="8">
        <v>1423.9138322799438</v>
      </c>
      <c r="F3121" s="7"/>
      <c r="G3121" s="7"/>
      <c r="M3121" s="10"/>
      <c r="P3121" s="11"/>
      <c r="Q3121" s="12"/>
    </row>
    <row r="3122" spans="1:17">
      <c r="A3122" s="14">
        <v>43196</v>
      </c>
      <c r="B3122" s="8">
        <v>1403.8172849223492</v>
      </c>
      <c r="F3122" s="7"/>
      <c r="G3122" s="7"/>
      <c r="M3122" s="10"/>
      <c r="P3122" s="11"/>
      <c r="Q3122" s="12"/>
    </row>
    <row r="3123" spans="1:17">
      <c r="A3123" s="14">
        <v>43199</v>
      </c>
      <c r="B3123" s="8">
        <v>1404.742529967016</v>
      </c>
      <c r="F3123" s="7"/>
      <c r="G3123" s="7"/>
      <c r="M3123" s="10"/>
      <c r="P3123" s="11"/>
      <c r="Q3123" s="12"/>
    </row>
    <row r="3124" spans="1:17">
      <c r="A3124" s="14">
        <v>43200</v>
      </c>
      <c r="B3124" s="8">
        <v>1423.4546481592281</v>
      </c>
      <c r="F3124" s="7"/>
      <c r="G3124" s="7"/>
      <c r="M3124" s="10"/>
      <c r="P3124" s="11"/>
      <c r="Q3124" s="12"/>
    </row>
    <row r="3125" spans="1:17">
      <c r="A3125" s="14">
        <v>43201</v>
      </c>
      <c r="B3125" s="8">
        <v>1415.8241781436413</v>
      </c>
      <c r="F3125" s="7"/>
      <c r="G3125" s="7"/>
      <c r="M3125" s="10"/>
      <c r="P3125" s="11"/>
      <c r="Q3125" s="12"/>
    </row>
    <row r="3126" spans="1:17">
      <c r="A3126" s="14">
        <v>43202</v>
      </c>
      <c r="B3126" s="8">
        <v>1428.6506183449656</v>
      </c>
      <c r="F3126" s="7"/>
      <c r="G3126" s="7"/>
      <c r="M3126" s="10"/>
      <c r="P3126" s="11"/>
      <c r="Q3126" s="12"/>
    </row>
    <row r="3127" spans="1:17">
      <c r="A3127" s="14">
        <v>43203</v>
      </c>
      <c r="B3127" s="8">
        <v>1419.9386330213517</v>
      </c>
      <c r="F3127" s="7"/>
      <c r="G3127" s="7"/>
      <c r="M3127" s="10"/>
      <c r="P3127" s="11"/>
      <c r="Q3127" s="12"/>
    </row>
    <row r="3128" spans="1:17">
      <c r="A3128" s="14">
        <v>43206</v>
      </c>
      <c r="B3128" s="8">
        <v>1418.9252293635318</v>
      </c>
      <c r="F3128" s="7"/>
      <c r="G3128" s="7"/>
      <c r="M3128" s="10"/>
      <c r="P3128" s="11"/>
      <c r="Q3128" s="12"/>
    </row>
    <row r="3129" spans="1:17">
      <c r="A3129" s="14">
        <v>43207</v>
      </c>
      <c r="B3129" s="8">
        <v>1438.1053583675825</v>
      </c>
      <c r="F3129" s="7"/>
      <c r="G3129" s="7"/>
      <c r="M3129" s="10"/>
      <c r="P3129" s="11"/>
      <c r="Q3129" s="12"/>
    </row>
    <row r="3130" spans="1:17">
      <c r="A3130" s="14">
        <v>43208</v>
      </c>
      <c r="B3130" s="8">
        <v>1441.6211889081258</v>
      </c>
      <c r="F3130" s="7"/>
      <c r="G3130" s="7"/>
      <c r="M3130" s="10"/>
      <c r="P3130" s="11"/>
      <c r="Q3130" s="12"/>
    </row>
    <row r="3131" spans="1:17">
      <c r="A3131" s="14">
        <v>43209</v>
      </c>
      <c r="B3131" s="8">
        <v>1434.7597491776396</v>
      </c>
      <c r="F3131" s="7"/>
      <c r="G3131" s="7"/>
      <c r="M3131" s="10"/>
      <c r="P3131" s="11"/>
      <c r="Q3131" s="12"/>
    </row>
    <row r="3132" spans="1:17">
      <c r="A3132" s="14">
        <v>43210</v>
      </c>
      <c r="B3132" s="8">
        <v>1430.8271934597392</v>
      </c>
      <c r="F3132" s="7"/>
      <c r="G3132" s="7"/>
      <c r="M3132" s="10"/>
      <c r="P3132" s="11"/>
      <c r="Q3132" s="12"/>
    </row>
    <row r="3133" spans="1:17">
      <c r="A3133" s="14">
        <v>43213</v>
      </c>
      <c r="B3133" s="8">
        <v>1430.1201935740908</v>
      </c>
      <c r="F3133" s="7"/>
      <c r="G3133" s="7"/>
      <c r="M3133" s="10"/>
      <c r="P3133" s="11"/>
      <c r="Q3133" s="12"/>
    </row>
    <row r="3134" spans="1:17">
      <c r="A3134" s="14">
        <v>43214</v>
      </c>
      <c r="B3134" s="8">
        <v>1418.5874472830214</v>
      </c>
      <c r="F3134" s="7"/>
      <c r="G3134" s="7"/>
      <c r="M3134" s="10"/>
      <c r="P3134" s="11"/>
      <c r="Q3134" s="12"/>
    </row>
    <row r="3135" spans="1:17">
      <c r="A3135" s="14">
        <v>43215</v>
      </c>
      <c r="B3135" s="8">
        <v>1411.7191714777302</v>
      </c>
      <c r="F3135" s="7"/>
      <c r="G3135" s="7"/>
      <c r="M3135" s="10"/>
      <c r="P3135" s="11"/>
      <c r="Q3135" s="12"/>
    </row>
    <row r="3136" spans="1:17">
      <c r="A3136" s="14">
        <v>43216</v>
      </c>
      <c r="B3136" s="8">
        <v>1423.8569802983116</v>
      </c>
      <c r="F3136" s="7"/>
      <c r="G3136" s="7"/>
      <c r="M3136" s="10"/>
      <c r="P3136" s="11"/>
      <c r="Q3136" s="12"/>
    </row>
    <row r="3137" spans="1:17">
      <c r="A3137" s="14">
        <v>43217</v>
      </c>
      <c r="B3137" s="8">
        <v>1429.2033814709528</v>
      </c>
      <c r="F3137" s="7"/>
      <c r="G3137" s="7"/>
      <c r="M3137" s="10"/>
      <c r="P3137" s="11"/>
      <c r="Q3137" s="12"/>
    </row>
    <row r="3138" spans="1:17">
      <c r="A3138" s="14">
        <v>43220</v>
      </c>
      <c r="B3138" s="8">
        <v>1428.4956607293341</v>
      </c>
      <c r="F3138" s="7"/>
      <c r="G3138" s="7"/>
      <c r="M3138" s="10"/>
      <c r="P3138" s="11"/>
      <c r="Q3138" s="12"/>
    </row>
    <row r="3139" spans="1:17">
      <c r="A3139" s="14">
        <v>43221</v>
      </c>
      <c r="B3139" s="8">
        <v>1432.0377180806188</v>
      </c>
      <c r="F3139" s="7"/>
      <c r="G3139" s="7"/>
      <c r="M3139" s="10"/>
      <c r="P3139" s="11"/>
      <c r="Q3139" s="12"/>
    </row>
    <row r="3140" spans="1:17">
      <c r="A3140" s="14">
        <v>43222</v>
      </c>
      <c r="B3140" s="8">
        <v>1436.7272416714777</v>
      </c>
      <c r="F3140" s="7"/>
      <c r="G3140" s="7"/>
      <c r="M3140" s="10"/>
      <c r="P3140" s="11"/>
      <c r="Q3140" s="12"/>
    </row>
    <row r="3141" spans="1:17">
      <c r="A3141" s="14">
        <v>43223</v>
      </c>
      <c r="B3141" s="8">
        <v>1430.7927638201688</v>
      </c>
      <c r="F3141" s="7"/>
      <c r="G3141" s="7"/>
      <c r="M3141" s="10"/>
      <c r="P3141" s="11"/>
      <c r="Q3141" s="12"/>
    </row>
    <row r="3142" spans="1:17">
      <c r="A3142" s="14">
        <v>43224</v>
      </c>
      <c r="B3142" s="8">
        <v>1441.6886911839931</v>
      </c>
      <c r="F3142" s="7"/>
      <c r="G3142" s="7"/>
      <c r="M3142" s="10"/>
      <c r="P3142" s="11"/>
      <c r="Q3142" s="12"/>
    </row>
    <row r="3143" spans="1:17">
      <c r="A3143" s="14">
        <v>43227</v>
      </c>
      <c r="B3143" s="8">
        <v>1450.8976535657557</v>
      </c>
      <c r="F3143" s="7"/>
      <c r="G3143" s="7"/>
      <c r="M3143" s="10"/>
      <c r="P3143" s="11"/>
      <c r="Q3143" s="12"/>
    </row>
    <row r="3144" spans="1:17">
      <c r="A3144" s="14">
        <v>43228</v>
      </c>
      <c r="B3144" s="8">
        <v>1454.0783206048052</v>
      </c>
      <c r="F3144" s="7"/>
      <c r="G3144" s="7"/>
      <c r="M3144" s="10"/>
      <c r="P3144" s="11"/>
      <c r="Q3144" s="12"/>
    </row>
    <row r="3145" spans="1:17">
      <c r="A3145" s="14">
        <v>43229</v>
      </c>
      <c r="B3145" s="8">
        <v>1467.3545212705244</v>
      </c>
      <c r="F3145" s="7"/>
      <c r="G3145" s="7"/>
      <c r="M3145" s="10"/>
      <c r="P3145" s="11"/>
      <c r="Q3145" s="12"/>
    </row>
    <row r="3146" spans="1:17">
      <c r="A3146" s="14">
        <v>43230</v>
      </c>
      <c r="B3146" s="8">
        <v>1474.5574698184696</v>
      </c>
      <c r="F3146" s="7"/>
      <c r="G3146" s="7"/>
      <c r="M3146" s="10"/>
      <c r="P3146" s="11"/>
      <c r="Q3146" s="12"/>
    </row>
    <row r="3147" spans="1:17">
      <c r="A3147" s="14">
        <v>43231</v>
      </c>
      <c r="B3147" s="8">
        <v>1474.9110476036126</v>
      </c>
      <c r="F3147" s="7"/>
      <c r="G3147" s="7"/>
      <c r="M3147" s="10"/>
      <c r="P3147" s="11"/>
      <c r="Q3147" s="12"/>
    </row>
    <row r="3148" spans="1:17">
      <c r="A3148" s="14">
        <v>43234</v>
      </c>
      <c r="B3148" s="8">
        <v>1470.3610529142077</v>
      </c>
      <c r="F3148" s="7"/>
      <c r="G3148" s="7"/>
      <c r="M3148" s="10"/>
      <c r="P3148" s="11"/>
      <c r="Q3148" s="12"/>
    </row>
    <row r="3149" spans="1:17">
      <c r="A3149" s="14">
        <v>43235</v>
      </c>
      <c r="B3149" s="8">
        <v>1462.9585870526721</v>
      </c>
      <c r="F3149" s="7"/>
      <c r="G3149" s="7"/>
      <c r="M3149" s="10"/>
      <c r="P3149" s="11"/>
      <c r="Q3149" s="12"/>
    </row>
    <row r="3150" spans="1:17">
      <c r="A3150" s="14">
        <v>43236</v>
      </c>
      <c r="B3150" s="8">
        <v>1461.6452949500842</v>
      </c>
      <c r="F3150" s="7"/>
      <c r="G3150" s="7"/>
      <c r="M3150" s="10"/>
      <c r="P3150" s="11"/>
      <c r="Q3150" s="12"/>
    </row>
    <row r="3151" spans="1:17">
      <c r="A3151" s="14">
        <v>43237</v>
      </c>
      <c r="B3151" s="8">
        <v>1463.5809831597019</v>
      </c>
      <c r="F3151" s="7"/>
      <c r="G3151" s="7"/>
      <c r="M3151" s="10"/>
      <c r="P3151" s="11"/>
      <c r="Q3151" s="12"/>
    </row>
    <row r="3152" spans="1:17">
      <c r="A3152" s="14">
        <v>43238</v>
      </c>
      <c r="B3152" s="8">
        <v>1455.0047985895665</v>
      </c>
      <c r="F3152" s="7"/>
      <c r="G3152" s="7"/>
      <c r="M3152" s="10"/>
      <c r="P3152" s="11"/>
      <c r="Q3152" s="12"/>
    </row>
    <row r="3153" spans="1:17">
      <c r="A3153" s="14">
        <v>43241</v>
      </c>
      <c r="B3153" s="8">
        <v>1460.310921601792</v>
      </c>
      <c r="F3153" s="7"/>
      <c r="G3153" s="7"/>
      <c r="M3153" s="10"/>
      <c r="P3153" s="11"/>
      <c r="Q3153" s="12"/>
    </row>
    <row r="3154" spans="1:17">
      <c r="A3154" s="14">
        <v>43242</v>
      </c>
      <c r="B3154" s="8">
        <v>1462.1044089687277</v>
      </c>
      <c r="F3154" s="7"/>
      <c r="G3154" s="7"/>
      <c r="M3154" s="10"/>
      <c r="P3154" s="11"/>
      <c r="Q3154" s="12"/>
    </row>
    <row r="3155" spans="1:17">
      <c r="A3155" s="14">
        <v>43243</v>
      </c>
      <c r="B3155" s="8">
        <v>1463.9732355717538</v>
      </c>
      <c r="F3155" s="7"/>
      <c r="G3155" s="7"/>
      <c r="M3155" s="10"/>
      <c r="P3155" s="11"/>
      <c r="Q3155" s="12"/>
    </row>
    <row r="3156" spans="1:17">
      <c r="A3156" s="14">
        <v>43244</v>
      </c>
      <c r="B3156" s="8">
        <v>1462.9202906226956</v>
      </c>
      <c r="F3156" s="7"/>
      <c r="G3156" s="7"/>
      <c r="M3156" s="10"/>
      <c r="P3156" s="11"/>
      <c r="Q3156" s="12"/>
    </row>
    <row r="3157" spans="1:17">
      <c r="A3157" s="14">
        <v>43245</v>
      </c>
      <c r="B3157" s="8">
        <v>1459.2801619127017</v>
      </c>
      <c r="F3157" s="7"/>
      <c r="G3157" s="7"/>
      <c r="M3157" s="10"/>
      <c r="P3157" s="11"/>
      <c r="Q3157" s="12"/>
    </row>
    <row r="3158" spans="1:17">
      <c r="A3158" s="14">
        <v>43248</v>
      </c>
      <c r="B3158" s="8">
        <v>1450.601689025327</v>
      </c>
      <c r="F3158" s="7"/>
      <c r="G3158" s="7"/>
      <c r="M3158" s="10"/>
      <c r="P3158" s="11"/>
      <c r="Q3158" s="12"/>
    </row>
    <row r="3159" spans="1:17">
      <c r="A3159" s="14">
        <v>43249</v>
      </c>
      <c r="B3159" s="8">
        <v>1423.3642108267827</v>
      </c>
      <c r="F3159" s="7"/>
      <c r="G3159" s="7"/>
      <c r="M3159" s="10"/>
      <c r="P3159" s="11"/>
      <c r="Q3159" s="12"/>
    </row>
    <row r="3160" spans="1:17">
      <c r="A3160" s="14">
        <v>43250</v>
      </c>
      <c r="B3160" s="8">
        <v>1434.7026876755929</v>
      </c>
      <c r="F3160" s="7"/>
      <c r="G3160" s="7"/>
      <c r="M3160" s="10"/>
      <c r="P3160" s="11"/>
      <c r="Q3160" s="12"/>
    </row>
    <row r="3161" spans="1:17">
      <c r="A3161" s="14">
        <v>43251</v>
      </c>
      <c r="B3161" s="8">
        <v>1425.3844536608333</v>
      </c>
      <c r="F3161" s="7"/>
      <c r="G3161" s="7"/>
      <c r="M3161" s="10"/>
      <c r="P3161" s="11"/>
      <c r="Q3161" s="12"/>
    </row>
    <row r="3162" spans="1:17">
      <c r="A3162" s="14">
        <v>43252</v>
      </c>
      <c r="B3162" s="8">
        <v>1450.7883525344921</v>
      </c>
      <c r="F3162" s="7"/>
      <c r="G3162" s="7"/>
      <c r="M3162" s="10"/>
      <c r="P3162" s="11"/>
      <c r="Q3162" s="12"/>
    </row>
    <row r="3163" spans="1:17">
      <c r="A3163" s="14">
        <v>43255</v>
      </c>
      <c r="B3163" s="8">
        <v>1459.9676284221371</v>
      </c>
      <c r="F3163" s="7"/>
      <c r="G3163" s="7"/>
      <c r="M3163" s="10"/>
      <c r="P3163" s="11"/>
      <c r="Q3163" s="12"/>
    </row>
    <row r="3164" spans="1:17">
      <c r="A3164" s="14">
        <v>43256</v>
      </c>
      <c r="B3164" s="8">
        <v>1458.2774724801068</v>
      </c>
      <c r="F3164" s="7"/>
      <c r="G3164" s="7"/>
      <c r="M3164" s="10"/>
      <c r="P3164" s="11"/>
      <c r="Q3164" s="12"/>
    </row>
    <row r="3165" spans="1:17">
      <c r="A3165" s="14">
        <v>43257</v>
      </c>
      <c r="B3165" s="8">
        <v>1472.1975428725279</v>
      </c>
      <c r="F3165" s="7"/>
      <c r="G3165" s="7"/>
      <c r="M3165" s="10"/>
      <c r="P3165" s="11"/>
      <c r="Q3165" s="12"/>
    </row>
    <row r="3166" spans="1:17">
      <c r="A3166" s="14">
        <v>43258</v>
      </c>
      <c r="B3166" s="8">
        <v>1463.588306604692</v>
      </c>
      <c r="F3166" s="7"/>
      <c r="G3166" s="7"/>
      <c r="M3166" s="10"/>
      <c r="P3166" s="11"/>
      <c r="Q3166" s="12"/>
    </row>
    <row r="3167" spans="1:17">
      <c r="A3167" s="14">
        <v>43259</v>
      </c>
      <c r="B3167" s="8">
        <v>1459.7012366420172</v>
      </c>
      <c r="F3167" s="7"/>
      <c r="G3167" s="7"/>
      <c r="M3167" s="10"/>
      <c r="P3167" s="11"/>
      <c r="Q3167" s="12"/>
    </row>
    <row r="3168" spans="1:17">
      <c r="A3168" s="14">
        <v>43262</v>
      </c>
      <c r="B3168" s="8">
        <v>1471.9950849648055</v>
      </c>
      <c r="F3168" s="7"/>
      <c r="G3168" s="7"/>
      <c r="M3168" s="10"/>
      <c r="P3168" s="11"/>
      <c r="Q3168" s="12"/>
    </row>
    <row r="3169" spans="1:17">
      <c r="A3169" s="14">
        <v>43263</v>
      </c>
      <c r="B3169" s="8">
        <v>1474.9388897258068</v>
      </c>
      <c r="F3169" s="7"/>
      <c r="G3169" s="7"/>
      <c r="M3169" s="10"/>
      <c r="P3169" s="11"/>
      <c r="Q3169" s="12"/>
    </row>
    <row r="3170" spans="1:17">
      <c r="A3170" s="14">
        <v>43264</v>
      </c>
      <c r="B3170" s="8">
        <v>1478.465617815554</v>
      </c>
      <c r="F3170" s="7"/>
      <c r="G3170" s="7"/>
      <c r="M3170" s="10"/>
      <c r="P3170" s="11"/>
      <c r="Q3170" s="12"/>
    </row>
    <row r="3171" spans="1:17">
      <c r="A3171" s="14">
        <v>43265</v>
      </c>
      <c r="B3171" s="8">
        <v>1489.0425889554699</v>
      </c>
      <c r="F3171" s="7"/>
      <c r="G3171" s="7"/>
      <c r="M3171" s="10"/>
      <c r="P3171" s="11"/>
      <c r="Q3171" s="12"/>
    </row>
    <row r="3172" spans="1:17">
      <c r="A3172" s="14">
        <v>43266</v>
      </c>
      <c r="B3172" s="8">
        <v>1482.7653755204624</v>
      </c>
      <c r="F3172" s="7"/>
      <c r="G3172" s="7"/>
      <c r="M3172" s="10"/>
      <c r="P3172" s="11"/>
      <c r="Q3172" s="12"/>
    </row>
    <row r="3173" spans="1:17">
      <c r="A3173" s="14">
        <v>43269</v>
      </c>
      <c r="B3173" s="8">
        <v>1475.4666356079229</v>
      </c>
      <c r="F3173" s="7"/>
      <c r="G3173" s="7"/>
      <c r="M3173" s="10"/>
      <c r="P3173" s="11"/>
      <c r="Q3173" s="12"/>
    </row>
    <row r="3174" spans="1:17">
      <c r="A3174" s="14">
        <v>43270</v>
      </c>
      <c r="B3174" s="8">
        <v>1463.7502073973526</v>
      </c>
      <c r="F3174" s="7"/>
      <c r="G3174" s="7"/>
      <c r="M3174" s="10"/>
      <c r="P3174" s="11"/>
      <c r="Q3174" s="12"/>
    </row>
    <row r="3175" spans="1:17">
      <c r="A3175" s="14">
        <v>43271</v>
      </c>
      <c r="B3175" s="8">
        <v>1469.7274617315181</v>
      </c>
      <c r="F3175" s="7"/>
      <c r="G3175" s="7"/>
      <c r="M3175" s="10"/>
      <c r="P3175" s="11"/>
      <c r="Q3175" s="12"/>
    </row>
    <row r="3176" spans="1:17">
      <c r="A3176" s="14">
        <v>43272</v>
      </c>
      <c r="B3176" s="8">
        <v>1453.1183147246659</v>
      </c>
      <c r="F3176" s="7"/>
      <c r="G3176" s="7"/>
      <c r="M3176" s="10"/>
      <c r="P3176" s="11"/>
      <c r="Q3176" s="12"/>
    </row>
    <row r="3177" spans="1:17">
      <c r="A3177" s="14">
        <v>43273</v>
      </c>
      <c r="B3177" s="8">
        <v>1447.7188282002699</v>
      </c>
      <c r="F3177" s="7"/>
      <c r="G3177" s="7"/>
      <c r="M3177" s="10"/>
      <c r="P3177" s="11"/>
      <c r="Q3177" s="12"/>
    </row>
    <row r="3178" spans="1:17">
      <c r="A3178" s="14">
        <v>43276</v>
      </c>
      <c r="B3178" s="8">
        <v>1413.5304625502629</v>
      </c>
      <c r="F3178" s="7"/>
      <c r="G3178" s="7"/>
      <c r="M3178" s="10"/>
      <c r="P3178" s="11"/>
      <c r="Q3178" s="12"/>
    </row>
    <row r="3179" spans="1:17">
      <c r="A3179" s="14">
        <v>43277</v>
      </c>
      <c r="B3179" s="8">
        <v>1415.4510385793319</v>
      </c>
      <c r="F3179" s="7"/>
      <c r="G3179" s="7"/>
      <c r="M3179" s="10"/>
      <c r="P3179" s="11"/>
      <c r="Q3179" s="12"/>
    </row>
    <row r="3180" spans="1:17">
      <c r="A3180" s="14">
        <v>43278</v>
      </c>
      <c r="B3180" s="8">
        <v>1408.0129439974287</v>
      </c>
      <c r="F3180" s="7"/>
      <c r="G3180" s="7"/>
      <c r="M3180" s="10"/>
      <c r="P3180" s="11"/>
      <c r="Q3180" s="12"/>
    </row>
    <row r="3181" spans="1:17">
      <c r="A3181" s="14">
        <v>43279</v>
      </c>
      <c r="B3181" s="8">
        <v>1409.5697485057269</v>
      </c>
      <c r="F3181" s="7"/>
      <c r="G3181" s="7"/>
      <c r="M3181" s="10"/>
      <c r="P3181" s="11"/>
      <c r="Q3181" s="12"/>
    </row>
    <row r="3182" spans="1:17">
      <c r="A3182" s="14">
        <v>43280</v>
      </c>
      <c r="B3182" s="8">
        <v>1416.2157740975765</v>
      </c>
      <c r="F3182" s="7"/>
      <c r="G3182" s="7"/>
      <c r="M3182" s="10"/>
      <c r="P3182" s="11"/>
      <c r="Q3182" s="12"/>
    </row>
    <row r="3183" spans="1:17">
      <c r="A3183" s="14">
        <v>43283</v>
      </c>
      <c r="B3183" s="8">
        <v>1412.5438875972934</v>
      </c>
      <c r="F3183" s="7"/>
      <c r="G3183" s="7"/>
      <c r="M3183" s="10"/>
      <c r="P3183" s="11"/>
      <c r="Q3183" s="12"/>
    </row>
    <row r="3184" spans="1:17">
      <c r="A3184" s="14">
        <v>43284</v>
      </c>
      <c r="B3184" s="8">
        <v>1410.7596964423039</v>
      </c>
      <c r="F3184" s="7"/>
      <c r="G3184" s="7"/>
      <c r="M3184" s="10"/>
      <c r="P3184" s="11"/>
      <c r="Q3184" s="12"/>
    </row>
    <row r="3185" spans="1:17">
      <c r="A3185" s="14">
        <v>43285</v>
      </c>
      <c r="B3185" s="8">
        <v>1409.5682789921284</v>
      </c>
      <c r="F3185" s="7"/>
      <c r="G3185" s="7"/>
      <c r="M3185" s="10"/>
      <c r="P3185" s="11"/>
      <c r="Q3185" s="12"/>
    </row>
    <row r="3186" spans="1:17">
      <c r="A3186" s="14">
        <v>43286</v>
      </c>
      <c r="B3186" s="8">
        <v>1422.8699965101875</v>
      </c>
      <c r="F3186" s="7"/>
      <c r="G3186" s="7"/>
      <c r="M3186" s="10"/>
      <c r="P3186" s="11"/>
      <c r="Q3186" s="12"/>
    </row>
    <row r="3187" spans="1:17">
      <c r="A3187" s="14">
        <v>43287</v>
      </c>
      <c r="B3187" s="8">
        <v>1430.8444581557308</v>
      </c>
      <c r="F3187" s="7"/>
      <c r="G3187" s="7"/>
      <c r="M3187" s="10"/>
      <c r="P3187" s="11"/>
      <c r="Q3187" s="12"/>
    </row>
    <row r="3188" spans="1:17">
      <c r="A3188" s="14">
        <v>43290</v>
      </c>
      <c r="B3188" s="8">
        <v>1442.5326863697662</v>
      </c>
      <c r="F3188" s="7"/>
      <c r="G3188" s="7"/>
      <c r="M3188" s="10"/>
      <c r="P3188" s="11"/>
      <c r="Q3188" s="12"/>
    </row>
    <row r="3189" spans="1:17">
      <c r="A3189" s="14">
        <v>43291</v>
      </c>
      <c r="B3189" s="8">
        <v>1443.7135363956509</v>
      </c>
      <c r="F3189" s="7"/>
      <c r="G3189" s="7"/>
      <c r="M3189" s="10"/>
      <c r="P3189" s="11"/>
      <c r="Q3189" s="12"/>
    </row>
    <row r="3190" spans="1:17">
      <c r="A3190" s="14">
        <v>43292</v>
      </c>
      <c r="B3190" s="8">
        <v>1426.6460070292162</v>
      </c>
      <c r="F3190" s="7"/>
      <c r="G3190" s="7"/>
      <c r="M3190" s="10"/>
      <c r="P3190" s="11"/>
      <c r="Q3190" s="12"/>
    </row>
    <row r="3191" spans="1:17">
      <c r="A3191" s="14">
        <v>43293</v>
      </c>
      <c r="B3191" s="8">
        <v>1438.4859228710645</v>
      </c>
      <c r="F3191" s="7"/>
      <c r="G3191" s="7"/>
      <c r="M3191" s="10"/>
      <c r="P3191" s="11"/>
      <c r="Q3191" s="12"/>
    </row>
    <row r="3192" spans="1:17">
      <c r="A3192" s="14">
        <v>43294</v>
      </c>
      <c r="B3192" s="8">
        <v>1434.084349328429</v>
      </c>
      <c r="F3192" s="7"/>
      <c r="G3192" s="7"/>
      <c r="M3192" s="10"/>
      <c r="P3192" s="11"/>
      <c r="Q3192" s="12"/>
    </row>
    <row r="3193" spans="1:17">
      <c r="A3193" s="14">
        <v>43297</v>
      </c>
      <c r="B3193" s="8">
        <v>1436.2309016234387</v>
      </c>
      <c r="F3193" s="7"/>
      <c r="G3193" s="7"/>
      <c r="M3193" s="10"/>
      <c r="P3193" s="11"/>
      <c r="Q3193" s="12"/>
    </row>
    <row r="3194" spans="1:17">
      <c r="A3194" s="14">
        <v>43298</v>
      </c>
      <c r="B3194" s="8">
        <v>1441.489802147983</v>
      </c>
      <c r="F3194" s="7"/>
      <c r="G3194" s="7"/>
      <c r="M3194" s="10"/>
      <c r="P3194" s="11"/>
      <c r="Q3194" s="12"/>
    </row>
    <row r="3195" spans="1:17">
      <c r="A3195" s="14">
        <v>43299</v>
      </c>
      <c r="B3195" s="8">
        <v>1449.5534646877625</v>
      </c>
      <c r="F3195" s="7"/>
      <c r="G3195" s="7"/>
      <c r="M3195" s="10"/>
      <c r="P3195" s="11"/>
      <c r="Q3195" s="12"/>
    </row>
    <row r="3196" spans="1:17">
      <c r="A3196" s="14">
        <v>43300</v>
      </c>
      <c r="B3196" s="8">
        <v>1440.9522755623016</v>
      </c>
      <c r="F3196" s="7"/>
      <c r="G3196" s="7"/>
      <c r="M3196" s="10"/>
      <c r="P3196" s="11"/>
      <c r="Q3196" s="12"/>
    </row>
    <row r="3197" spans="1:17">
      <c r="A3197" s="14">
        <v>43301</v>
      </c>
      <c r="B3197" s="8">
        <v>1435.3870255816253</v>
      </c>
      <c r="F3197" s="7"/>
      <c r="G3197" s="7"/>
      <c r="M3197" s="10"/>
      <c r="P3197" s="11"/>
      <c r="Q3197" s="12"/>
    </row>
    <row r="3198" spans="1:17">
      <c r="A3198" s="14">
        <v>43304</v>
      </c>
      <c r="B3198" s="8">
        <v>1435.6111773791963</v>
      </c>
      <c r="F3198" s="7"/>
      <c r="G3198" s="7"/>
      <c r="M3198" s="10"/>
      <c r="P3198" s="11"/>
      <c r="Q3198" s="12"/>
    </row>
    <row r="3199" spans="1:17">
      <c r="A3199" s="14">
        <v>43305</v>
      </c>
      <c r="B3199" s="8">
        <v>1443.7852340135812</v>
      </c>
      <c r="F3199" s="7"/>
      <c r="G3199" s="7"/>
      <c r="M3199" s="10"/>
      <c r="P3199" s="11"/>
      <c r="Q3199" s="12"/>
    </row>
    <row r="3200" spans="1:17">
      <c r="A3200" s="14">
        <v>43306</v>
      </c>
      <c r="B3200" s="8">
        <v>1441.7710427636625</v>
      </c>
      <c r="F3200" s="7"/>
      <c r="G3200" s="7"/>
      <c r="M3200" s="10"/>
      <c r="P3200" s="11"/>
      <c r="Q3200" s="12"/>
    </row>
    <row r="3201" spans="1:17">
      <c r="A3201" s="14">
        <v>43307</v>
      </c>
      <c r="B3201" s="8">
        <v>1453.8366382874101</v>
      </c>
      <c r="F3201" s="7"/>
      <c r="G3201" s="7"/>
      <c r="M3201" s="10"/>
      <c r="P3201" s="11"/>
      <c r="Q3201" s="12"/>
    </row>
    <row r="3202" spans="1:17">
      <c r="A3202" s="14">
        <v>43308</v>
      </c>
      <c r="B3202" s="8">
        <v>1449.2842735468687</v>
      </c>
      <c r="F3202" s="7"/>
      <c r="G3202" s="7"/>
      <c r="M3202" s="10"/>
      <c r="P3202" s="11"/>
      <c r="Q3202" s="12"/>
    </row>
    <row r="3203" spans="1:17">
      <c r="A3203" s="14">
        <v>43311</v>
      </c>
      <c r="B3203" s="8">
        <v>1434.0828133404875</v>
      </c>
      <c r="F3203" s="7"/>
      <c r="G3203" s="7"/>
      <c r="M3203" s="10"/>
      <c r="P3203" s="11"/>
      <c r="Q3203" s="12"/>
    </row>
    <row r="3204" spans="1:17">
      <c r="A3204" s="14">
        <v>43312</v>
      </c>
      <c r="B3204" s="8">
        <v>1439.0642603232948</v>
      </c>
      <c r="F3204" s="7"/>
      <c r="G3204" s="7"/>
      <c r="M3204" s="10"/>
      <c r="P3204" s="11"/>
      <c r="Q3204" s="12"/>
    </row>
    <row r="3205" spans="1:17">
      <c r="A3205" s="14">
        <v>43313</v>
      </c>
      <c r="B3205" s="8">
        <v>1431.8951385707476</v>
      </c>
      <c r="F3205" s="7"/>
      <c r="G3205" s="7"/>
      <c r="M3205" s="10"/>
      <c r="P3205" s="11"/>
      <c r="Q3205" s="12"/>
    </row>
    <row r="3206" spans="1:17">
      <c r="A3206" s="14">
        <v>43314</v>
      </c>
      <c r="B3206" s="8">
        <v>1432.3425203320294</v>
      </c>
      <c r="F3206" s="7"/>
      <c r="G3206" s="7"/>
      <c r="M3206" s="10"/>
      <c r="P3206" s="11"/>
      <c r="Q3206" s="12"/>
    </row>
    <row r="3207" spans="1:17">
      <c r="A3207" s="14">
        <v>43315</v>
      </c>
      <c r="B3207" s="8">
        <v>1434.1114454143571</v>
      </c>
      <c r="F3207" s="7"/>
      <c r="G3207" s="7"/>
      <c r="M3207" s="10"/>
      <c r="P3207" s="11"/>
      <c r="Q3207" s="12"/>
    </row>
    <row r="3208" spans="1:17">
      <c r="A3208" s="14">
        <v>43318</v>
      </c>
      <c r="B3208" s="8">
        <v>1438.8502398053035</v>
      </c>
      <c r="F3208" s="7"/>
      <c r="G3208" s="7"/>
      <c r="M3208" s="10"/>
      <c r="P3208" s="11"/>
      <c r="Q3208" s="12"/>
    </row>
    <row r="3209" spans="1:17">
      <c r="A3209" s="14">
        <v>43319</v>
      </c>
      <c r="B3209" s="8">
        <v>1450.2895868296916</v>
      </c>
      <c r="F3209" s="7"/>
      <c r="G3209" s="7"/>
      <c r="M3209" s="10"/>
      <c r="P3209" s="11"/>
      <c r="Q3209" s="12"/>
    </row>
    <row r="3210" spans="1:17">
      <c r="A3210" s="14">
        <v>43320</v>
      </c>
      <c r="B3210" s="8">
        <v>1447.8880641184664</v>
      </c>
      <c r="F3210" s="7"/>
      <c r="G3210" s="7"/>
      <c r="M3210" s="10"/>
      <c r="P3210" s="11"/>
      <c r="Q3210" s="12"/>
    </row>
    <row r="3211" spans="1:17">
      <c r="A3211" s="14">
        <v>43321</v>
      </c>
      <c r="B3211" s="8">
        <v>1442.4635354463392</v>
      </c>
      <c r="F3211" s="7"/>
      <c r="G3211" s="7"/>
      <c r="M3211" s="10"/>
      <c r="P3211" s="11"/>
      <c r="Q3211" s="12"/>
    </row>
    <row r="3212" spans="1:17">
      <c r="A3212" s="14">
        <v>43322</v>
      </c>
      <c r="B3212" s="8">
        <v>1419.8749591574172</v>
      </c>
      <c r="F3212" s="7"/>
      <c r="G3212" s="7"/>
      <c r="M3212" s="10"/>
      <c r="P3212" s="11"/>
      <c r="Q3212" s="12"/>
    </row>
    <row r="3213" spans="1:17">
      <c r="A3213" s="14">
        <v>43325</v>
      </c>
      <c r="B3213" s="8">
        <v>1409.114013930669</v>
      </c>
      <c r="F3213" s="7"/>
      <c r="G3213" s="7"/>
      <c r="M3213" s="10"/>
      <c r="P3213" s="11"/>
      <c r="Q3213" s="12"/>
    </row>
    <row r="3214" spans="1:17">
      <c r="A3214" s="14">
        <v>43326</v>
      </c>
      <c r="B3214" s="8">
        <v>1410.4272171996256</v>
      </c>
      <c r="F3214" s="7"/>
      <c r="G3214" s="7"/>
      <c r="M3214" s="10"/>
      <c r="P3214" s="11"/>
      <c r="Q3214" s="12"/>
    </row>
    <row r="3215" spans="1:17">
      <c r="A3215" s="14">
        <v>43327</v>
      </c>
      <c r="B3215" s="8">
        <v>1394.1035756738167</v>
      </c>
      <c r="F3215" s="7"/>
      <c r="G3215" s="7"/>
      <c r="M3215" s="10"/>
      <c r="P3215" s="11"/>
      <c r="Q3215" s="12"/>
    </row>
    <row r="3216" spans="1:17">
      <c r="A3216" s="14">
        <v>43328</v>
      </c>
      <c r="B3216" s="8">
        <v>1397.6377748121793</v>
      </c>
      <c r="F3216" s="7"/>
      <c r="G3216" s="7"/>
      <c r="M3216" s="10"/>
      <c r="P3216" s="11"/>
      <c r="Q3216" s="12"/>
    </row>
    <row r="3217" spans="1:17">
      <c r="A3217" s="14">
        <v>43329</v>
      </c>
      <c r="B3217" s="8">
        <v>1389.0979953163728</v>
      </c>
      <c r="F3217" s="7"/>
      <c r="G3217" s="7"/>
      <c r="M3217" s="10"/>
      <c r="P3217" s="11"/>
      <c r="Q3217" s="12"/>
    </row>
    <row r="3218" spans="1:17">
      <c r="A3218" s="14">
        <v>43332</v>
      </c>
      <c r="B3218" s="8">
        <v>1395.7173641399315</v>
      </c>
      <c r="F3218" s="7"/>
      <c r="G3218" s="7"/>
      <c r="M3218" s="10"/>
      <c r="P3218" s="11"/>
      <c r="Q3218" s="12"/>
    </row>
    <row r="3219" spans="1:17">
      <c r="A3219" s="14">
        <v>43333</v>
      </c>
      <c r="B3219" s="8">
        <v>1409.7509281105763</v>
      </c>
      <c r="F3219" s="7"/>
      <c r="G3219" s="7"/>
      <c r="M3219" s="10"/>
      <c r="P3219" s="11"/>
      <c r="Q3219" s="12"/>
    </row>
    <row r="3220" spans="1:17">
      <c r="A3220" s="14">
        <v>43334</v>
      </c>
      <c r="B3220" s="8">
        <v>1416.0686402802437</v>
      </c>
      <c r="F3220" s="7"/>
      <c r="G3220" s="7"/>
      <c r="M3220" s="10"/>
      <c r="P3220" s="11"/>
      <c r="Q3220" s="12"/>
    </row>
    <row r="3221" spans="1:17">
      <c r="A3221" s="14">
        <v>43335</v>
      </c>
      <c r="B3221" s="8">
        <v>1416.6071203807319</v>
      </c>
      <c r="F3221" s="7"/>
      <c r="G3221" s="7"/>
      <c r="M3221" s="10"/>
      <c r="P3221" s="11"/>
      <c r="Q3221" s="12"/>
    </row>
    <row r="3222" spans="1:17">
      <c r="A3222" s="14">
        <v>43336</v>
      </c>
      <c r="B3222" s="8">
        <v>1428.6899440911484</v>
      </c>
      <c r="F3222" s="7"/>
      <c r="G3222" s="7"/>
      <c r="M3222" s="10"/>
      <c r="P3222" s="11"/>
      <c r="Q3222" s="12"/>
    </row>
    <row r="3223" spans="1:17">
      <c r="A3223" s="14">
        <v>43339</v>
      </c>
      <c r="B3223" s="8">
        <v>1438.4955829302955</v>
      </c>
      <c r="F3223" s="7"/>
      <c r="G3223" s="7"/>
      <c r="M3223" s="10"/>
      <c r="P3223" s="11"/>
      <c r="Q3223" s="12"/>
    </row>
    <row r="3224" spans="1:17">
      <c r="A3224" s="14">
        <v>43340</v>
      </c>
      <c r="B3224" s="8">
        <v>1435.5322663379152</v>
      </c>
      <c r="F3224" s="7"/>
      <c r="G3224" s="7"/>
      <c r="M3224" s="10"/>
      <c r="P3224" s="11"/>
      <c r="Q3224" s="12"/>
    </row>
    <row r="3225" spans="1:17">
      <c r="A3225" s="14">
        <v>43341</v>
      </c>
      <c r="B3225" s="8">
        <v>1437.6430807595068</v>
      </c>
      <c r="F3225" s="7"/>
      <c r="G3225" s="7"/>
      <c r="M3225" s="10"/>
      <c r="P3225" s="11"/>
      <c r="Q3225" s="12"/>
    </row>
    <row r="3226" spans="1:17">
      <c r="A3226" s="14">
        <v>43342</v>
      </c>
      <c r="B3226" s="8">
        <v>1427.0924976328399</v>
      </c>
      <c r="F3226" s="7"/>
      <c r="G3226" s="7"/>
      <c r="M3226" s="10"/>
      <c r="P3226" s="11"/>
      <c r="Q3226" s="12"/>
    </row>
    <row r="3227" spans="1:17">
      <c r="A3227" s="14">
        <v>43343</v>
      </c>
      <c r="B3227" s="8">
        <v>1422.4632877265908</v>
      </c>
      <c r="F3227" s="7"/>
      <c r="G3227" s="7"/>
      <c r="M3227" s="10"/>
      <c r="P3227" s="11"/>
      <c r="Q3227" s="12"/>
    </row>
    <row r="3228" spans="1:17">
      <c r="A3228" s="14">
        <v>43346</v>
      </c>
      <c r="B3228" s="8">
        <v>1420.4915422779698</v>
      </c>
      <c r="F3228" s="7"/>
      <c r="G3228" s="7"/>
      <c r="M3228" s="10"/>
      <c r="P3228" s="11"/>
      <c r="Q3228" s="12"/>
    </row>
    <row r="3229" spans="1:17">
      <c r="A3229" s="14">
        <v>43347</v>
      </c>
      <c r="B3229" s="8">
        <v>1416.4652603874838</v>
      </c>
      <c r="F3229" s="7"/>
      <c r="G3229" s="7"/>
      <c r="M3229" s="10"/>
      <c r="P3229" s="11"/>
      <c r="Q3229" s="12"/>
    </row>
    <row r="3230" spans="1:17">
      <c r="A3230" s="14">
        <v>43348</v>
      </c>
      <c r="B3230" s="8">
        <v>1398.6776825216612</v>
      </c>
      <c r="F3230" s="7"/>
      <c r="G3230" s="7"/>
      <c r="M3230" s="10"/>
      <c r="P3230" s="11"/>
      <c r="Q3230" s="12"/>
    </row>
    <row r="3231" spans="1:17">
      <c r="A3231" s="14">
        <v>43349</v>
      </c>
      <c r="B3231" s="8">
        <v>1391.3988682973393</v>
      </c>
      <c r="F3231" s="7"/>
      <c r="G3231" s="7"/>
      <c r="M3231" s="10"/>
      <c r="P3231" s="11"/>
      <c r="Q3231" s="12"/>
    </row>
    <row r="3232" spans="1:17">
      <c r="A3232" s="14">
        <v>43350</v>
      </c>
      <c r="B3232" s="8">
        <v>1380.714997767692</v>
      </c>
      <c r="F3232" s="7"/>
      <c r="G3232" s="7"/>
      <c r="M3232" s="10"/>
      <c r="P3232" s="11"/>
      <c r="Q3232" s="12"/>
    </row>
    <row r="3233" spans="1:17">
      <c r="A3233" s="14">
        <v>43353</v>
      </c>
      <c r="B3233" s="8">
        <v>1394.8285544489756</v>
      </c>
      <c r="F3233" s="7"/>
      <c r="G3233" s="7"/>
      <c r="M3233" s="10"/>
      <c r="P3233" s="11"/>
      <c r="Q3233" s="12"/>
    </row>
    <row r="3234" spans="1:17">
      <c r="A3234" s="14">
        <v>43354</v>
      </c>
      <c r="B3234" s="8">
        <v>1393.9838602797211</v>
      </c>
      <c r="F3234" s="7"/>
      <c r="G3234" s="7"/>
      <c r="M3234" s="10"/>
      <c r="P3234" s="11"/>
      <c r="Q3234" s="12"/>
    </row>
    <row r="3235" spans="1:17">
      <c r="A3235" s="14">
        <v>43355</v>
      </c>
      <c r="B3235" s="8">
        <v>1395.4240610741031</v>
      </c>
      <c r="F3235" s="7"/>
      <c r="G3235" s="7"/>
      <c r="M3235" s="10"/>
      <c r="P3235" s="11"/>
      <c r="Q3235" s="12"/>
    </row>
    <row r="3236" spans="1:17">
      <c r="A3236" s="14">
        <v>43356</v>
      </c>
      <c r="B3236" s="8">
        <v>1402.5667469157609</v>
      </c>
      <c r="F3236" s="7"/>
      <c r="G3236" s="7"/>
      <c r="M3236" s="10"/>
      <c r="P3236" s="11"/>
      <c r="Q3236" s="12"/>
    </row>
    <row r="3237" spans="1:17">
      <c r="A3237" s="14">
        <v>43357</v>
      </c>
      <c r="B3237" s="8">
        <v>1410.6274424443088</v>
      </c>
      <c r="F3237" s="7"/>
      <c r="G3237" s="7"/>
      <c r="M3237" s="10"/>
      <c r="P3237" s="11"/>
      <c r="Q3237" s="12"/>
    </row>
    <row r="3238" spans="1:17">
      <c r="A3238" s="14">
        <v>43360</v>
      </c>
      <c r="B3238" s="8">
        <v>1402.9305698172207</v>
      </c>
      <c r="F3238" s="7"/>
      <c r="G3238" s="7"/>
      <c r="M3238" s="10"/>
      <c r="P3238" s="11"/>
      <c r="Q3238" s="12"/>
    </row>
    <row r="3239" spans="1:17">
      <c r="A3239" s="14">
        <v>43361</v>
      </c>
      <c r="B3239" s="8">
        <v>1409.8319086317401</v>
      </c>
      <c r="F3239" s="7"/>
      <c r="G3239" s="7"/>
      <c r="M3239" s="10"/>
      <c r="P3239" s="11"/>
      <c r="Q3239" s="12"/>
    </row>
    <row r="3240" spans="1:17">
      <c r="A3240" s="14">
        <v>43362</v>
      </c>
      <c r="B3240" s="8">
        <v>1417.0094996690973</v>
      </c>
      <c r="F3240" s="7"/>
      <c r="G3240" s="7"/>
      <c r="M3240" s="10"/>
      <c r="P3240" s="11"/>
      <c r="Q3240" s="12"/>
    </row>
    <row r="3241" spans="1:17">
      <c r="A3241" s="14">
        <v>43363</v>
      </c>
      <c r="B3241" s="8">
        <v>1428.6799355634289</v>
      </c>
      <c r="F3241" s="7"/>
      <c r="G3241" s="7"/>
      <c r="M3241" s="10"/>
      <c r="P3241" s="11"/>
      <c r="Q3241" s="12"/>
    </row>
    <row r="3242" spans="1:17">
      <c r="A3242" s="14">
        <v>43364</v>
      </c>
      <c r="B3242" s="8">
        <v>1431.3770522722209</v>
      </c>
      <c r="F3242" s="7"/>
      <c r="G3242" s="7"/>
      <c r="M3242" s="10"/>
      <c r="P3242" s="11"/>
      <c r="Q3242" s="12"/>
    </row>
    <row r="3243" spans="1:17">
      <c r="A3243" s="14">
        <v>43367</v>
      </c>
      <c r="B3243" s="8">
        <v>1423.9174890262282</v>
      </c>
      <c r="F3243" s="7"/>
      <c r="G3243" s="7"/>
      <c r="M3243" s="10"/>
      <c r="P3243" s="11"/>
      <c r="Q3243" s="12"/>
    </row>
    <row r="3244" spans="1:17">
      <c r="A3244" s="14">
        <v>43368</v>
      </c>
      <c r="B3244" s="8">
        <v>1424.279519630071</v>
      </c>
      <c r="F3244" s="7"/>
      <c r="G3244" s="7"/>
      <c r="M3244" s="10"/>
      <c r="P3244" s="11"/>
      <c r="Q3244" s="12"/>
    </row>
    <row r="3245" spans="1:17">
      <c r="A3245" s="14">
        <v>43369</v>
      </c>
      <c r="B3245" s="8">
        <v>1418.9888159950531</v>
      </c>
      <c r="F3245" s="7"/>
      <c r="G3245" s="7"/>
      <c r="M3245" s="10"/>
      <c r="P3245" s="11"/>
      <c r="Q3245" s="12"/>
    </row>
    <row r="3246" spans="1:17">
      <c r="A3246" s="14">
        <v>43370</v>
      </c>
      <c r="B3246" s="8">
        <v>1418.2240929052894</v>
      </c>
      <c r="F3246" s="7"/>
      <c r="G3246" s="7"/>
      <c r="M3246" s="10"/>
      <c r="P3246" s="11"/>
      <c r="Q3246" s="12"/>
    </row>
    <row r="3247" spans="1:17">
      <c r="A3247" s="14">
        <v>43371</v>
      </c>
      <c r="B3247" s="8">
        <v>1396.4383307789628</v>
      </c>
      <c r="F3247" s="7"/>
      <c r="G3247" s="7"/>
      <c r="M3247" s="10"/>
      <c r="P3247" s="11"/>
      <c r="Q3247" s="12"/>
    </row>
    <row r="3248" spans="1:17">
      <c r="A3248" s="14">
        <v>43374</v>
      </c>
      <c r="B3248" s="8">
        <v>1402.1378473342465</v>
      </c>
      <c r="F3248" s="7"/>
      <c r="G3248" s="7"/>
      <c r="M3248" s="10"/>
      <c r="P3248" s="11"/>
      <c r="Q3248" s="12"/>
    </row>
    <row r="3249" spans="1:17">
      <c r="A3249" s="14">
        <v>43375</v>
      </c>
      <c r="B3249" s="8">
        <v>1392.6636230605843</v>
      </c>
      <c r="F3249" s="7"/>
      <c r="G3249" s="7"/>
      <c r="M3249" s="10"/>
      <c r="P3249" s="11"/>
      <c r="Q3249" s="12"/>
    </row>
    <row r="3250" spans="1:17">
      <c r="A3250" s="14">
        <v>43376</v>
      </c>
      <c r="B3250" s="8">
        <v>1395.5411226850308</v>
      </c>
      <c r="F3250" s="7"/>
      <c r="G3250" s="7"/>
      <c r="M3250" s="10"/>
      <c r="P3250" s="11"/>
      <c r="Q3250" s="12"/>
    </row>
    <row r="3251" spans="1:17">
      <c r="A3251" s="14">
        <v>43377</v>
      </c>
      <c r="B3251" s="8">
        <v>1378.7563681628717</v>
      </c>
      <c r="F3251" s="7"/>
      <c r="G3251" s="7"/>
      <c r="M3251" s="10"/>
      <c r="P3251" s="11"/>
      <c r="Q3251" s="12"/>
    </row>
    <row r="3252" spans="1:17">
      <c r="A3252" s="14">
        <v>43378</v>
      </c>
      <c r="B3252" s="8">
        <v>1359.1173794661779</v>
      </c>
      <c r="F3252" s="7"/>
      <c r="G3252" s="7"/>
      <c r="M3252" s="10"/>
      <c r="P3252" s="11"/>
      <c r="Q3252" s="12"/>
    </row>
    <row r="3253" spans="1:17">
      <c r="A3253" s="14">
        <v>43381</v>
      </c>
      <c r="B3253" s="8">
        <v>1340.9044533665474</v>
      </c>
      <c r="F3253" s="7"/>
      <c r="G3253" s="7"/>
      <c r="M3253" s="10"/>
      <c r="P3253" s="11"/>
      <c r="Q3253" s="12"/>
    </row>
    <row r="3254" spans="1:17">
      <c r="A3254" s="14">
        <v>43382</v>
      </c>
      <c r="B3254" s="8">
        <v>1341.8898898242221</v>
      </c>
      <c r="F3254" s="7"/>
      <c r="G3254" s="7"/>
      <c r="M3254" s="10"/>
      <c r="P3254" s="11"/>
      <c r="Q3254" s="12"/>
    </row>
    <row r="3255" spans="1:17">
      <c r="A3255" s="14">
        <v>43383</v>
      </c>
      <c r="B3255" s="8">
        <v>1300.5788634886712</v>
      </c>
      <c r="F3255" s="7"/>
      <c r="G3255" s="7"/>
      <c r="M3255" s="10"/>
      <c r="P3255" s="11"/>
      <c r="Q3255" s="12"/>
    </row>
    <row r="3256" spans="1:17">
      <c r="A3256" s="14">
        <v>43384</v>
      </c>
      <c r="B3256" s="8">
        <v>1278.9768082962537</v>
      </c>
      <c r="F3256" s="7"/>
      <c r="G3256" s="7"/>
      <c r="M3256" s="10"/>
      <c r="P3256" s="11"/>
      <c r="Q3256" s="12"/>
    </row>
    <row r="3257" spans="1:17">
      <c r="A3257" s="14">
        <v>43385</v>
      </c>
      <c r="B3257" s="8">
        <v>1292.4433354163868</v>
      </c>
      <c r="F3257" s="7"/>
      <c r="G3257" s="7"/>
      <c r="M3257" s="10"/>
      <c r="P3257" s="11"/>
      <c r="Q3257" s="12"/>
    </row>
    <row r="3258" spans="1:17">
      <c r="A3258" s="14">
        <v>43388</v>
      </c>
      <c r="B3258" s="8">
        <v>1285.3860661935134</v>
      </c>
      <c r="F3258" s="7"/>
      <c r="G3258" s="7"/>
      <c r="M3258" s="10"/>
      <c r="P3258" s="11"/>
      <c r="Q3258" s="12"/>
    </row>
    <row r="3259" spans="1:17">
      <c r="A3259" s="14">
        <v>43389</v>
      </c>
      <c r="B3259" s="8">
        <v>1315.8508179246792</v>
      </c>
      <c r="F3259" s="7"/>
      <c r="G3259" s="7"/>
      <c r="M3259" s="10"/>
      <c r="P3259" s="11"/>
      <c r="Q3259" s="12"/>
    </row>
    <row r="3260" spans="1:17">
      <c r="A3260" s="14">
        <v>43390</v>
      </c>
      <c r="B3260" s="8">
        <v>1314.8623209688101</v>
      </c>
      <c r="F3260" s="7"/>
      <c r="G3260" s="7"/>
      <c r="M3260" s="10"/>
      <c r="P3260" s="11"/>
      <c r="Q3260" s="12"/>
    </row>
    <row r="3261" spans="1:17">
      <c r="A3261" s="14">
        <v>43391</v>
      </c>
      <c r="B3261" s="8">
        <v>1287.5360402766385</v>
      </c>
      <c r="F3261" s="7"/>
      <c r="G3261" s="7"/>
      <c r="M3261" s="10"/>
      <c r="P3261" s="11"/>
      <c r="Q3261" s="12"/>
    </row>
    <row r="3262" spans="1:17">
      <c r="A3262" s="14">
        <v>43392</v>
      </c>
      <c r="B3262" s="8">
        <v>1275.5723201013666</v>
      </c>
      <c r="F3262" s="7"/>
      <c r="G3262" s="7"/>
      <c r="M3262" s="10"/>
      <c r="P3262" s="11"/>
      <c r="Q3262" s="12"/>
    </row>
    <row r="3263" spans="1:17">
      <c r="A3263" s="14">
        <v>43395</v>
      </c>
      <c r="B3263" s="8">
        <v>1271.0958409057218</v>
      </c>
      <c r="F3263" s="7"/>
      <c r="G3263" s="7"/>
      <c r="M3263" s="10"/>
      <c r="P3263" s="11"/>
      <c r="Q3263" s="12"/>
    </row>
    <row r="3264" spans="1:17">
      <c r="A3264" s="14">
        <v>43396</v>
      </c>
      <c r="B3264" s="8">
        <v>1262.8102191474056</v>
      </c>
      <c r="F3264" s="7"/>
      <c r="G3264" s="7"/>
      <c r="M3264" s="10"/>
      <c r="P3264" s="11"/>
      <c r="Q3264" s="12"/>
    </row>
    <row r="3265" spans="1:17">
      <c r="A3265" s="14">
        <v>43397</v>
      </c>
      <c r="B3265" s="8">
        <v>1224.204569391655</v>
      </c>
      <c r="F3265" s="7"/>
      <c r="G3265" s="7"/>
      <c r="M3265" s="10"/>
      <c r="P3265" s="11"/>
      <c r="Q3265" s="12"/>
    </row>
    <row r="3266" spans="1:17">
      <c r="A3266" s="14">
        <v>43398</v>
      </c>
      <c r="B3266" s="8">
        <v>1252.6660802433539</v>
      </c>
      <c r="F3266" s="7"/>
      <c r="G3266" s="7"/>
      <c r="M3266" s="10"/>
      <c r="P3266" s="11"/>
      <c r="Q3266" s="12"/>
    </row>
    <row r="3267" spans="1:17">
      <c r="A3267" s="14">
        <v>43399</v>
      </c>
      <c r="B3267" s="8">
        <v>1232.6866062686493</v>
      </c>
      <c r="F3267" s="7"/>
      <c r="G3267" s="7"/>
      <c r="M3267" s="10"/>
      <c r="P3267" s="11"/>
      <c r="Q3267" s="12"/>
    </row>
    <row r="3268" spans="1:17">
      <c r="A3268" s="14">
        <v>43402</v>
      </c>
      <c r="B3268" s="8">
        <v>1236.974939908315</v>
      </c>
      <c r="F3268" s="7"/>
      <c r="G3268" s="7"/>
      <c r="M3268" s="10"/>
      <c r="P3268" s="11"/>
      <c r="Q3268" s="12"/>
    </row>
    <row r="3269" spans="1:17">
      <c r="A3269" s="14">
        <v>43403</v>
      </c>
      <c r="B3269" s="8">
        <v>1244.8167306722326</v>
      </c>
      <c r="F3269" s="7"/>
      <c r="G3269" s="7"/>
      <c r="M3269" s="10"/>
      <c r="P3269" s="11"/>
      <c r="Q3269" s="12"/>
    </row>
    <row r="3270" spans="1:17">
      <c r="A3270" s="14">
        <v>43404</v>
      </c>
      <c r="B3270" s="8">
        <v>1266.6660646370951</v>
      </c>
      <c r="F3270" s="7"/>
      <c r="G3270" s="7"/>
      <c r="M3270" s="10"/>
      <c r="P3270" s="11"/>
      <c r="Q3270" s="12"/>
    </row>
    <row r="3271" spans="1:17">
      <c r="A3271" s="14">
        <v>43405</v>
      </c>
      <c r="B3271" s="8">
        <v>1280.4095663365024</v>
      </c>
      <c r="F3271" s="7"/>
      <c r="G3271" s="7"/>
      <c r="M3271" s="10"/>
      <c r="P3271" s="11"/>
      <c r="Q3271" s="12"/>
    </row>
    <row r="3272" spans="1:17">
      <c r="A3272" s="14">
        <v>43406</v>
      </c>
      <c r="B3272" s="8">
        <v>1284.327961849197</v>
      </c>
      <c r="F3272" s="7"/>
      <c r="G3272" s="7"/>
      <c r="M3272" s="10"/>
      <c r="P3272" s="11"/>
      <c r="Q3272" s="12"/>
    </row>
    <row r="3273" spans="1:17">
      <c r="A3273" s="14">
        <v>43409</v>
      </c>
      <c r="B3273" s="8">
        <v>1279.6893425584528</v>
      </c>
      <c r="F3273" s="7"/>
      <c r="G3273" s="7"/>
      <c r="M3273" s="10"/>
      <c r="P3273" s="11"/>
      <c r="Q3273" s="12"/>
    </row>
    <row r="3274" spans="1:17">
      <c r="A3274" s="14">
        <v>43410</v>
      </c>
      <c r="B3274" s="8">
        <v>1279.3412397964375</v>
      </c>
      <c r="F3274" s="7"/>
      <c r="G3274" s="7"/>
      <c r="M3274" s="10"/>
      <c r="P3274" s="11"/>
      <c r="Q3274" s="12"/>
    </row>
    <row r="3275" spans="1:17">
      <c r="A3275" s="14">
        <v>43411</v>
      </c>
      <c r="B3275" s="8">
        <v>1303.8412574577619</v>
      </c>
      <c r="F3275" s="7"/>
      <c r="G3275" s="7"/>
      <c r="M3275" s="10"/>
      <c r="P3275" s="11"/>
      <c r="Q3275" s="12"/>
    </row>
    <row r="3276" spans="1:17">
      <c r="A3276" s="14">
        <v>43412</v>
      </c>
      <c r="B3276" s="8">
        <v>1293.3160609906442</v>
      </c>
      <c r="F3276" s="7"/>
      <c r="G3276" s="7"/>
      <c r="M3276" s="10"/>
      <c r="P3276" s="11"/>
      <c r="Q3276" s="12"/>
    </row>
    <row r="3277" spans="1:17">
      <c r="A3277" s="14">
        <v>43413</v>
      </c>
      <c r="B3277" s="8">
        <v>1276.3627843220811</v>
      </c>
      <c r="F3277" s="7"/>
      <c r="G3277" s="7"/>
      <c r="M3277" s="10"/>
      <c r="P3277" s="11"/>
      <c r="Q3277" s="12"/>
    </row>
    <row r="3278" spans="1:17">
      <c r="A3278" s="14">
        <v>43416</v>
      </c>
      <c r="B3278" s="8">
        <v>1243.9512043992158</v>
      </c>
      <c r="F3278" s="7"/>
      <c r="G3278" s="7"/>
      <c r="M3278" s="10"/>
      <c r="P3278" s="11"/>
      <c r="Q3278" s="12"/>
    </row>
    <row r="3279" spans="1:17">
      <c r="A3279" s="14">
        <v>43417</v>
      </c>
      <c r="B3279" s="8">
        <v>1255.7279448022014</v>
      </c>
      <c r="F3279" s="7"/>
      <c r="G3279" s="7"/>
      <c r="M3279" s="10"/>
      <c r="P3279" s="11"/>
      <c r="Q3279" s="12"/>
    </row>
    <row r="3280" spans="1:17">
      <c r="A3280" s="14">
        <v>43418</v>
      </c>
      <c r="B3280" s="8">
        <v>1246.0478568699939</v>
      </c>
      <c r="F3280" s="7"/>
      <c r="G3280" s="7"/>
      <c r="M3280" s="10"/>
      <c r="P3280" s="11"/>
      <c r="Q3280" s="12"/>
    </row>
    <row r="3281" spans="1:17">
      <c r="A3281" s="14">
        <v>43419</v>
      </c>
      <c r="B3281" s="8">
        <v>1253.747686109692</v>
      </c>
      <c r="F3281" s="7"/>
      <c r="G3281" s="7"/>
      <c r="M3281" s="10"/>
      <c r="P3281" s="11"/>
      <c r="Q3281" s="12"/>
    </row>
    <row r="3282" spans="1:17">
      <c r="A3282" s="14">
        <v>43420</v>
      </c>
      <c r="B3282" s="8">
        <v>1242.0850403235695</v>
      </c>
      <c r="F3282" s="7"/>
      <c r="G3282" s="7"/>
      <c r="M3282" s="10"/>
      <c r="P3282" s="11"/>
      <c r="Q3282" s="12"/>
    </row>
    <row r="3283" spans="1:17">
      <c r="A3283" s="14">
        <v>43423</v>
      </c>
      <c r="B3283" s="8">
        <v>1216.5149622209408</v>
      </c>
      <c r="F3283" s="7"/>
      <c r="G3283" s="7"/>
      <c r="M3283" s="10"/>
      <c r="P3283" s="11"/>
      <c r="Q3283" s="12"/>
    </row>
    <row r="3284" spans="1:17">
      <c r="A3284" s="14">
        <v>43424</v>
      </c>
      <c r="B3284" s="8">
        <v>1196.9789572674579</v>
      </c>
      <c r="F3284" s="7"/>
      <c r="G3284" s="7"/>
      <c r="M3284" s="10"/>
      <c r="P3284" s="11"/>
      <c r="Q3284" s="12"/>
    </row>
    <row r="3285" spans="1:17">
      <c r="A3285" s="14">
        <v>43425</v>
      </c>
      <c r="B3285" s="8">
        <v>1208.6047697272461</v>
      </c>
      <c r="F3285" s="7"/>
      <c r="G3285" s="7"/>
      <c r="M3285" s="10"/>
      <c r="P3285" s="11"/>
      <c r="Q3285" s="12"/>
    </row>
    <row r="3286" spans="1:17">
      <c r="A3286" s="14">
        <v>43426</v>
      </c>
      <c r="B3286" s="8">
        <v>1203.4899115009621</v>
      </c>
      <c r="F3286" s="7"/>
      <c r="G3286" s="7"/>
      <c r="M3286" s="10"/>
      <c r="P3286" s="11"/>
      <c r="Q3286" s="12"/>
    </row>
    <row r="3287" spans="1:17">
      <c r="A3287" s="14">
        <v>43427</v>
      </c>
      <c r="B3287" s="8">
        <v>1201.7910541201366</v>
      </c>
      <c r="F3287" s="7"/>
      <c r="G3287" s="7"/>
      <c r="M3287" s="10"/>
      <c r="P3287" s="11"/>
      <c r="Q3287" s="12"/>
    </row>
    <row r="3288" spans="1:17">
      <c r="A3288" s="14">
        <v>43430</v>
      </c>
      <c r="B3288" s="8">
        <v>1229.0218231823428</v>
      </c>
      <c r="F3288" s="7"/>
      <c r="G3288" s="7"/>
      <c r="M3288" s="10"/>
      <c r="P3288" s="11"/>
      <c r="Q3288" s="12"/>
    </row>
    <row r="3289" spans="1:17">
      <c r="A3289" s="14">
        <v>43431</v>
      </c>
      <c r="B3289" s="8">
        <v>1228.554628936593</v>
      </c>
      <c r="F3289" s="7"/>
      <c r="G3289" s="7"/>
      <c r="M3289" s="10"/>
      <c r="P3289" s="11"/>
      <c r="Q3289" s="12"/>
    </row>
    <row r="3290" spans="1:17">
      <c r="A3290" s="14">
        <v>43432</v>
      </c>
      <c r="B3290" s="8">
        <v>1251.4243012224745</v>
      </c>
      <c r="F3290" s="7"/>
      <c r="G3290" s="7"/>
      <c r="M3290" s="10"/>
      <c r="P3290" s="11"/>
      <c r="Q3290" s="12"/>
    </row>
    <row r="3291" spans="1:17">
      <c r="A3291" s="14">
        <v>43433</v>
      </c>
      <c r="B3291" s="8">
        <v>1248.4291578092821</v>
      </c>
      <c r="F3291" s="7"/>
      <c r="G3291" s="7"/>
      <c r="M3291" s="10"/>
      <c r="P3291" s="11"/>
      <c r="Q3291" s="12"/>
    </row>
    <row r="3292" spans="1:17">
      <c r="A3292" s="14">
        <v>43434</v>
      </c>
      <c r="B3292" s="8">
        <v>1254.0195965777284</v>
      </c>
      <c r="F3292" s="7"/>
      <c r="G3292" s="7"/>
      <c r="M3292" s="10"/>
      <c r="P3292" s="11"/>
      <c r="Q3292" s="12"/>
    </row>
    <row r="3293" spans="1:17">
      <c r="A3293" s="14">
        <v>43437</v>
      </c>
      <c r="B3293" s="8">
        <v>1274.0783333506722</v>
      </c>
      <c r="F3293" s="7"/>
      <c r="G3293" s="7"/>
      <c r="M3293" s="10"/>
      <c r="P3293" s="11"/>
      <c r="Q3293" s="12"/>
    </row>
    <row r="3294" spans="1:17">
      <c r="A3294" s="14">
        <v>43438</v>
      </c>
      <c r="B3294" s="8">
        <v>1238.5414049775777</v>
      </c>
      <c r="F3294" s="7"/>
      <c r="G3294" s="7"/>
      <c r="M3294" s="10"/>
      <c r="P3294" s="11"/>
      <c r="Q3294" s="12"/>
    </row>
    <row r="3295" spans="1:17">
      <c r="A3295" s="14">
        <v>43439</v>
      </c>
      <c r="B3295" s="8">
        <v>1231.7897745478617</v>
      </c>
      <c r="F3295" s="7"/>
      <c r="G3295" s="7"/>
      <c r="M3295" s="10"/>
      <c r="P3295" s="11"/>
      <c r="Q3295" s="12"/>
    </row>
    <row r="3296" spans="1:17">
      <c r="A3296" s="14">
        <v>43440</v>
      </c>
      <c r="B3296" s="8">
        <v>1211.2461968944526</v>
      </c>
      <c r="F3296" s="7"/>
      <c r="G3296" s="7"/>
      <c r="M3296" s="10"/>
      <c r="P3296" s="11"/>
      <c r="Q3296" s="12"/>
    </row>
    <row r="3297" spans="1:17">
      <c r="A3297" s="14">
        <v>43441</v>
      </c>
      <c r="B3297" s="8">
        <v>1192.3025339558681</v>
      </c>
      <c r="F3297" s="7"/>
      <c r="G3297" s="7"/>
      <c r="M3297" s="10"/>
      <c r="P3297" s="11"/>
      <c r="Q3297" s="12"/>
    </row>
    <row r="3298" spans="1:17">
      <c r="A3298" s="14">
        <v>43444</v>
      </c>
      <c r="B3298" s="8">
        <v>1184.1081274168203</v>
      </c>
      <c r="F3298" s="7"/>
      <c r="G3298" s="7"/>
      <c r="M3298" s="10"/>
      <c r="P3298" s="11"/>
      <c r="Q3298" s="12"/>
    </row>
    <row r="3299" spans="1:17">
      <c r="A3299" s="14">
        <v>43445</v>
      </c>
      <c r="B3299" s="8">
        <v>1187.5569078859819</v>
      </c>
      <c r="F3299" s="7"/>
      <c r="G3299" s="7"/>
      <c r="M3299" s="10"/>
      <c r="P3299" s="11"/>
      <c r="Q3299" s="12"/>
    </row>
    <row r="3300" spans="1:17">
      <c r="A3300" s="14">
        <v>43446</v>
      </c>
      <c r="B3300" s="8">
        <v>1203.5554889216455</v>
      </c>
      <c r="F3300" s="7"/>
      <c r="G3300" s="7"/>
      <c r="M3300" s="10"/>
      <c r="P3300" s="11"/>
      <c r="Q3300" s="12"/>
    </row>
    <row r="3301" spans="1:17">
      <c r="A3301" s="14">
        <v>43447</v>
      </c>
      <c r="B3301" s="8">
        <v>1205.0522176175402</v>
      </c>
      <c r="F3301" s="7"/>
      <c r="G3301" s="7"/>
      <c r="M3301" s="10"/>
      <c r="P3301" s="11"/>
      <c r="Q3301" s="12"/>
    </row>
    <row r="3302" spans="1:17">
      <c r="A3302" s="14">
        <v>43448</v>
      </c>
      <c r="B3302" s="8">
        <v>1183.9281203876112</v>
      </c>
      <c r="F3302" s="7"/>
      <c r="G3302" s="7"/>
      <c r="M3302" s="10"/>
      <c r="P3302" s="11"/>
      <c r="Q3302" s="12"/>
    </row>
    <row r="3303" spans="1:17">
      <c r="A3303" s="14">
        <v>43451</v>
      </c>
      <c r="B3303" s="8">
        <v>1159.5616708990794</v>
      </c>
      <c r="F3303" s="7"/>
      <c r="G3303" s="7"/>
      <c r="M3303" s="10"/>
      <c r="P3303" s="11"/>
      <c r="Q3303" s="12"/>
    </row>
    <row r="3304" spans="1:17">
      <c r="A3304" s="14">
        <v>43452</v>
      </c>
      <c r="B3304" s="8">
        <v>1160.6612875309477</v>
      </c>
      <c r="F3304" s="7"/>
      <c r="G3304" s="7"/>
      <c r="M3304" s="10"/>
      <c r="P3304" s="11"/>
      <c r="Q3304" s="12"/>
    </row>
    <row r="3305" spans="1:17">
      <c r="A3305" s="14">
        <v>43453</v>
      </c>
      <c r="B3305" s="8">
        <v>1153.3483025935684</v>
      </c>
      <c r="F3305" s="7"/>
      <c r="G3305" s="7"/>
      <c r="M3305" s="10"/>
      <c r="P3305" s="11"/>
      <c r="Q3305" s="12"/>
    </row>
    <row r="3306" spans="1:17">
      <c r="A3306" s="14">
        <v>43454</v>
      </c>
      <c r="B3306" s="8">
        <v>1126.6421901692233</v>
      </c>
      <c r="F3306" s="7"/>
      <c r="G3306" s="7"/>
      <c r="M3306" s="10"/>
      <c r="P3306" s="11"/>
      <c r="Q3306" s="12"/>
    </row>
    <row r="3307" spans="1:17">
      <c r="A3307" s="14">
        <v>43455</v>
      </c>
      <c r="B3307" s="8">
        <v>1109.6501715443487</v>
      </c>
      <c r="F3307" s="7"/>
      <c r="G3307" s="7"/>
      <c r="M3307" s="10"/>
      <c r="P3307" s="11"/>
      <c r="Q3307" s="12"/>
    </row>
    <row r="3308" spans="1:17">
      <c r="A3308" s="14">
        <v>43458</v>
      </c>
      <c r="B3308" s="8">
        <v>1088.2208498980788</v>
      </c>
      <c r="F3308" s="7"/>
      <c r="G3308" s="7"/>
      <c r="M3308" s="10"/>
      <c r="P3308" s="11"/>
      <c r="Q3308" s="12"/>
    </row>
    <row r="3309" spans="1:17">
      <c r="A3309" s="14">
        <v>43459</v>
      </c>
      <c r="B3309" s="8">
        <v>1087.8391572206444</v>
      </c>
      <c r="F3309" s="7"/>
      <c r="G3309" s="7"/>
      <c r="M3309" s="10"/>
      <c r="P3309" s="11"/>
      <c r="Q3309" s="12"/>
    </row>
    <row r="3310" spans="1:17">
      <c r="A3310" s="14">
        <v>43460</v>
      </c>
      <c r="B3310" s="8">
        <v>1118.0521125272985</v>
      </c>
      <c r="F3310" s="7"/>
      <c r="G3310" s="7"/>
      <c r="M3310" s="10"/>
      <c r="P3310" s="11"/>
      <c r="Q3310" s="12"/>
    </row>
    <row r="3311" spans="1:17">
      <c r="A3311" s="14">
        <v>43461</v>
      </c>
      <c r="B3311" s="8">
        <v>1119.1755608755982</v>
      </c>
      <c r="F3311" s="7"/>
      <c r="G3311" s="7"/>
      <c r="M3311" s="10"/>
      <c r="P3311" s="11"/>
      <c r="Q3311" s="12"/>
    </row>
    <row r="3312" spans="1:17">
      <c r="A3312" s="14">
        <v>43462</v>
      </c>
      <c r="B3312" s="8">
        <v>1133.4537173008955</v>
      </c>
      <c r="F3312" s="7"/>
      <c r="G3312" s="7"/>
      <c r="M3312" s="10"/>
      <c r="P3312" s="11"/>
      <c r="Q3312" s="12"/>
    </row>
    <row r="3313" spans="1:17">
      <c r="A3313" s="14">
        <v>43465</v>
      </c>
      <c r="B3313" s="8">
        <v>1139.1499654524757</v>
      </c>
      <c r="F3313" s="7"/>
      <c r="G3313" s="7"/>
      <c r="M3313" s="10"/>
      <c r="P3313" s="11"/>
      <c r="Q3313" s="12"/>
    </row>
    <row r="3314" spans="1:17">
      <c r="A3314" s="14">
        <v>43466</v>
      </c>
      <c r="B3314" s="8">
        <v>1138.7682727750441</v>
      </c>
      <c r="F3314" s="7"/>
      <c r="G3314" s="7"/>
      <c r="M3314" s="10"/>
      <c r="P3314" s="11"/>
      <c r="Q3314" s="12"/>
    </row>
    <row r="3315" spans="1:17">
      <c r="A3315" s="14">
        <v>43467</v>
      </c>
      <c r="B3315" s="8">
        <v>1135.1304266560069</v>
      </c>
      <c r="F3315" s="7"/>
      <c r="G3315" s="7"/>
      <c r="M3315" s="10"/>
      <c r="P3315" s="11"/>
      <c r="Q3315" s="12"/>
    </row>
    <row r="3316" spans="1:17">
      <c r="A3316" s="14">
        <v>43468</v>
      </c>
      <c r="B3316" s="8">
        <v>1108.2388290148249</v>
      </c>
      <c r="F3316" s="7"/>
      <c r="G3316" s="7"/>
      <c r="M3316" s="10"/>
      <c r="P3316" s="11"/>
      <c r="Q3316" s="12"/>
    </row>
    <row r="3317" spans="1:17">
      <c r="A3317" s="14">
        <v>43469</v>
      </c>
      <c r="B3317" s="8">
        <v>1152.4224731598763</v>
      </c>
      <c r="F3317" s="7"/>
      <c r="G3317" s="7"/>
      <c r="M3317" s="10"/>
      <c r="P3317" s="11"/>
      <c r="Q3317" s="12"/>
    </row>
    <row r="3318" spans="1:17">
      <c r="A3318" s="14">
        <v>43472</v>
      </c>
      <c r="B3318" s="8">
        <v>1165.9171949213865</v>
      </c>
      <c r="F3318" s="7"/>
      <c r="G3318" s="7"/>
      <c r="M3318" s="10"/>
      <c r="P3318" s="11"/>
      <c r="Q3318" s="12"/>
    </row>
    <row r="3319" spans="1:17">
      <c r="A3319" s="14">
        <v>43473</v>
      </c>
      <c r="B3319" s="8">
        <v>1172.1547867316044</v>
      </c>
      <c r="F3319" s="7"/>
      <c r="G3319" s="7"/>
      <c r="M3319" s="10"/>
      <c r="P3319" s="11"/>
      <c r="Q3319" s="12"/>
    </row>
    <row r="3320" spans="1:17">
      <c r="A3320" s="14">
        <v>43474</v>
      </c>
      <c r="B3320" s="8">
        <v>1178.2744883238563</v>
      </c>
      <c r="F3320" s="7"/>
      <c r="G3320" s="7"/>
      <c r="M3320" s="10"/>
      <c r="P3320" s="11"/>
      <c r="Q3320" s="12"/>
    </row>
    <row r="3321" spans="1:17">
      <c r="A3321" s="14">
        <v>43475</v>
      </c>
      <c r="B3321" s="8">
        <v>1183.47016112796</v>
      </c>
      <c r="F3321" s="7"/>
      <c r="G3321" s="7"/>
      <c r="M3321" s="10"/>
      <c r="P3321" s="11"/>
      <c r="Q3321" s="12"/>
    </row>
    <row r="3322" spans="1:17">
      <c r="A3322" s="14">
        <v>43476</v>
      </c>
      <c r="B3322" s="8">
        <v>1185.4574047879669</v>
      </c>
      <c r="F3322" s="7"/>
      <c r="G3322" s="7"/>
      <c r="M3322" s="10"/>
      <c r="P3322" s="11"/>
      <c r="Q3322" s="12"/>
    </row>
    <row r="3323" spans="1:17">
      <c r="A3323" s="14">
        <v>43479</v>
      </c>
      <c r="B3323" s="8">
        <v>1177.949564175927</v>
      </c>
      <c r="F3323" s="7"/>
      <c r="G3323" s="7"/>
      <c r="M3323" s="10"/>
      <c r="P3323" s="11"/>
      <c r="Q3323" s="12"/>
    </row>
    <row r="3324" spans="1:17">
      <c r="A3324" s="14">
        <v>43480</v>
      </c>
      <c r="B3324" s="8">
        <v>1184.7435802851369</v>
      </c>
      <c r="F3324" s="7"/>
      <c r="G3324" s="7"/>
      <c r="M3324" s="10"/>
      <c r="P3324" s="11"/>
      <c r="Q3324" s="12"/>
    </row>
    <row r="3325" spans="1:17">
      <c r="A3325" s="14">
        <v>43481</v>
      </c>
      <c r="B3325" s="8">
        <v>1192.8169213995679</v>
      </c>
      <c r="F3325" s="7"/>
      <c r="G3325" s="7"/>
      <c r="M3325" s="10"/>
      <c r="P3325" s="11"/>
      <c r="Q3325" s="12"/>
    </row>
    <row r="3326" spans="1:17">
      <c r="A3326" s="14">
        <v>43482</v>
      </c>
      <c r="B3326" s="8">
        <v>1188.2888807537438</v>
      </c>
      <c r="F3326" s="7"/>
      <c r="G3326" s="7"/>
      <c r="M3326" s="10"/>
      <c r="P3326" s="11"/>
      <c r="Q3326" s="12"/>
    </row>
    <row r="3327" spans="1:17">
      <c r="A3327" s="14">
        <v>43483</v>
      </c>
      <c r="B3327" s="8">
        <v>1207.6160394767728</v>
      </c>
      <c r="F3327" s="7"/>
      <c r="G3327" s="7"/>
      <c r="M3327" s="10"/>
      <c r="P3327" s="11"/>
      <c r="Q3327" s="12"/>
    </row>
    <row r="3328" spans="1:17">
      <c r="A3328" s="14">
        <v>43486</v>
      </c>
      <c r="B3328" s="8">
        <v>1206.2151012114457</v>
      </c>
      <c r="F3328" s="7"/>
      <c r="G3328" s="7"/>
      <c r="M3328" s="10"/>
      <c r="P3328" s="11"/>
      <c r="Q3328" s="12"/>
    </row>
    <row r="3329" spans="1:17">
      <c r="A3329" s="14">
        <v>43487</v>
      </c>
      <c r="B3329" s="8">
        <v>1188.7458031433803</v>
      </c>
      <c r="F3329" s="7"/>
      <c r="G3329" s="7"/>
      <c r="M3329" s="10"/>
      <c r="P3329" s="11"/>
      <c r="Q3329" s="12"/>
    </row>
    <row r="3330" spans="1:17">
      <c r="A3330" s="14">
        <v>43488</v>
      </c>
      <c r="B3330" s="8">
        <v>1188.2932821838713</v>
      </c>
      <c r="F3330" s="7"/>
      <c r="G3330" s="7"/>
      <c r="M3330" s="10"/>
      <c r="P3330" s="11"/>
      <c r="Q3330" s="12"/>
    </row>
    <row r="3331" spans="1:17">
      <c r="A3331" s="14">
        <v>43489</v>
      </c>
      <c r="B3331" s="8">
        <v>1200.2716534068959</v>
      </c>
      <c r="F3331" s="7"/>
      <c r="G3331" s="7"/>
      <c r="M3331" s="10"/>
      <c r="P3331" s="11"/>
      <c r="Q3331" s="12"/>
    </row>
    <row r="3332" spans="1:17">
      <c r="A3332" s="14">
        <v>43490</v>
      </c>
      <c r="B3332" s="8">
        <v>1221.0127233464416</v>
      </c>
      <c r="F3332" s="7"/>
      <c r="G3332" s="7"/>
      <c r="M3332" s="10"/>
      <c r="P3332" s="11"/>
      <c r="Q3332" s="12"/>
    </row>
    <row r="3333" spans="1:17">
      <c r="A3333" s="14">
        <v>43493</v>
      </c>
      <c r="B3333" s="8">
        <v>1202.7094847583992</v>
      </c>
      <c r="F3333" s="7"/>
      <c r="G3333" s="7"/>
      <c r="M3333" s="10"/>
      <c r="P3333" s="11"/>
      <c r="Q3333" s="12"/>
    </row>
    <row r="3334" spans="1:17">
      <c r="A3334" s="14">
        <v>43494</v>
      </c>
      <c r="B3334" s="8">
        <v>1195.4145564164951</v>
      </c>
      <c r="F3334" s="7"/>
      <c r="G3334" s="7"/>
      <c r="M3334" s="10"/>
      <c r="P3334" s="11"/>
      <c r="Q3334" s="12"/>
    </row>
    <row r="3335" spans="1:17">
      <c r="A3335" s="14">
        <v>43495</v>
      </c>
      <c r="B3335" s="8">
        <v>1207.9826063110872</v>
      </c>
      <c r="F3335" s="7"/>
      <c r="G3335" s="7"/>
      <c r="M3335" s="10"/>
      <c r="P3335" s="11"/>
      <c r="Q3335" s="12"/>
    </row>
    <row r="3336" spans="1:17">
      <c r="A3336" s="14">
        <v>43496</v>
      </c>
      <c r="B3336" s="8">
        <v>1207.2098373284209</v>
      </c>
      <c r="F3336" s="7"/>
      <c r="G3336" s="7"/>
      <c r="M3336" s="10"/>
      <c r="P3336" s="11"/>
      <c r="Q3336" s="12"/>
    </row>
    <row r="3337" spans="1:17">
      <c r="A3337" s="14">
        <v>43497</v>
      </c>
      <c r="B3337" s="8">
        <v>1210.015165988845</v>
      </c>
      <c r="F3337" s="7"/>
      <c r="G3337" s="7"/>
      <c r="M3337" s="10"/>
      <c r="P3337" s="11"/>
      <c r="Q3337" s="12"/>
    </row>
    <row r="3338" spans="1:17">
      <c r="A3338" s="14">
        <v>43500</v>
      </c>
      <c r="B3338" s="8">
        <v>1211.3094025484577</v>
      </c>
      <c r="F3338" s="7"/>
      <c r="G3338" s="7"/>
      <c r="M3338" s="10"/>
      <c r="P3338" s="11"/>
      <c r="Q3338" s="12"/>
    </row>
    <row r="3339" spans="1:17">
      <c r="A3339" s="14">
        <v>43501</v>
      </c>
      <c r="B3339" s="8">
        <v>1229.3374281604827</v>
      </c>
      <c r="F3339" s="7"/>
      <c r="G3339" s="7"/>
      <c r="M3339" s="10"/>
      <c r="P3339" s="11"/>
      <c r="Q3339" s="12"/>
    </row>
    <row r="3340" spans="1:17">
      <c r="A3340" s="14">
        <v>43502</v>
      </c>
      <c r="B3340" s="8">
        <v>1240.5086153070652</v>
      </c>
      <c r="F3340" s="7"/>
      <c r="G3340" s="7"/>
      <c r="M3340" s="10"/>
      <c r="P3340" s="11"/>
      <c r="Q3340" s="12"/>
    </row>
    <row r="3341" spans="1:17">
      <c r="A3341" s="14">
        <v>43503</v>
      </c>
      <c r="B3341" s="8">
        <v>1218.0299257916045</v>
      </c>
      <c r="F3341" s="7"/>
      <c r="G3341" s="7"/>
      <c r="M3341" s="10"/>
      <c r="P3341" s="11"/>
      <c r="Q3341" s="12"/>
    </row>
    <row r="3342" spans="1:17">
      <c r="A3342" s="14">
        <v>43504</v>
      </c>
      <c r="B3342" s="8">
        <v>1212.6520375640175</v>
      </c>
      <c r="F3342" s="7"/>
      <c r="G3342" s="7"/>
      <c r="M3342" s="10"/>
      <c r="P3342" s="11"/>
      <c r="Q3342" s="12"/>
    </row>
    <row r="3343" spans="1:17">
      <c r="A3343" s="14">
        <v>43507</v>
      </c>
      <c r="B3343" s="8">
        <v>1218.3662252678898</v>
      </c>
      <c r="F3343" s="7"/>
      <c r="G3343" s="7"/>
      <c r="M3343" s="10"/>
      <c r="P3343" s="11"/>
      <c r="Q3343" s="12"/>
    </row>
    <row r="3344" spans="1:17">
      <c r="A3344" s="14">
        <v>43508</v>
      </c>
      <c r="B3344" s="8">
        <v>1234.7068583317778</v>
      </c>
      <c r="F3344" s="7"/>
      <c r="G3344" s="7"/>
      <c r="M3344" s="10"/>
      <c r="P3344" s="11"/>
      <c r="Q3344" s="12"/>
    </row>
    <row r="3345" spans="1:17">
      <c r="A3345" s="14">
        <v>43509</v>
      </c>
      <c r="B3345" s="8">
        <v>1236.5043611056356</v>
      </c>
      <c r="F3345" s="7"/>
      <c r="G3345" s="7"/>
      <c r="M3345" s="10"/>
      <c r="P3345" s="11"/>
      <c r="Q3345" s="12"/>
    </row>
    <row r="3346" spans="1:17">
      <c r="A3346" s="14">
        <v>43510</v>
      </c>
      <c r="B3346" s="8">
        <v>1235.240692205567</v>
      </c>
      <c r="F3346" s="7"/>
      <c r="G3346" s="7"/>
      <c r="M3346" s="10"/>
      <c r="P3346" s="11"/>
      <c r="Q3346" s="12"/>
    </row>
    <row r="3347" spans="1:17">
      <c r="A3347" s="14">
        <v>43511</v>
      </c>
      <c r="B3347" s="8">
        <v>1262.2994240480321</v>
      </c>
      <c r="F3347" s="7"/>
      <c r="G3347" s="7"/>
      <c r="M3347" s="10"/>
      <c r="P3347" s="11"/>
      <c r="Q3347" s="12"/>
    </row>
    <row r="3348" spans="1:17">
      <c r="A3348" s="14">
        <v>43514</v>
      </c>
      <c r="B3348" s="8">
        <v>1263.8804495607642</v>
      </c>
      <c r="F3348" s="7"/>
      <c r="G3348" s="7"/>
      <c r="M3348" s="10"/>
      <c r="P3348" s="11"/>
      <c r="Q3348" s="12"/>
    </row>
    <row r="3349" spans="1:17">
      <c r="A3349" s="14">
        <v>43515</v>
      </c>
      <c r="B3349" s="8">
        <v>1262.8498647049892</v>
      </c>
      <c r="F3349" s="7"/>
      <c r="G3349" s="7"/>
      <c r="M3349" s="10"/>
      <c r="P3349" s="11"/>
      <c r="Q3349" s="12"/>
    </row>
    <row r="3350" spans="1:17">
      <c r="A3350" s="14">
        <v>43516</v>
      </c>
      <c r="B3350" s="8">
        <v>1266.9868147786699</v>
      </c>
      <c r="F3350" s="7"/>
      <c r="G3350" s="7"/>
      <c r="M3350" s="10"/>
      <c r="P3350" s="11"/>
      <c r="Q3350" s="12"/>
    </row>
    <row r="3351" spans="1:17">
      <c r="A3351" s="14">
        <v>43517</v>
      </c>
      <c r="B3351" s="8">
        <v>1259.7399858540898</v>
      </c>
      <c r="F3351" s="7"/>
      <c r="G3351" s="7"/>
      <c r="M3351" s="10"/>
      <c r="P3351" s="11"/>
      <c r="Q3351" s="12"/>
    </row>
    <row r="3352" spans="1:17">
      <c r="A3352" s="14">
        <v>43518</v>
      </c>
      <c r="B3352" s="8">
        <v>1270.2708519757794</v>
      </c>
      <c r="F3352" s="7"/>
      <c r="G3352" s="7"/>
      <c r="M3352" s="10"/>
      <c r="P3352" s="11"/>
      <c r="Q3352" s="12"/>
    </row>
    <row r="3353" spans="1:17">
      <c r="A3353" s="14">
        <v>43521</v>
      </c>
      <c r="B3353" s="8">
        <v>1276.4013088203503</v>
      </c>
      <c r="F3353" s="7"/>
      <c r="G3353" s="7"/>
      <c r="M3353" s="10"/>
      <c r="P3353" s="11"/>
      <c r="Q3353" s="12"/>
    </row>
    <row r="3354" spans="1:17">
      <c r="A3354" s="14">
        <v>43522</v>
      </c>
      <c r="B3354" s="8">
        <v>1277.1909389644534</v>
      </c>
      <c r="F3354" s="7"/>
      <c r="G3354" s="7"/>
      <c r="M3354" s="10"/>
      <c r="P3354" s="11"/>
      <c r="Q3354" s="12"/>
    </row>
    <row r="3355" spans="1:17">
      <c r="A3355" s="14">
        <v>43523</v>
      </c>
      <c r="B3355" s="8">
        <v>1280.14250679163</v>
      </c>
      <c r="F3355" s="7"/>
      <c r="G3355" s="7"/>
      <c r="M3355" s="10"/>
      <c r="P3355" s="11"/>
      <c r="Q3355" s="12"/>
    </row>
    <row r="3356" spans="1:17">
      <c r="A3356" s="14">
        <v>43524</v>
      </c>
      <c r="B3356" s="8">
        <v>1279.1582079570132</v>
      </c>
      <c r="F3356" s="7"/>
      <c r="G3356" s="7"/>
      <c r="M3356" s="10"/>
      <c r="P3356" s="11"/>
      <c r="Q3356" s="12"/>
    </row>
    <row r="3357" spans="1:17">
      <c r="A3357" s="14">
        <v>43525</v>
      </c>
      <c r="B3357" s="8">
        <v>1281.8576211181785</v>
      </c>
      <c r="F3357" s="7"/>
      <c r="G3357" s="7"/>
      <c r="M3357" s="10"/>
      <c r="P3357" s="11"/>
      <c r="Q3357" s="12"/>
    </row>
    <row r="3358" spans="1:17">
      <c r="A3358" s="14">
        <v>43528</v>
      </c>
      <c r="B3358" s="8">
        <v>1276.046428018723</v>
      </c>
      <c r="F3358" s="7"/>
      <c r="G3358" s="7"/>
      <c r="M3358" s="10"/>
      <c r="P3358" s="11"/>
      <c r="Q3358" s="12"/>
    </row>
    <row r="3359" spans="1:17">
      <c r="A3359" s="14">
        <v>43529</v>
      </c>
      <c r="B3359" s="8">
        <v>1271.5301061981665</v>
      </c>
      <c r="F3359" s="7"/>
      <c r="G3359" s="7"/>
      <c r="M3359" s="10"/>
      <c r="P3359" s="11"/>
      <c r="Q3359" s="12"/>
    </row>
    <row r="3360" spans="1:17">
      <c r="A3360" s="14">
        <v>43530</v>
      </c>
      <c r="B3360" s="8">
        <v>1266.4761747003606</v>
      </c>
      <c r="F3360" s="7"/>
      <c r="G3360" s="7"/>
      <c r="M3360" s="10"/>
      <c r="P3360" s="11"/>
      <c r="Q3360" s="12"/>
    </row>
    <row r="3361" spans="1:17">
      <c r="A3361" s="14">
        <v>43531</v>
      </c>
      <c r="B3361" s="8">
        <v>1250.98576065821</v>
      </c>
      <c r="F3361" s="7"/>
      <c r="G3361" s="7"/>
      <c r="M3361" s="10"/>
      <c r="P3361" s="11"/>
      <c r="Q3361" s="12"/>
    </row>
    <row r="3362" spans="1:17">
      <c r="A3362" s="14">
        <v>43532</v>
      </c>
      <c r="B3362" s="8">
        <v>1241.7726874941641</v>
      </c>
      <c r="F3362" s="7"/>
      <c r="G3362" s="7"/>
      <c r="M3362" s="10"/>
      <c r="P3362" s="11"/>
      <c r="Q3362" s="12"/>
    </row>
    <row r="3363" spans="1:17">
      <c r="A3363" s="14">
        <v>43535</v>
      </c>
      <c r="B3363" s="8">
        <v>1259.6650151775939</v>
      </c>
      <c r="F3363" s="7"/>
      <c r="G3363" s="7"/>
      <c r="M3363" s="10"/>
      <c r="P3363" s="11"/>
      <c r="Q3363" s="12"/>
    </row>
    <row r="3364" spans="1:17">
      <c r="A3364" s="14">
        <v>43536</v>
      </c>
      <c r="B3364" s="8">
        <v>1261.3527328491227</v>
      </c>
      <c r="F3364" s="7"/>
      <c r="G3364" s="7"/>
      <c r="M3364" s="10"/>
      <c r="P3364" s="11"/>
      <c r="Q3364" s="12"/>
    </row>
    <row r="3365" spans="1:17">
      <c r="A3365" s="14">
        <v>43537</v>
      </c>
      <c r="B3365" s="8">
        <v>1271.4315482249983</v>
      </c>
      <c r="F3365" s="7"/>
      <c r="G3365" s="7"/>
      <c r="M3365" s="10"/>
      <c r="P3365" s="11"/>
      <c r="Q3365" s="12"/>
    </row>
    <row r="3366" spans="1:17">
      <c r="A3366" s="14">
        <v>43538</v>
      </c>
      <c r="B3366" s="8">
        <v>1275.667519478844</v>
      </c>
      <c r="F3366" s="7"/>
      <c r="G3366" s="7"/>
      <c r="M3366" s="10"/>
      <c r="P3366" s="11"/>
      <c r="Q3366" s="12"/>
    </row>
    <row r="3367" spans="1:17">
      <c r="A3367" s="14">
        <v>43539</v>
      </c>
      <c r="B3367" s="8">
        <v>1289.1915931183778</v>
      </c>
      <c r="F3367" s="7"/>
      <c r="G3367" s="7"/>
      <c r="M3367" s="10"/>
      <c r="P3367" s="11"/>
      <c r="Q3367" s="12"/>
    </row>
    <row r="3368" spans="1:17">
      <c r="A3368" s="14">
        <v>43542</v>
      </c>
      <c r="B3368" s="8">
        <v>1290.2698018870351</v>
      </c>
      <c r="F3368" s="7"/>
      <c r="G3368" s="7"/>
      <c r="M3368" s="10"/>
      <c r="P3368" s="11"/>
      <c r="Q3368" s="12"/>
    </row>
    <row r="3369" spans="1:17">
      <c r="A3369" s="14">
        <v>43543</v>
      </c>
      <c r="B3369" s="8">
        <v>1295.9312324089535</v>
      </c>
      <c r="F3369" s="7"/>
      <c r="G3369" s="7"/>
      <c r="M3369" s="10"/>
      <c r="P3369" s="11"/>
      <c r="Q3369" s="12"/>
    </row>
    <row r="3370" spans="1:17">
      <c r="A3370" s="14">
        <v>43544</v>
      </c>
      <c r="B3370" s="8">
        <v>1286.7861870186298</v>
      </c>
      <c r="F3370" s="7"/>
      <c r="G3370" s="7"/>
      <c r="M3370" s="10"/>
      <c r="P3370" s="11"/>
      <c r="Q3370" s="12"/>
    </row>
    <row r="3371" spans="1:17">
      <c r="A3371" s="14">
        <v>43545</v>
      </c>
      <c r="B3371" s="8">
        <v>1294.9015215953389</v>
      </c>
      <c r="F3371" s="7"/>
      <c r="G3371" s="7"/>
      <c r="M3371" s="10"/>
      <c r="P3371" s="11"/>
      <c r="Q3371" s="12"/>
    </row>
    <row r="3372" spans="1:17">
      <c r="A3372" s="14">
        <v>43546</v>
      </c>
      <c r="B3372" s="8">
        <v>1260.8473163780823</v>
      </c>
      <c r="F3372" s="7"/>
      <c r="G3372" s="7"/>
      <c r="M3372" s="10"/>
      <c r="P3372" s="11"/>
      <c r="Q3372" s="12"/>
    </row>
    <row r="3373" spans="1:17">
      <c r="A3373" s="14">
        <v>43549</v>
      </c>
      <c r="B3373" s="8">
        <v>1256.6314928835707</v>
      </c>
      <c r="F3373" s="7"/>
      <c r="G3373" s="7"/>
      <c r="M3373" s="10"/>
      <c r="P3373" s="11"/>
      <c r="Q3373" s="12"/>
    </row>
    <row r="3374" spans="1:17">
      <c r="A3374" s="14">
        <v>43550</v>
      </c>
      <c r="B3374" s="8">
        <v>1265.1603019824811</v>
      </c>
      <c r="F3374" s="7"/>
      <c r="G3374" s="7"/>
      <c r="M3374" s="10"/>
      <c r="P3374" s="11"/>
      <c r="Q3374" s="12"/>
    </row>
    <row r="3375" spans="1:17">
      <c r="A3375" s="14">
        <v>43551</v>
      </c>
      <c r="B3375" s="8">
        <v>1264.2924388397387</v>
      </c>
      <c r="F3375" s="7"/>
      <c r="G3375" s="7"/>
      <c r="M3375" s="10"/>
      <c r="P3375" s="11"/>
      <c r="Q3375" s="12"/>
    </row>
    <row r="3376" spans="1:17">
      <c r="A3376" s="14">
        <v>43552</v>
      </c>
      <c r="B3376" s="8">
        <v>1262.8324531194405</v>
      </c>
      <c r="F3376" s="7"/>
      <c r="G3376" s="7"/>
      <c r="M3376" s="10"/>
      <c r="P3376" s="11"/>
      <c r="Q3376" s="12"/>
    </row>
    <row r="3377" spans="1:17">
      <c r="A3377" s="14">
        <v>43553</v>
      </c>
      <c r="B3377" s="8">
        <v>1275.416177493159</v>
      </c>
      <c r="F3377" s="7"/>
      <c r="G3377" s="7"/>
      <c r="M3377" s="10"/>
      <c r="P3377" s="11"/>
      <c r="Q3377" s="12"/>
    </row>
    <row r="3378" spans="1:17">
      <c r="A3378" s="14">
        <v>43556</v>
      </c>
      <c r="B3378" s="8">
        <v>1298.91031769336</v>
      </c>
      <c r="F3378" s="7"/>
      <c r="G3378" s="7"/>
      <c r="M3378" s="10"/>
      <c r="P3378" s="11"/>
      <c r="Q3378" s="12"/>
    </row>
    <row r="3379" spans="1:17">
      <c r="A3379" s="14">
        <v>43557</v>
      </c>
      <c r="B3379" s="8">
        <v>1303.781299793744</v>
      </c>
      <c r="F3379" s="7"/>
      <c r="G3379" s="7"/>
      <c r="M3379" s="10"/>
      <c r="P3379" s="11"/>
      <c r="Q3379" s="12"/>
    </row>
    <row r="3380" spans="1:17">
      <c r="A3380" s="14">
        <v>43558</v>
      </c>
      <c r="B3380" s="8">
        <v>1320.8574315435078</v>
      </c>
      <c r="F3380" s="7"/>
      <c r="G3380" s="7"/>
      <c r="M3380" s="10"/>
      <c r="P3380" s="11"/>
      <c r="Q3380" s="12"/>
    </row>
    <row r="3381" spans="1:17">
      <c r="A3381" s="14">
        <v>43559</v>
      </c>
      <c r="B3381" s="8">
        <v>1317.6300024968075</v>
      </c>
      <c r="F3381" s="7"/>
      <c r="G3381" s="7"/>
      <c r="M3381" s="10"/>
      <c r="P3381" s="11"/>
      <c r="Q3381" s="12"/>
    </row>
    <row r="3382" spans="1:17">
      <c r="A3382" s="14">
        <v>43560</v>
      </c>
      <c r="B3382" s="8">
        <v>1319.818030305086</v>
      </c>
      <c r="F3382" s="7"/>
      <c r="G3382" s="7"/>
      <c r="M3382" s="10"/>
      <c r="P3382" s="11"/>
      <c r="Q3382" s="12"/>
    </row>
    <row r="3383" spans="1:17">
      <c r="A3383" s="14">
        <v>43563</v>
      </c>
      <c r="B3383" s="8">
        <v>1318.7558559993622</v>
      </c>
      <c r="F3383" s="7"/>
      <c r="G3383" s="7"/>
      <c r="M3383" s="10"/>
      <c r="P3383" s="11"/>
      <c r="Q3383" s="12"/>
    </row>
    <row r="3384" spans="1:17">
      <c r="A3384" s="14">
        <v>43564</v>
      </c>
      <c r="B3384" s="8">
        <v>1312.1928005257528</v>
      </c>
      <c r="F3384" s="7"/>
      <c r="G3384" s="7"/>
      <c r="M3384" s="10"/>
      <c r="P3384" s="11"/>
      <c r="Q3384" s="12"/>
    </row>
    <row r="3385" spans="1:17">
      <c r="A3385" s="14">
        <v>43565</v>
      </c>
      <c r="B3385" s="8">
        <v>1312.4761390073409</v>
      </c>
      <c r="F3385" s="7"/>
      <c r="G3385" s="7"/>
      <c r="M3385" s="10"/>
      <c r="P3385" s="11"/>
      <c r="Q3385" s="12"/>
    </row>
    <row r="3386" spans="1:17">
      <c r="A3386" s="14">
        <v>43566</v>
      </c>
      <c r="B3386" s="8">
        <v>1320.5795217081154</v>
      </c>
      <c r="F3386" s="7"/>
      <c r="G3386" s="7"/>
      <c r="M3386" s="10"/>
      <c r="P3386" s="11"/>
      <c r="Q3386" s="12"/>
    </row>
    <row r="3387" spans="1:17">
      <c r="A3387" s="14">
        <v>43567</v>
      </c>
      <c r="B3387" s="8">
        <v>1335.1617056230787</v>
      </c>
      <c r="F3387" s="7"/>
      <c r="G3387" s="7"/>
      <c r="M3387" s="10"/>
      <c r="P3387" s="11"/>
      <c r="Q3387" s="12"/>
    </row>
    <row r="3388" spans="1:17">
      <c r="A3388" s="14">
        <v>43570</v>
      </c>
      <c r="B3388" s="8">
        <v>1334.8964133080738</v>
      </c>
      <c r="F3388" s="7"/>
      <c r="G3388" s="7"/>
      <c r="M3388" s="10"/>
      <c r="P3388" s="11"/>
      <c r="Q3388" s="12"/>
    </row>
    <row r="3389" spans="1:17">
      <c r="A3389" s="14">
        <v>43571</v>
      </c>
      <c r="B3389" s="8">
        <v>1353.9629028299321</v>
      </c>
      <c r="F3389" s="7"/>
      <c r="G3389" s="7"/>
      <c r="M3389" s="10"/>
      <c r="P3389" s="11"/>
      <c r="Q3389" s="12"/>
    </row>
    <row r="3390" spans="1:17">
      <c r="A3390" s="14">
        <v>43572</v>
      </c>
      <c r="B3390" s="8">
        <v>1364.4534509848302</v>
      </c>
      <c r="F3390" s="7"/>
      <c r="G3390" s="7"/>
      <c r="M3390" s="10"/>
      <c r="P3390" s="11"/>
      <c r="Q3390" s="12"/>
    </row>
    <row r="3391" spans="1:17">
      <c r="A3391" s="14">
        <v>43573</v>
      </c>
      <c r="B3391" s="8">
        <v>1367.6905224755449</v>
      </c>
      <c r="F3391" s="7"/>
      <c r="G3391" s="7"/>
      <c r="M3391" s="10"/>
      <c r="P3391" s="11"/>
      <c r="Q3391" s="12"/>
    </row>
    <row r="3392" spans="1:17">
      <c r="A3392" s="14">
        <v>43574</v>
      </c>
      <c r="B3392" s="8">
        <v>1367.3088297981139</v>
      </c>
      <c r="F3392" s="7"/>
      <c r="G3392" s="7"/>
      <c r="M3392" s="10"/>
      <c r="P3392" s="11"/>
      <c r="Q3392" s="12"/>
    </row>
    <row r="3393" spans="1:17">
      <c r="A3393" s="14">
        <v>43577</v>
      </c>
      <c r="B3393" s="8">
        <v>1369.1915653439412</v>
      </c>
      <c r="F3393" s="7"/>
      <c r="G3393" s="7"/>
      <c r="M3393" s="10"/>
      <c r="P3393" s="11"/>
      <c r="Q3393" s="12"/>
    </row>
    <row r="3394" spans="1:17">
      <c r="A3394" s="14">
        <v>43578</v>
      </c>
      <c r="B3394" s="8">
        <v>1370.1840502008404</v>
      </c>
      <c r="F3394" s="7"/>
      <c r="G3394" s="7"/>
      <c r="M3394" s="10"/>
      <c r="P3394" s="11"/>
      <c r="Q3394" s="12"/>
    </row>
    <row r="3395" spans="1:17">
      <c r="A3395" s="14">
        <v>43579</v>
      </c>
      <c r="B3395" s="8">
        <v>1363.0482366695808</v>
      </c>
      <c r="F3395" s="7"/>
      <c r="G3395" s="7"/>
      <c r="M3395" s="10"/>
      <c r="P3395" s="11"/>
      <c r="Q3395" s="12"/>
    </row>
    <row r="3396" spans="1:17">
      <c r="A3396" s="14">
        <v>43580</v>
      </c>
      <c r="B3396" s="8">
        <v>1357.0531891617422</v>
      </c>
      <c r="F3396" s="7"/>
      <c r="G3396" s="7"/>
      <c r="M3396" s="10"/>
      <c r="P3396" s="11"/>
      <c r="Q3396" s="12"/>
    </row>
    <row r="3397" spans="1:17">
      <c r="A3397" s="14">
        <v>43581</v>
      </c>
      <c r="B3397" s="8">
        <v>1356.0762815583878</v>
      </c>
      <c r="F3397" s="7"/>
      <c r="G3397" s="7"/>
      <c r="M3397" s="10"/>
      <c r="P3397" s="11"/>
      <c r="Q3397" s="12"/>
    </row>
    <row r="3398" spans="1:17">
      <c r="A3398" s="14">
        <v>43584</v>
      </c>
      <c r="B3398" s="8">
        <v>1362.5076055627676</v>
      </c>
      <c r="F3398" s="7"/>
      <c r="G3398" s="7"/>
      <c r="M3398" s="10"/>
      <c r="P3398" s="11"/>
      <c r="Q3398" s="12"/>
    </row>
    <row r="3399" spans="1:17">
      <c r="A3399" s="14">
        <v>43585</v>
      </c>
      <c r="B3399" s="8">
        <v>1365.8242653693014</v>
      </c>
      <c r="F3399" s="7"/>
      <c r="G3399" s="7"/>
      <c r="M3399" s="10"/>
      <c r="P3399" s="11"/>
      <c r="Q3399" s="12"/>
    </row>
    <row r="3400" spans="1:17">
      <c r="A3400" s="14">
        <v>43586</v>
      </c>
      <c r="B3400" s="8">
        <v>1357.8474917369545</v>
      </c>
      <c r="F3400" s="7"/>
      <c r="G3400" s="7"/>
      <c r="M3400" s="10"/>
      <c r="P3400" s="11"/>
      <c r="Q3400" s="12"/>
    </row>
    <row r="3401" spans="1:17">
      <c r="A3401" s="14">
        <v>43587</v>
      </c>
      <c r="B3401" s="8">
        <v>1352.4139891327884</v>
      </c>
      <c r="F3401" s="7"/>
      <c r="G3401" s="7"/>
      <c r="M3401" s="10"/>
      <c r="P3401" s="11"/>
      <c r="Q3401" s="12"/>
    </row>
    <row r="3402" spans="1:17">
      <c r="A3402" s="14">
        <v>43588</v>
      </c>
      <c r="B3402" s="8">
        <v>1355.9487786257603</v>
      </c>
      <c r="F3402" s="7"/>
      <c r="G3402" s="7"/>
      <c r="M3402" s="10"/>
      <c r="P3402" s="11"/>
      <c r="Q3402" s="12"/>
    </row>
    <row r="3403" spans="1:17">
      <c r="A3403" s="14">
        <v>43591</v>
      </c>
      <c r="B3403" s="8">
        <v>1339.8587405821756</v>
      </c>
      <c r="F3403" s="7"/>
      <c r="G3403" s="7"/>
      <c r="M3403" s="10"/>
      <c r="P3403" s="11"/>
      <c r="Q3403" s="12"/>
    </row>
    <row r="3404" spans="1:17">
      <c r="A3404" s="14">
        <v>43592</v>
      </c>
      <c r="B3404" s="8">
        <v>1309.3620868073001</v>
      </c>
      <c r="F3404" s="7"/>
      <c r="G3404" s="7"/>
      <c r="M3404" s="10"/>
      <c r="P3404" s="11"/>
      <c r="Q3404" s="12"/>
    </row>
    <row r="3405" spans="1:17">
      <c r="A3405" s="14">
        <v>43593</v>
      </c>
      <c r="B3405" s="8">
        <v>1308.2308443713757</v>
      </c>
      <c r="F3405" s="7"/>
      <c r="G3405" s="7"/>
      <c r="M3405" s="10"/>
      <c r="P3405" s="11"/>
      <c r="Q3405" s="12"/>
    </row>
    <row r="3406" spans="1:17">
      <c r="A3406" s="14">
        <v>43594</v>
      </c>
      <c r="B3406" s="8">
        <v>1289.0678554021174</v>
      </c>
      <c r="F3406" s="7"/>
      <c r="G3406" s="7"/>
      <c r="M3406" s="10"/>
      <c r="P3406" s="11"/>
      <c r="Q3406" s="12"/>
    </row>
    <row r="3407" spans="1:17">
      <c r="A3407" s="14">
        <v>43595</v>
      </c>
      <c r="B3407" s="8">
        <v>1294.0116327331452</v>
      </c>
      <c r="F3407" s="7"/>
      <c r="G3407" s="7"/>
      <c r="M3407" s="10"/>
      <c r="P3407" s="11"/>
      <c r="Q3407" s="12"/>
    </row>
    <row r="3408" spans="1:17">
      <c r="A3408" s="14">
        <v>43598</v>
      </c>
      <c r="B3408" s="8">
        <v>1257.0755416034913</v>
      </c>
      <c r="F3408" s="7"/>
      <c r="G3408" s="7"/>
      <c r="M3408" s="10"/>
      <c r="P3408" s="11"/>
      <c r="Q3408" s="12"/>
    </row>
    <row r="3409" spans="1:17">
      <c r="A3409" s="14">
        <v>43599</v>
      </c>
      <c r="B3409" s="8">
        <v>1275.4543774165732</v>
      </c>
      <c r="F3409" s="7"/>
      <c r="G3409" s="7"/>
      <c r="M3409" s="10"/>
      <c r="P3409" s="11"/>
      <c r="Q3409" s="12"/>
    </row>
    <row r="3410" spans="1:17">
      <c r="A3410" s="14">
        <v>43600</v>
      </c>
      <c r="B3410" s="8">
        <v>1279.6026235189165</v>
      </c>
      <c r="F3410" s="7"/>
      <c r="G3410" s="7"/>
      <c r="M3410" s="10"/>
      <c r="P3410" s="11"/>
      <c r="Q3410" s="12"/>
    </row>
    <row r="3411" spans="1:17">
      <c r="A3411" s="14">
        <v>43601</v>
      </c>
      <c r="B3411" s="8">
        <v>1293.2225134815305</v>
      </c>
      <c r="F3411" s="7"/>
      <c r="G3411" s="7"/>
      <c r="M3411" s="10"/>
      <c r="P3411" s="11"/>
      <c r="Q3411" s="12"/>
    </row>
    <row r="3412" spans="1:17">
      <c r="A3412" s="14">
        <v>43602</v>
      </c>
      <c r="B3412" s="8">
        <v>1280.7309955543178</v>
      </c>
      <c r="F3412" s="7"/>
      <c r="G3412" s="7"/>
      <c r="M3412" s="10"/>
      <c r="P3412" s="11"/>
      <c r="Q3412" s="12"/>
    </row>
    <row r="3413" spans="1:17">
      <c r="A3413" s="14">
        <v>43605</v>
      </c>
      <c r="B3413" s="8">
        <v>1257.2962180920567</v>
      </c>
      <c r="F3413" s="7"/>
      <c r="G3413" s="7"/>
      <c r="M3413" s="10"/>
      <c r="P3413" s="11"/>
      <c r="Q3413" s="12"/>
    </row>
    <row r="3414" spans="1:17">
      <c r="A3414" s="14">
        <v>43606</v>
      </c>
      <c r="B3414" s="8">
        <v>1270.6556687667066</v>
      </c>
      <c r="F3414" s="7"/>
      <c r="G3414" s="7"/>
      <c r="M3414" s="10"/>
      <c r="P3414" s="11"/>
      <c r="Q3414" s="12"/>
    </row>
    <row r="3415" spans="1:17">
      <c r="A3415" s="14">
        <v>43607</v>
      </c>
      <c r="B3415" s="8">
        <v>1255.7522909236143</v>
      </c>
      <c r="F3415" s="7"/>
      <c r="G3415" s="7"/>
      <c r="M3415" s="10"/>
      <c r="P3415" s="11"/>
      <c r="Q3415" s="12"/>
    </row>
    <row r="3416" spans="1:17">
      <c r="A3416" s="14">
        <v>43608</v>
      </c>
      <c r="B3416" s="8">
        <v>1234.8016535316319</v>
      </c>
      <c r="F3416" s="7"/>
      <c r="G3416" s="7"/>
      <c r="M3416" s="10"/>
      <c r="P3416" s="11"/>
      <c r="Q3416" s="12"/>
    </row>
    <row r="3417" spans="1:17">
      <c r="A3417" s="14">
        <v>43609</v>
      </c>
      <c r="B3417" s="8">
        <v>1240.5071051960042</v>
      </c>
      <c r="F3417" s="7"/>
      <c r="G3417" s="7"/>
      <c r="M3417" s="10"/>
      <c r="P3417" s="11"/>
      <c r="Q3417" s="12"/>
    </row>
    <row r="3418" spans="1:17">
      <c r="A3418" s="14">
        <v>43612</v>
      </c>
      <c r="B3418" s="8">
        <v>1240.9592859126283</v>
      </c>
      <c r="F3418" s="7"/>
      <c r="G3418" s="7"/>
      <c r="M3418" s="10"/>
      <c r="P3418" s="11"/>
      <c r="Q3418" s="12"/>
    </row>
    <row r="3419" spans="1:17">
      <c r="A3419" s="14">
        <v>43613</v>
      </c>
      <c r="B3419" s="8">
        <v>1233.766051291024</v>
      </c>
      <c r="F3419" s="7"/>
      <c r="G3419" s="7"/>
      <c r="M3419" s="10"/>
      <c r="P3419" s="11"/>
      <c r="Q3419" s="12"/>
    </row>
    <row r="3420" spans="1:17">
      <c r="A3420" s="14">
        <v>43614</v>
      </c>
      <c r="B3420" s="8">
        <v>1223.2568851079157</v>
      </c>
      <c r="F3420" s="7"/>
      <c r="G3420" s="7"/>
      <c r="M3420" s="10"/>
      <c r="P3420" s="11"/>
      <c r="Q3420" s="12"/>
    </row>
    <row r="3421" spans="1:17">
      <c r="A3421" s="14">
        <v>43615</v>
      </c>
      <c r="B3421" s="8">
        <v>1226.3936663525922</v>
      </c>
      <c r="F3421" s="7"/>
      <c r="G3421" s="7"/>
      <c r="M3421" s="10"/>
      <c r="P3421" s="11"/>
      <c r="Q3421" s="12"/>
    </row>
    <row r="3422" spans="1:17">
      <c r="A3422" s="14">
        <v>43616</v>
      </c>
      <c r="B3422" s="8">
        <v>1209.2096585437814</v>
      </c>
      <c r="F3422" s="7"/>
      <c r="G3422" s="7"/>
      <c r="M3422" s="10"/>
      <c r="P3422" s="11"/>
      <c r="Q3422" s="12"/>
    </row>
    <row r="3423" spans="1:17">
      <c r="A3423" s="14">
        <v>43619</v>
      </c>
      <c r="B3423" s="8">
        <v>1199.8282817009438</v>
      </c>
      <c r="F3423" s="7"/>
      <c r="G3423" s="7"/>
      <c r="M3423" s="10"/>
      <c r="P3423" s="11"/>
      <c r="Q3423" s="12"/>
    </row>
    <row r="3424" spans="1:17">
      <c r="A3424" s="14">
        <v>43620</v>
      </c>
      <c r="B3424" s="8">
        <v>1230.6829335109865</v>
      </c>
      <c r="F3424" s="7"/>
      <c r="G3424" s="7"/>
      <c r="M3424" s="10"/>
      <c r="P3424" s="11"/>
      <c r="Q3424" s="12"/>
    </row>
    <row r="3425" spans="1:17">
      <c r="A3425" s="14">
        <v>43621</v>
      </c>
      <c r="B3425" s="8">
        <v>1235.7187908725512</v>
      </c>
      <c r="F3425" s="7"/>
      <c r="G3425" s="7"/>
      <c r="M3425" s="10"/>
      <c r="P3425" s="11"/>
      <c r="Q3425" s="12"/>
    </row>
    <row r="3426" spans="1:17">
      <c r="A3426" s="14">
        <v>43622</v>
      </c>
      <c r="B3426" s="8">
        <v>1236.0024190033196</v>
      </c>
      <c r="F3426" s="7"/>
      <c r="G3426" s="7"/>
      <c r="M3426" s="10"/>
      <c r="P3426" s="11"/>
      <c r="Q3426" s="12"/>
    </row>
    <row r="3427" spans="1:17">
      <c r="A3427" s="14">
        <v>43623</v>
      </c>
      <c r="B3427" s="8">
        <v>1243.8854134823921</v>
      </c>
      <c r="F3427" s="7"/>
      <c r="G3427" s="7"/>
      <c r="M3427" s="10"/>
      <c r="P3427" s="11"/>
      <c r="Q3427" s="12"/>
    </row>
    <row r="3428" spans="1:17">
      <c r="A3428" s="14">
        <v>43626</v>
      </c>
      <c r="B3428" s="8">
        <v>1254.5251576054793</v>
      </c>
      <c r="F3428" s="7"/>
      <c r="G3428" s="7"/>
      <c r="M3428" s="10"/>
      <c r="P3428" s="11"/>
      <c r="Q3428" s="12"/>
    </row>
    <row r="3429" spans="1:17">
      <c r="A3429" s="14">
        <v>43627</v>
      </c>
      <c r="B3429" s="8">
        <v>1255.9710229958348</v>
      </c>
      <c r="F3429" s="7"/>
      <c r="G3429" s="7"/>
      <c r="M3429" s="10"/>
      <c r="P3429" s="11"/>
      <c r="Q3429" s="12"/>
    </row>
    <row r="3430" spans="1:17">
      <c r="A3430" s="14">
        <v>43628</v>
      </c>
      <c r="B3430" s="8">
        <v>1245.039518338564</v>
      </c>
      <c r="F3430" s="7"/>
      <c r="G3430" s="7"/>
      <c r="M3430" s="10"/>
      <c r="P3430" s="11"/>
      <c r="Q3430" s="12"/>
    </row>
    <row r="3431" spans="1:17">
      <c r="A3431" s="14">
        <v>43629</v>
      </c>
      <c r="B3431" s="8">
        <v>1248.9650124877128</v>
      </c>
      <c r="F3431" s="7"/>
      <c r="G3431" s="7"/>
      <c r="M3431" s="10"/>
      <c r="P3431" s="11"/>
      <c r="Q3431" s="12"/>
    </row>
    <row r="3432" spans="1:17">
      <c r="A3432" s="14">
        <v>43630</v>
      </c>
      <c r="B3432" s="8">
        <v>1239.5081089393129</v>
      </c>
      <c r="F3432" s="7"/>
      <c r="G3432" s="7"/>
      <c r="M3432" s="10"/>
      <c r="P3432" s="11"/>
      <c r="Q3432" s="12"/>
    </row>
    <row r="3433" spans="1:17">
      <c r="A3433" s="14">
        <v>43633</v>
      </c>
      <c r="B3433" s="8">
        <v>1240.5523926948533</v>
      </c>
      <c r="F3433" s="7"/>
      <c r="G3433" s="7"/>
      <c r="M3433" s="10"/>
      <c r="P3433" s="11"/>
      <c r="Q3433" s="12"/>
    </row>
    <row r="3434" spans="1:17">
      <c r="A3434" s="14">
        <v>43634</v>
      </c>
      <c r="B3434" s="8">
        <v>1262.9858256246616</v>
      </c>
      <c r="F3434" s="7"/>
      <c r="G3434" s="7"/>
      <c r="M3434" s="10"/>
      <c r="P3434" s="11"/>
      <c r="Q3434" s="12"/>
    </row>
    <row r="3435" spans="1:17">
      <c r="A3435" s="14">
        <v>43635</v>
      </c>
      <c r="B3435" s="8">
        <v>1272.2106806757247</v>
      </c>
      <c r="F3435" s="7"/>
      <c r="G3435" s="7"/>
      <c r="M3435" s="10"/>
      <c r="P3435" s="11"/>
      <c r="Q3435" s="12"/>
    </row>
    <row r="3436" spans="1:17">
      <c r="A3436" s="14">
        <v>43636</v>
      </c>
      <c r="B3436" s="8">
        <v>1277.963199815599</v>
      </c>
      <c r="F3436" s="7"/>
      <c r="G3436" s="7"/>
      <c r="M3436" s="10"/>
      <c r="P3436" s="11"/>
      <c r="Q3436" s="12"/>
    </row>
    <row r="3437" spans="1:17">
      <c r="A3437" s="14">
        <v>43637</v>
      </c>
      <c r="B3437" s="8">
        <v>1274.9890293253693</v>
      </c>
      <c r="F3437" s="7"/>
      <c r="G3437" s="7"/>
      <c r="M3437" s="10"/>
      <c r="P3437" s="11"/>
      <c r="Q3437" s="12"/>
    </row>
    <row r="3438" spans="1:17">
      <c r="A3438" s="14">
        <v>43640</v>
      </c>
      <c r="B3438" s="8">
        <v>1269.4202982786483</v>
      </c>
      <c r="F3438" s="7"/>
      <c r="G3438" s="7"/>
      <c r="M3438" s="10"/>
      <c r="P3438" s="11"/>
      <c r="Q3438" s="12"/>
    </row>
    <row r="3439" spans="1:17">
      <c r="A3439" s="14">
        <v>43641</v>
      </c>
      <c r="B3439" s="8">
        <v>1258.1144965639869</v>
      </c>
      <c r="F3439" s="7"/>
      <c r="G3439" s="7"/>
      <c r="M3439" s="10"/>
      <c r="P3439" s="11"/>
      <c r="Q3439" s="12"/>
    </row>
    <row r="3440" spans="1:17">
      <c r="A3440" s="14">
        <v>43642</v>
      </c>
      <c r="B3440" s="8">
        <v>1266.7752131448206</v>
      </c>
      <c r="F3440" s="7"/>
      <c r="G3440" s="7"/>
      <c r="M3440" s="10"/>
      <c r="P3440" s="11"/>
      <c r="Q3440" s="12"/>
    </row>
    <row r="3441" spans="1:17">
      <c r="A3441" s="14">
        <v>43643</v>
      </c>
      <c r="B3441" s="8">
        <v>1277.4066069524979</v>
      </c>
      <c r="F3441" s="7"/>
      <c r="G3441" s="7"/>
      <c r="M3441" s="10"/>
      <c r="P3441" s="11"/>
      <c r="Q3441" s="12"/>
    </row>
    <row r="3442" spans="1:17">
      <c r="A3442" s="14">
        <v>43644</v>
      </c>
      <c r="B3442" s="8">
        <v>1288.1453659870272</v>
      </c>
      <c r="F3442" s="7"/>
      <c r="G3442" s="7"/>
      <c r="M3442" s="10"/>
      <c r="P3442" s="11"/>
      <c r="Q3442" s="12"/>
    </row>
    <row r="3443" spans="1:17">
      <c r="A3443" s="14">
        <v>43647</v>
      </c>
      <c r="B3443" s="8">
        <v>1302.3846542116094</v>
      </c>
      <c r="F3443" s="7"/>
      <c r="G3443" s="7"/>
      <c r="M3443" s="10"/>
      <c r="P3443" s="11"/>
      <c r="Q3443" s="12"/>
    </row>
    <row r="3444" spans="1:17">
      <c r="A3444" s="14">
        <v>43648</v>
      </c>
      <c r="B3444" s="8">
        <v>1300.0120156132878</v>
      </c>
      <c r="F3444" s="7"/>
      <c r="G3444" s="7"/>
      <c r="M3444" s="10"/>
      <c r="P3444" s="11"/>
      <c r="Q3444" s="12"/>
    </row>
    <row r="3445" spans="1:17">
      <c r="A3445" s="14">
        <v>43649</v>
      </c>
      <c r="B3445" s="8">
        <v>1315.5089390507792</v>
      </c>
      <c r="F3445" s="7"/>
      <c r="G3445" s="7"/>
      <c r="M3445" s="10"/>
      <c r="P3445" s="11"/>
      <c r="Q3445" s="12"/>
    </row>
    <row r="3446" spans="1:17">
      <c r="A3446" s="14">
        <v>43650</v>
      </c>
      <c r="B3446" s="8">
        <v>1319.9321699555101</v>
      </c>
      <c r="F3446" s="7"/>
      <c r="G3446" s="7"/>
      <c r="M3446" s="10"/>
      <c r="P3446" s="11"/>
      <c r="Q3446" s="12"/>
    </row>
    <row r="3447" spans="1:17">
      <c r="A3447" s="14">
        <v>43651</v>
      </c>
      <c r="B3447" s="8">
        <v>1316.0068307731935</v>
      </c>
      <c r="F3447" s="7"/>
      <c r="G3447" s="7"/>
      <c r="M3447" s="10"/>
      <c r="P3447" s="11"/>
      <c r="Q3447" s="12"/>
    </row>
    <row r="3448" spans="1:17">
      <c r="A3448" s="14">
        <v>43654</v>
      </c>
      <c r="B3448" s="8">
        <v>1305.9583756278196</v>
      </c>
      <c r="F3448" s="7"/>
      <c r="G3448" s="7"/>
      <c r="M3448" s="10"/>
      <c r="P3448" s="11"/>
      <c r="Q3448" s="12"/>
    </row>
    <row r="3449" spans="1:17">
      <c r="A3449" s="14">
        <v>43655</v>
      </c>
      <c r="B3449" s="8">
        <v>1301.2460192980241</v>
      </c>
      <c r="F3449" s="7"/>
      <c r="G3449" s="7"/>
      <c r="M3449" s="10"/>
      <c r="P3449" s="11"/>
      <c r="Q3449" s="12"/>
    </row>
    <row r="3450" spans="1:17">
      <c r="A3450" s="14">
        <v>43656</v>
      </c>
      <c r="B3450" s="8">
        <v>1303.5111422572691</v>
      </c>
      <c r="F3450" s="7"/>
      <c r="G3450" s="7"/>
      <c r="M3450" s="10"/>
      <c r="P3450" s="11"/>
      <c r="Q3450" s="12"/>
    </row>
    <row r="3451" spans="1:17">
      <c r="A3451" s="14">
        <v>43657</v>
      </c>
      <c r="B3451" s="8">
        <v>1307.9966890474484</v>
      </c>
      <c r="F3451" s="7"/>
      <c r="G3451" s="7"/>
      <c r="M3451" s="10"/>
      <c r="P3451" s="11"/>
      <c r="Q3451" s="12"/>
    </row>
    <row r="3452" spans="1:17">
      <c r="A3452" s="14">
        <v>43658</v>
      </c>
      <c r="B3452" s="8">
        <v>1314.8035006757891</v>
      </c>
      <c r="F3452" s="7"/>
      <c r="G3452" s="7"/>
      <c r="M3452" s="10"/>
      <c r="P3452" s="11"/>
      <c r="Q3452" s="12"/>
    </row>
    <row r="3453" spans="1:17">
      <c r="A3453" s="14">
        <v>43661</v>
      </c>
      <c r="B3453" s="8">
        <v>1316.3526389285612</v>
      </c>
      <c r="F3453" s="7"/>
      <c r="G3453" s="7"/>
      <c r="M3453" s="10"/>
      <c r="P3453" s="11"/>
      <c r="Q3453" s="12"/>
    </row>
    <row r="3454" spans="1:17">
      <c r="A3454" s="14">
        <v>43662</v>
      </c>
      <c r="B3454" s="8">
        <v>1317.7228658481449</v>
      </c>
      <c r="F3454" s="7"/>
      <c r="G3454" s="7"/>
      <c r="M3454" s="10"/>
      <c r="P3454" s="11"/>
      <c r="Q3454" s="12"/>
    </row>
    <row r="3455" spans="1:17">
      <c r="A3455" s="14">
        <v>43663</v>
      </c>
      <c r="B3455" s="8">
        <v>1312.197855600831</v>
      </c>
      <c r="F3455" s="7"/>
      <c r="G3455" s="7"/>
      <c r="M3455" s="10"/>
      <c r="P3455" s="11"/>
      <c r="Q3455" s="12"/>
    </row>
    <row r="3456" spans="1:17">
      <c r="A3456" s="14">
        <v>43664</v>
      </c>
      <c r="B3456" s="8">
        <v>1308.7738398569413</v>
      </c>
      <c r="F3456" s="7"/>
      <c r="G3456" s="7"/>
      <c r="M3456" s="10"/>
      <c r="P3456" s="11"/>
      <c r="Q3456" s="12"/>
    </row>
    <row r="3457" spans="1:17">
      <c r="A3457" s="14">
        <v>43665</v>
      </c>
      <c r="B3457" s="8">
        <v>1301.4055445675399</v>
      </c>
      <c r="F3457" s="7"/>
      <c r="G3457" s="7"/>
      <c r="M3457" s="10"/>
      <c r="P3457" s="11"/>
      <c r="Q3457" s="12"/>
    </row>
    <row r="3458" spans="1:17">
      <c r="A3458" s="14">
        <v>43668</v>
      </c>
      <c r="B3458" s="8">
        <v>1303.5850883829951</v>
      </c>
      <c r="F3458" s="7"/>
      <c r="G3458" s="7"/>
      <c r="M3458" s="10"/>
      <c r="P3458" s="11"/>
      <c r="Q3458" s="12"/>
    </row>
    <row r="3459" spans="1:17">
      <c r="A3459" s="14">
        <v>43669</v>
      </c>
      <c r="B3459" s="8">
        <v>1317.7937760165159</v>
      </c>
      <c r="F3459" s="7"/>
      <c r="G3459" s="7"/>
      <c r="M3459" s="10"/>
      <c r="P3459" s="11"/>
      <c r="Q3459" s="12"/>
    </row>
    <row r="3460" spans="1:17">
      <c r="A3460" s="14">
        <v>43670</v>
      </c>
      <c r="B3460" s="8">
        <v>1331.5412647879721</v>
      </c>
      <c r="F3460" s="7"/>
      <c r="G3460" s="7"/>
      <c r="M3460" s="10"/>
      <c r="P3460" s="11"/>
      <c r="Q3460" s="12"/>
    </row>
    <row r="3461" spans="1:17">
      <c r="A3461" s="14">
        <v>43671</v>
      </c>
      <c r="B3461" s="8">
        <v>1318.0400449745466</v>
      </c>
      <c r="F3461" s="7"/>
      <c r="G3461" s="7"/>
      <c r="M3461" s="10"/>
      <c r="P3461" s="11"/>
      <c r="Q3461" s="12"/>
    </row>
    <row r="3462" spans="1:17">
      <c r="A3462" s="14">
        <v>43672</v>
      </c>
      <c r="B3462" s="8">
        <v>1329.68534758998</v>
      </c>
      <c r="F3462" s="7"/>
      <c r="G3462" s="7"/>
      <c r="M3462" s="10"/>
      <c r="P3462" s="11"/>
      <c r="Q3462" s="12"/>
    </row>
    <row r="3463" spans="1:17">
      <c r="A3463" s="14">
        <v>43675</v>
      </c>
      <c r="B3463" s="8">
        <v>1321.500418120243</v>
      </c>
      <c r="F3463" s="7"/>
      <c r="G3463" s="7"/>
      <c r="M3463" s="10"/>
      <c r="P3463" s="11"/>
      <c r="Q3463" s="12"/>
    </row>
    <row r="3464" spans="1:17">
      <c r="A3464" s="14">
        <v>43676</v>
      </c>
      <c r="B3464" s="8">
        <v>1303.6904886534919</v>
      </c>
      <c r="F3464" s="7"/>
      <c r="G3464" s="7"/>
      <c r="M3464" s="10"/>
      <c r="P3464" s="11"/>
      <c r="Q3464" s="12"/>
    </row>
    <row r="3465" spans="1:17">
      <c r="A3465" s="14">
        <v>43677</v>
      </c>
      <c r="B3465" s="8">
        <v>1297.4738556444536</v>
      </c>
      <c r="F3465" s="7"/>
      <c r="G3465" s="7"/>
      <c r="M3465" s="10"/>
      <c r="P3465" s="11"/>
      <c r="Q3465" s="12"/>
    </row>
    <row r="3466" spans="1:17">
      <c r="A3466" s="14">
        <v>43678</v>
      </c>
      <c r="B3466" s="8">
        <v>1297.0595943638446</v>
      </c>
      <c r="F3466" s="7"/>
      <c r="G3466" s="7"/>
      <c r="M3466" s="10"/>
      <c r="P3466" s="11"/>
      <c r="Q3466" s="12"/>
    </row>
    <row r="3467" spans="1:17">
      <c r="A3467" s="14">
        <v>43679</v>
      </c>
      <c r="B3467" s="8">
        <v>1262.545193771085</v>
      </c>
      <c r="F3467" s="7"/>
      <c r="G3467" s="7"/>
      <c r="M3467" s="10"/>
      <c r="P3467" s="11"/>
      <c r="Q3467" s="12"/>
    </row>
    <row r="3468" spans="1:17">
      <c r="A3468" s="14">
        <v>43682</v>
      </c>
      <c r="B3468" s="8">
        <v>1225.6479552462299</v>
      </c>
      <c r="F3468" s="7"/>
      <c r="G3468" s="7"/>
      <c r="M3468" s="10"/>
      <c r="P3468" s="11"/>
      <c r="Q3468" s="12"/>
    </row>
    <row r="3469" spans="1:17">
      <c r="A3469" s="14">
        <v>43683</v>
      </c>
      <c r="B3469" s="8">
        <v>1230.5166775691148</v>
      </c>
      <c r="F3469" s="7"/>
      <c r="G3469" s="7"/>
      <c r="M3469" s="10"/>
      <c r="P3469" s="11"/>
      <c r="Q3469" s="12"/>
    </row>
    <row r="3470" spans="1:17">
      <c r="A3470" s="14">
        <v>43684</v>
      </c>
      <c r="B3470" s="8">
        <v>1230.4565034972861</v>
      </c>
      <c r="F3470" s="7"/>
      <c r="G3470" s="7"/>
      <c r="M3470" s="10"/>
      <c r="P3470" s="11"/>
      <c r="Q3470" s="12"/>
    </row>
    <row r="3471" spans="1:17">
      <c r="A3471" s="14">
        <v>43685</v>
      </c>
      <c r="B3471" s="8">
        <v>1258.0998154654153</v>
      </c>
      <c r="F3471" s="7"/>
      <c r="G3471" s="7"/>
      <c r="M3471" s="10"/>
      <c r="P3471" s="11"/>
      <c r="Q3471" s="12"/>
    </row>
    <row r="3472" spans="1:17">
      <c r="A3472" s="14">
        <v>43686</v>
      </c>
      <c r="B3472" s="8">
        <v>1237.8451239413564</v>
      </c>
      <c r="F3472" s="7"/>
      <c r="G3472" s="7"/>
      <c r="M3472" s="10"/>
      <c r="P3472" s="11"/>
      <c r="Q3472" s="12"/>
    </row>
    <row r="3473" spans="1:17">
      <c r="A3473" s="14">
        <v>43689</v>
      </c>
      <c r="B3473" s="8">
        <v>1220.6697107307209</v>
      </c>
      <c r="F3473" s="7"/>
      <c r="G3473" s="7"/>
      <c r="M3473" s="10"/>
      <c r="P3473" s="11"/>
      <c r="Q3473" s="12"/>
    </row>
    <row r="3474" spans="1:17">
      <c r="A3474" s="14">
        <v>43690</v>
      </c>
      <c r="B3474" s="8">
        <v>1239.253955344439</v>
      </c>
      <c r="F3474" s="7"/>
      <c r="G3474" s="7"/>
      <c r="M3474" s="10"/>
      <c r="P3474" s="11"/>
      <c r="Q3474" s="12"/>
    </row>
    <row r="3475" spans="1:17">
      <c r="A3475" s="14">
        <v>43691</v>
      </c>
      <c r="B3475" s="8">
        <v>1196.7999174289553</v>
      </c>
      <c r="F3475" s="7"/>
      <c r="G3475" s="7"/>
      <c r="M3475" s="10"/>
      <c r="P3475" s="11"/>
      <c r="Q3475" s="12"/>
    </row>
    <row r="3476" spans="1:17">
      <c r="A3476" s="14">
        <v>43692</v>
      </c>
      <c r="B3476" s="8">
        <v>1192.8241006422281</v>
      </c>
      <c r="F3476" s="7"/>
      <c r="G3476" s="7"/>
      <c r="M3476" s="10"/>
      <c r="P3476" s="11"/>
      <c r="Q3476" s="12"/>
    </row>
    <row r="3477" spans="1:17">
      <c r="A3477" s="14">
        <v>43693</v>
      </c>
      <c r="B3477" s="8">
        <v>1217.4061872878844</v>
      </c>
      <c r="F3477" s="7"/>
      <c r="G3477" s="7"/>
      <c r="M3477" s="10"/>
      <c r="P3477" s="11"/>
      <c r="Q3477" s="12"/>
    </row>
    <row r="3478" spans="1:17">
      <c r="A3478" s="14">
        <v>43696</v>
      </c>
      <c r="B3478" s="8">
        <v>1233.2535930490699</v>
      </c>
      <c r="F3478" s="7"/>
      <c r="G3478" s="7"/>
      <c r="M3478" s="10"/>
      <c r="P3478" s="11"/>
      <c r="Q3478" s="12"/>
    </row>
    <row r="3479" spans="1:17">
      <c r="A3479" s="14">
        <v>43697</v>
      </c>
      <c r="B3479" s="8">
        <v>1226.2449800916852</v>
      </c>
      <c r="F3479" s="7"/>
      <c r="G3479" s="7"/>
      <c r="M3479" s="10"/>
      <c r="P3479" s="11"/>
      <c r="Q3479" s="12"/>
    </row>
    <row r="3480" spans="1:17">
      <c r="A3480" s="14">
        <v>43698</v>
      </c>
      <c r="B3480" s="8">
        <v>1242.5526056272965</v>
      </c>
      <c r="F3480" s="7"/>
      <c r="G3480" s="7"/>
      <c r="M3480" s="10"/>
      <c r="P3480" s="11"/>
      <c r="Q3480" s="12"/>
    </row>
    <row r="3481" spans="1:17">
      <c r="A3481" s="14">
        <v>43699</v>
      </c>
      <c r="B3481" s="8">
        <v>1243.7215548592931</v>
      </c>
      <c r="F3481" s="7"/>
      <c r="G3481" s="7"/>
      <c r="M3481" s="10"/>
      <c r="P3481" s="11"/>
      <c r="Q3481" s="12"/>
    </row>
    <row r="3482" spans="1:17">
      <c r="A3482" s="14">
        <v>43700</v>
      </c>
      <c r="B3482" s="8">
        <v>1217.1597302505952</v>
      </c>
      <c r="F3482" s="7"/>
      <c r="G3482" s="7"/>
      <c r="M3482" s="10"/>
      <c r="P3482" s="11"/>
      <c r="Q3482" s="12"/>
    </row>
    <row r="3483" spans="1:17">
      <c r="A3483" s="14">
        <v>43703</v>
      </c>
      <c r="B3483" s="8">
        <v>1226.4025051853041</v>
      </c>
      <c r="F3483" s="7"/>
      <c r="G3483" s="7"/>
      <c r="M3483" s="10"/>
      <c r="P3483" s="11"/>
      <c r="Q3483" s="12"/>
    </row>
    <row r="3484" spans="1:17">
      <c r="A3484" s="14">
        <v>43704</v>
      </c>
      <c r="B3484" s="8">
        <v>1225.8993255230487</v>
      </c>
      <c r="F3484" s="7"/>
      <c r="G3484" s="7"/>
      <c r="M3484" s="10"/>
      <c r="P3484" s="11"/>
      <c r="Q3484" s="12"/>
    </row>
    <row r="3485" spans="1:17">
      <c r="A3485" s="14">
        <v>43705</v>
      </c>
      <c r="B3485" s="8">
        <v>1226.4427910355264</v>
      </c>
      <c r="F3485" s="7"/>
      <c r="G3485" s="7"/>
      <c r="M3485" s="10"/>
      <c r="P3485" s="11"/>
      <c r="Q3485" s="12"/>
    </row>
    <row r="3486" spans="1:17">
      <c r="A3486" s="14">
        <v>43706</v>
      </c>
      <c r="B3486" s="8">
        <v>1247.5007756883065</v>
      </c>
      <c r="F3486" s="7"/>
      <c r="G3486" s="7"/>
      <c r="M3486" s="10"/>
      <c r="P3486" s="11"/>
      <c r="Q3486" s="12"/>
    </row>
    <row r="3487" spans="1:17">
      <c r="A3487" s="14">
        <v>43707</v>
      </c>
      <c r="B3487" s="8">
        <v>1253.5707573468821</v>
      </c>
      <c r="F3487" s="7"/>
      <c r="G3487" s="7"/>
      <c r="M3487" s="10"/>
      <c r="P3487" s="11"/>
      <c r="Q3487" s="12"/>
    </row>
    <row r="3488" spans="1:17">
      <c r="A3488" s="14">
        <v>43710</v>
      </c>
      <c r="B3488" s="8">
        <v>1250.4435919142377</v>
      </c>
      <c r="F3488" s="7"/>
      <c r="G3488" s="7"/>
      <c r="M3488" s="10"/>
      <c r="P3488" s="11"/>
      <c r="Q3488" s="12"/>
    </row>
    <row r="3489" spans="1:17">
      <c r="A3489" s="14">
        <v>43711</v>
      </c>
      <c r="B3489" s="8">
        <v>1240.9939654426244</v>
      </c>
      <c r="F3489" s="7"/>
      <c r="G3489" s="7"/>
      <c r="M3489" s="10"/>
      <c r="P3489" s="11"/>
      <c r="Q3489" s="12"/>
    </row>
    <row r="3490" spans="1:17">
      <c r="A3490" s="14">
        <v>43712</v>
      </c>
      <c r="B3490" s="8">
        <v>1254.3579289553475</v>
      </c>
      <c r="F3490" s="7"/>
      <c r="G3490" s="7"/>
      <c r="M3490" s="10"/>
      <c r="P3490" s="11"/>
      <c r="Q3490" s="12"/>
    </row>
    <row r="3491" spans="1:17">
      <c r="A3491" s="14">
        <v>43713</v>
      </c>
      <c r="B3491" s="8">
        <v>1285.4817477679167</v>
      </c>
      <c r="F3491" s="7"/>
      <c r="G3491" s="7"/>
      <c r="M3491" s="10"/>
      <c r="P3491" s="11"/>
      <c r="Q3491" s="12"/>
    </row>
    <row r="3492" spans="1:17">
      <c r="A3492" s="14">
        <v>43714</v>
      </c>
      <c r="B3492" s="8">
        <v>1285.390233786105</v>
      </c>
      <c r="F3492" s="7"/>
      <c r="G3492" s="7"/>
      <c r="M3492" s="10"/>
      <c r="P3492" s="11"/>
      <c r="Q3492" s="12"/>
    </row>
    <row r="3493" spans="1:17">
      <c r="A3493" s="14">
        <v>43717</v>
      </c>
      <c r="B3493" s="8">
        <v>1293.5494541404657</v>
      </c>
      <c r="F3493" s="7"/>
      <c r="G3493" s="7"/>
      <c r="M3493" s="10"/>
      <c r="P3493" s="11"/>
      <c r="Q3493" s="12"/>
    </row>
    <row r="3494" spans="1:17">
      <c r="A3494" s="14">
        <v>43718</v>
      </c>
      <c r="B3494" s="8">
        <v>1298.0114677044714</v>
      </c>
      <c r="F3494" s="7"/>
      <c r="G3494" s="7"/>
      <c r="M3494" s="10"/>
      <c r="P3494" s="11"/>
      <c r="Q3494" s="12"/>
    </row>
    <row r="3495" spans="1:17">
      <c r="A3495" s="14">
        <v>43719</v>
      </c>
      <c r="B3495" s="8">
        <v>1303.239617068805</v>
      </c>
      <c r="F3495" s="7"/>
      <c r="G3495" s="7"/>
      <c r="M3495" s="10"/>
      <c r="P3495" s="11"/>
      <c r="Q3495" s="12"/>
    </row>
    <row r="3496" spans="1:17">
      <c r="A3496" s="14">
        <v>43720</v>
      </c>
      <c r="B3496" s="8">
        <v>1307.6318171225046</v>
      </c>
      <c r="F3496" s="7"/>
      <c r="G3496" s="7"/>
      <c r="M3496" s="10"/>
      <c r="P3496" s="11"/>
      <c r="Q3496" s="12"/>
    </row>
    <row r="3497" spans="1:17">
      <c r="A3497" s="14">
        <v>43721</v>
      </c>
      <c r="B3497" s="8">
        <v>1316.9822974820913</v>
      </c>
      <c r="F3497" s="7"/>
      <c r="G3497" s="7"/>
      <c r="M3497" s="10"/>
      <c r="P3497" s="11"/>
      <c r="Q3497" s="12"/>
    </row>
    <row r="3498" spans="1:17">
      <c r="A3498" s="14">
        <v>43724</v>
      </c>
      <c r="B3498" s="8">
        <v>1305.4589702260544</v>
      </c>
      <c r="F3498" s="7"/>
      <c r="G3498" s="7"/>
      <c r="M3498" s="10"/>
      <c r="P3498" s="11"/>
      <c r="Q3498" s="12"/>
    </row>
    <row r="3499" spans="1:17">
      <c r="A3499" s="14">
        <v>43725</v>
      </c>
      <c r="B3499" s="8">
        <v>1301.3104894530184</v>
      </c>
      <c r="F3499" s="7"/>
      <c r="G3499" s="7"/>
      <c r="M3499" s="10"/>
      <c r="P3499" s="11"/>
      <c r="Q3499" s="12"/>
    </row>
    <row r="3500" spans="1:17">
      <c r="A3500" s="14">
        <v>43726</v>
      </c>
      <c r="B3500" s="8">
        <v>1299.3794975221845</v>
      </c>
      <c r="F3500" s="7"/>
      <c r="G3500" s="7"/>
      <c r="M3500" s="10"/>
      <c r="P3500" s="11"/>
      <c r="Q3500" s="12"/>
    </row>
    <row r="3501" spans="1:17">
      <c r="A3501" s="14">
        <v>43727</v>
      </c>
      <c r="B3501" s="8">
        <v>1306.8357068642158</v>
      </c>
      <c r="F3501" s="7"/>
      <c r="G3501" s="7"/>
      <c r="M3501" s="10"/>
      <c r="P3501" s="11"/>
      <c r="Q3501" s="12"/>
    </row>
    <row r="3502" spans="1:17">
      <c r="A3502" s="14">
        <v>43728</v>
      </c>
      <c r="B3502" s="8">
        <v>1300.1867601209501</v>
      </c>
      <c r="F3502" s="7"/>
      <c r="G3502" s="7"/>
      <c r="M3502" s="10"/>
      <c r="P3502" s="11"/>
      <c r="Q3502" s="12"/>
    </row>
    <row r="3503" spans="1:17">
      <c r="A3503" s="14">
        <v>43731</v>
      </c>
      <c r="B3503" s="8">
        <v>1287.0177453977367</v>
      </c>
      <c r="F3503" s="7"/>
      <c r="G3503" s="7"/>
      <c r="M3503" s="10"/>
      <c r="P3503" s="11"/>
      <c r="Q3503" s="12"/>
    </row>
    <row r="3504" spans="1:17">
      <c r="A3504" s="14">
        <v>43732</v>
      </c>
      <c r="B3504" s="8">
        <v>1272.0359089190226</v>
      </c>
      <c r="F3504" s="7"/>
      <c r="G3504" s="7"/>
      <c r="M3504" s="10"/>
      <c r="P3504" s="11"/>
      <c r="Q3504" s="12"/>
    </row>
    <row r="3505" spans="1:17">
      <c r="A3505" s="14">
        <v>43733</v>
      </c>
      <c r="B3505" s="8">
        <v>1277.2112752389737</v>
      </c>
      <c r="F3505" s="7"/>
      <c r="G3505" s="7"/>
      <c r="M3505" s="10"/>
      <c r="P3505" s="11"/>
      <c r="Q3505" s="12"/>
    </row>
    <row r="3506" spans="1:17">
      <c r="A3506" s="14">
        <v>43734</v>
      </c>
      <c r="B3506" s="8">
        <v>1284.3645730312057</v>
      </c>
      <c r="F3506" s="7"/>
      <c r="G3506" s="7"/>
      <c r="M3506" s="10"/>
      <c r="P3506" s="11"/>
      <c r="Q3506" s="12"/>
    </row>
    <row r="3507" spans="1:17">
      <c r="A3507" s="14">
        <v>43735</v>
      </c>
      <c r="B3507" s="8">
        <v>1282.8536617671409</v>
      </c>
      <c r="F3507" s="7"/>
      <c r="G3507" s="7"/>
      <c r="M3507" s="10"/>
      <c r="P3507" s="11"/>
      <c r="Q3507" s="12"/>
    </row>
    <row r="3508" spans="1:17">
      <c r="A3508" s="14">
        <v>43738</v>
      </c>
      <c r="B3508" s="8">
        <v>1288.9450937164897</v>
      </c>
      <c r="F3508" s="7"/>
      <c r="G3508" s="7"/>
      <c r="M3508" s="10"/>
      <c r="P3508" s="11"/>
      <c r="Q3508" s="12"/>
    </row>
    <row r="3509" spans="1:17">
      <c r="A3509" s="14">
        <v>43739</v>
      </c>
      <c r="B3509" s="8">
        <v>1275.8492338588353</v>
      </c>
      <c r="F3509" s="7"/>
      <c r="G3509" s="7"/>
      <c r="M3509" s="10"/>
      <c r="P3509" s="11"/>
      <c r="Q3509" s="12"/>
    </row>
    <row r="3510" spans="1:17">
      <c r="A3510" s="14">
        <v>43740</v>
      </c>
      <c r="B3510" s="8">
        <v>1244.5039554197408</v>
      </c>
      <c r="F3510" s="7"/>
      <c r="G3510" s="7"/>
      <c r="M3510" s="10"/>
      <c r="P3510" s="11"/>
      <c r="Q3510" s="12"/>
    </row>
    <row r="3511" spans="1:17">
      <c r="A3511" s="14">
        <v>43741</v>
      </c>
      <c r="B3511" s="8">
        <v>1248.7854271701297</v>
      </c>
      <c r="F3511" s="7"/>
      <c r="G3511" s="7"/>
      <c r="M3511" s="10"/>
      <c r="P3511" s="11"/>
      <c r="Q3511" s="12"/>
    </row>
    <row r="3512" spans="1:17">
      <c r="A3512" s="14">
        <v>43742</v>
      </c>
      <c r="B3512" s="8">
        <v>1262.9104306905529</v>
      </c>
      <c r="F3512" s="7"/>
      <c r="G3512" s="7"/>
      <c r="M3512" s="10"/>
      <c r="P3512" s="11"/>
      <c r="Q3512" s="12"/>
    </row>
    <row r="3513" spans="1:17">
      <c r="A3513" s="14">
        <v>43745</v>
      </c>
      <c r="B3513" s="8">
        <v>1267.4010372245732</v>
      </c>
      <c r="F3513" s="7"/>
      <c r="G3513" s="7"/>
      <c r="M3513" s="10"/>
      <c r="P3513" s="11"/>
      <c r="Q3513" s="12"/>
    </row>
    <row r="3514" spans="1:17">
      <c r="A3514" s="14">
        <v>43746</v>
      </c>
      <c r="B3514" s="8">
        <v>1244.3712164639508</v>
      </c>
      <c r="F3514" s="7"/>
      <c r="G3514" s="7"/>
      <c r="M3514" s="10"/>
      <c r="P3514" s="11"/>
      <c r="Q3514" s="12"/>
    </row>
    <row r="3515" spans="1:17">
      <c r="A3515" s="14">
        <v>43747</v>
      </c>
      <c r="B3515" s="8">
        <v>1256.0847239949969</v>
      </c>
      <c r="F3515" s="7"/>
      <c r="G3515" s="7"/>
      <c r="M3515" s="10"/>
      <c r="P3515" s="11"/>
      <c r="Q3515" s="12"/>
    </row>
    <row r="3516" spans="1:17">
      <c r="A3516" s="14">
        <v>43748</v>
      </c>
      <c r="B3516" s="8">
        <v>1277.4966323212955</v>
      </c>
      <c r="F3516" s="7"/>
      <c r="G3516" s="7"/>
      <c r="M3516" s="10"/>
      <c r="P3516" s="11"/>
      <c r="Q3516" s="12"/>
    </row>
    <row r="3517" spans="1:17">
      <c r="A3517" s="14">
        <v>43749</v>
      </c>
      <c r="B3517" s="8">
        <v>1307.1278123303534</v>
      </c>
      <c r="F3517" s="7"/>
      <c r="G3517" s="7"/>
      <c r="M3517" s="10"/>
      <c r="P3517" s="11"/>
      <c r="Q3517" s="12"/>
    </row>
    <row r="3518" spans="1:17">
      <c r="A3518" s="14">
        <v>43752</v>
      </c>
      <c r="B3518" s="8">
        <v>1303.960536435925</v>
      </c>
      <c r="F3518" s="7"/>
      <c r="G3518" s="7"/>
      <c r="M3518" s="10"/>
      <c r="P3518" s="11"/>
      <c r="Q3518" s="12"/>
    </row>
    <row r="3519" spans="1:17">
      <c r="A3519" s="14">
        <v>43753</v>
      </c>
      <c r="B3519" s="8">
        <v>1327.2188315409105</v>
      </c>
      <c r="F3519" s="7"/>
      <c r="G3519" s="7"/>
      <c r="M3519" s="10"/>
      <c r="P3519" s="11"/>
      <c r="Q3519" s="12"/>
    </row>
    <row r="3520" spans="1:17">
      <c r="A3520" s="14">
        <v>43754</v>
      </c>
      <c r="B3520" s="8">
        <v>1322.4175504753891</v>
      </c>
      <c r="F3520" s="7"/>
      <c r="G3520" s="7"/>
      <c r="M3520" s="10"/>
      <c r="P3520" s="11"/>
      <c r="Q3520" s="12"/>
    </row>
    <row r="3521" spans="1:17">
      <c r="A3521" s="14">
        <v>43755</v>
      </c>
      <c r="B3521" s="8">
        <v>1319.9681652954882</v>
      </c>
      <c r="F3521" s="7"/>
      <c r="G3521" s="7"/>
      <c r="M3521" s="10"/>
      <c r="P3521" s="11"/>
      <c r="Q3521" s="12"/>
    </row>
    <row r="3522" spans="1:17">
      <c r="A3522" s="14">
        <v>43756</v>
      </c>
      <c r="B3522" s="8">
        <v>1312.1052256670623</v>
      </c>
      <c r="F3522" s="7"/>
      <c r="G3522" s="7"/>
      <c r="M3522" s="10"/>
      <c r="P3522" s="11"/>
      <c r="Q3522" s="12"/>
    </row>
    <row r="3523" spans="1:17">
      <c r="A3523" s="14">
        <v>43759</v>
      </c>
      <c r="B3523" s="8">
        <v>1324.0731716397124</v>
      </c>
      <c r="F3523" s="7"/>
      <c r="G3523" s="7"/>
      <c r="M3523" s="10"/>
      <c r="P3523" s="11"/>
      <c r="Q3523" s="12"/>
    </row>
    <row r="3524" spans="1:17">
      <c r="A3524" s="14">
        <v>43760</v>
      </c>
      <c r="B3524" s="8">
        <v>1315.7095944546511</v>
      </c>
      <c r="F3524" s="7"/>
      <c r="G3524" s="7"/>
      <c r="M3524" s="10"/>
      <c r="P3524" s="11"/>
      <c r="Q3524" s="12"/>
    </row>
    <row r="3525" spans="1:17">
      <c r="A3525" s="14">
        <v>43761</v>
      </c>
      <c r="B3525" s="8">
        <v>1311.4390878533238</v>
      </c>
      <c r="F3525" s="7"/>
      <c r="G3525" s="7"/>
      <c r="M3525" s="10"/>
      <c r="P3525" s="11"/>
      <c r="Q3525" s="12"/>
    </row>
    <row r="3526" spans="1:17">
      <c r="A3526" s="14">
        <v>43762</v>
      </c>
      <c r="B3526" s="8">
        <v>1323.7097498861647</v>
      </c>
      <c r="F3526" s="7"/>
      <c r="G3526" s="7"/>
      <c r="M3526" s="10"/>
      <c r="P3526" s="11"/>
      <c r="Q3526" s="12"/>
    </row>
    <row r="3527" spans="1:17">
      <c r="A3527" s="14">
        <v>43763</v>
      </c>
      <c r="B3527" s="8">
        <v>1335.5851420955103</v>
      </c>
      <c r="F3527" s="7"/>
      <c r="G3527" s="7"/>
      <c r="M3527" s="10"/>
      <c r="P3527" s="11"/>
      <c r="Q3527" s="12"/>
    </row>
    <row r="3528" spans="1:17">
      <c r="A3528" s="14">
        <v>43766</v>
      </c>
      <c r="B3528" s="8">
        <v>1343.6924617656136</v>
      </c>
      <c r="F3528" s="7"/>
      <c r="G3528" s="7"/>
      <c r="M3528" s="10"/>
      <c r="P3528" s="11"/>
      <c r="Q3528" s="12"/>
    </row>
    <row r="3529" spans="1:17">
      <c r="A3529" s="14">
        <v>43767</v>
      </c>
      <c r="B3529" s="8">
        <v>1340.0624904017202</v>
      </c>
      <c r="F3529" s="7"/>
      <c r="G3529" s="7"/>
      <c r="M3529" s="10"/>
      <c r="P3529" s="11"/>
      <c r="Q3529" s="12"/>
    </row>
    <row r="3530" spans="1:17">
      <c r="A3530" s="14">
        <v>43768</v>
      </c>
      <c r="B3530" s="8">
        <v>1335.7641547071871</v>
      </c>
      <c r="F3530" s="7"/>
      <c r="G3530" s="7"/>
      <c r="M3530" s="10"/>
      <c r="P3530" s="11"/>
      <c r="Q3530" s="12"/>
    </row>
    <row r="3531" spans="1:17">
      <c r="A3531" s="14">
        <v>43769</v>
      </c>
      <c r="B3531" s="8">
        <v>1325.9913303344158</v>
      </c>
      <c r="F3531" s="7"/>
      <c r="G3531" s="7"/>
      <c r="M3531" s="10"/>
      <c r="P3531" s="11"/>
      <c r="Q3531" s="12"/>
    </row>
    <row r="3532" spans="1:17">
      <c r="A3532" s="14">
        <v>43770</v>
      </c>
      <c r="B3532" s="8">
        <v>1330.5323345400577</v>
      </c>
      <c r="F3532" s="7"/>
      <c r="G3532" s="7"/>
      <c r="M3532" s="10"/>
      <c r="P3532" s="11"/>
      <c r="Q3532" s="12"/>
    </row>
    <row r="3533" spans="1:17">
      <c r="A3533" s="14">
        <v>43773</v>
      </c>
      <c r="B3533" s="8">
        <v>1345.9474504191649</v>
      </c>
      <c r="F3533" s="7"/>
      <c r="G3533" s="7"/>
      <c r="M3533" s="10"/>
      <c r="P3533" s="11"/>
      <c r="Q3533" s="12"/>
    </row>
    <row r="3534" spans="1:17">
      <c r="A3534" s="14">
        <v>43774</v>
      </c>
      <c r="B3534" s="8">
        <v>1350.2671771435664</v>
      </c>
      <c r="F3534" s="7"/>
      <c r="G3534" s="7"/>
      <c r="M3534" s="10"/>
      <c r="P3534" s="11"/>
      <c r="Q3534" s="12"/>
    </row>
    <row r="3535" spans="1:17">
      <c r="A3535" s="14">
        <v>43775</v>
      </c>
      <c r="B3535" s="8">
        <v>1353.875985340175</v>
      </c>
      <c r="F3535" s="7"/>
      <c r="G3535" s="7"/>
      <c r="M3535" s="10"/>
      <c r="P3535" s="11"/>
      <c r="Q3535" s="12"/>
    </row>
    <row r="3536" spans="1:17">
      <c r="A3536" s="14">
        <v>43776</v>
      </c>
      <c r="B3536" s="8">
        <v>1371.5433416471776</v>
      </c>
      <c r="F3536" s="7"/>
      <c r="G3536" s="7"/>
      <c r="M3536" s="10"/>
      <c r="P3536" s="11"/>
      <c r="Q3536" s="12"/>
    </row>
    <row r="3537" spans="1:17">
      <c r="A3537" s="14">
        <v>43777</v>
      </c>
      <c r="B3537" s="8">
        <v>1370.709228654074</v>
      </c>
      <c r="F3537" s="7"/>
      <c r="G3537" s="7"/>
      <c r="M3537" s="10"/>
      <c r="P3537" s="11"/>
      <c r="Q3537" s="12"/>
    </row>
    <row r="3538" spans="1:17">
      <c r="A3538" s="14">
        <v>43780</v>
      </c>
      <c r="B3538" s="8">
        <v>1368.5147921406094</v>
      </c>
      <c r="F3538" s="7"/>
      <c r="G3538" s="7"/>
      <c r="M3538" s="10"/>
      <c r="P3538" s="11"/>
      <c r="Q3538" s="12"/>
    </row>
    <row r="3539" spans="1:17">
      <c r="A3539" s="14">
        <v>43781</v>
      </c>
      <c r="B3539" s="8">
        <v>1375.3675223897505</v>
      </c>
      <c r="F3539" s="7"/>
      <c r="G3539" s="7"/>
      <c r="M3539" s="10"/>
      <c r="P3539" s="11"/>
      <c r="Q3539" s="12"/>
    </row>
    <row r="3540" spans="1:17">
      <c r="A3540" s="14">
        <v>43782</v>
      </c>
      <c r="B3540" s="8">
        <v>1364.3870056315047</v>
      </c>
      <c r="F3540" s="7"/>
      <c r="G3540" s="7"/>
      <c r="M3540" s="10"/>
      <c r="P3540" s="11"/>
      <c r="Q3540" s="12"/>
    </row>
    <row r="3541" spans="1:17">
      <c r="A3541" s="14">
        <v>43783</v>
      </c>
      <c r="B3541" s="8">
        <v>1366.1864282078925</v>
      </c>
      <c r="F3541" s="7"/>
      <c r="G3541" s="7"/>
      <c r="M3541" s="10"/>
      <c r="P3541" s="11"/>
      <c r="Q3541" s="12"/>
    </row>
    <row r="3542" spans="1:17">
      <c r="A3542" s="14">
        <v>43784</v>
      </c>
      <c r="B3542" s="8">
        <v>1375.5422140518608</v>
      </c>
      <c r="F3542" s="7"/>
      <c r="G3542" s="7"/>
      <c r="M3542" s="10"/>
      <c r="P3542" s="11"/>
      <c r="Q3542" s="12"/>
    </row>
    <row r="3543" spans="1:17">
      <c r="A3543" s="14">
        <v>43787</v>
      </c>
      <c r="B3543" s="8">
        <v>1375.3814767180847</v>
      </c>
      <c r="F3543" s="7"/>
      <c r="G3543" s="7"/>
      <c r="M3543" s="10"/>
      <c r="P3543" s="11"/>
      <c r="Q3543" s="12"/>
    </row>
    <row r="3544" spans="1:17">
      <c r="A3544" s="14">
        <v>43788</v>
      </c>
      <c r="B3544" s="8">
        <v>1372.4559878309026</v>
      </c>
      <c r="F3544" s="7"/>
      <c r="G3544" s="7"/>
      <c r="M3544" s="10"/>
      <c r="P3544" s="11"/>
      <c r="Q3544" s="12"/>
    </row>
    <row r="3545" spans="1:17">
      <c r="A3545" s="14">
        <v>43789</v>
      </c>
      <c r="B3545" s="8">
        <v>1368.2605265907046</v>
      </c>
      <c r="F3545" s="7"/>
      <c r="G3545" s="7"/>
      <c r="M3545" s="10"/>
      <c r="P3545" s="11"/>
      <c r="Q3545" s="12"/>
    </row>
    <row r="3546" spans="1:17">
      <c r="A3546" s="14">
        <v>43790</v>
      </c>
      <c r="B3546" s="8">
        <v>1365.4508800437106</v>
      </c>
      <c r="F3546" s="7"/>
      <c r="G3546" s="7"/>
      <c r="M3546" s="10"/>
      <c r="P3546" s="11"/>
      <c r="Q3546" s="12"/>
    </row>
    <row r="3547" spans="1:17">
      <c r="A3547" s="14">
        <v>43791</v>
      </c>
      <c r="B3547" s="8">
        <v>1366.0353159889748</v>
      </c>
      <c r="F3547" s="7"/>
      <c r="G3547" s="7"/>
      <c r="M3547" s="10"/>
      <c r="P3547" s="11"/>
      <c r="Q3547" s="12"/>
    </row>
    <row r="3548" spans="1:17">
      <c r="A3548" s="14">
        <v>43794</v>
      </c>
      <c r="B3548" s="8">
        <v>1376.4733346920348</v>
      </c>
      <c r="F3548" s="7"/>
      <c r="G3548" s="7"/>
      <c r="M3548" s="10"/>
      <c r="P3548" s="11"/>
      <c r="Q3548" s="12"/>
    </row>
    <row r="3549" spans="1:17">
      <c r="A3549" s="14">
        <v>43795</v>
      </c>
      <c r="B3549" s="8">
        <v>1376.5442870634608</v>
      </c>
      <c r="F3549" s="7"/>
      <c r="G3549" s="7"/>
      <c r="M3549" s="10"/>
      <c r="P3549" s="11"/>
      <c r="Q3549" s="12"/>
    </row>
    <row r="3550" spans="1:17">
      <c r="A3550" s="14">
        <v>43796</v>
      </c>
      <c r="B3550" s="8">
        <v>1380.8169310394335</v>
      </c>
      <c r="F3550" s="7"/>
      <c r="G3550" s="7"/>
      <c r="M3550" s="10"/>
      <c r="P3550" s="11"/>
      <c r="Q3550" s="12"/>
    </row>
    <row r="3551" spans="1:17">
      <c r="A3551" s="14">
        <v>43797</v>
      </c>
      <c r="B3551" s="8">
        <v>1377.1268271900815</v>
      </c>
      <c r="F3551" s="7"/>
      <c r="G3551" s="7"/>
      <c r="M3551" s="10"/>
      <c r="P3551" s="11"/>
      <c r="Q3551" s="12"/>
    </row>
    <row r="3552" spans="1:17">
      <c r="A3552" s="14">
        <v>43798</v>
      </c>
      <c r="B3552" s="8">
        <v>1371.7799370123887</v>
      </c>
      <c r="F3552" s="7"/>
      <c r="G3552" s="7"/>
      <c r="M3552" s="10"/>
      <c r="P3552" s="11"/>
      <c r="Q3552" s="12"/>
    </row>
    <row r="3553" spans="1:17">
      <c r="A3553" s="14">
        <v>43801</v>
      </c>
      <c r="B3553" s="8">
        <v>1352.4110456811768</v>
      </c>
      <c r="F3553" s="7"/>
      <c r="G3553" s="7"/>
      <c r="M3553" s="10"/>
      <c r="P3553" s="11"/>
      <c r="Q3553" s="12"/>
    </row>
    <row r="3554" spans="1:17">
      <c r="A3554" s="14">
        <v>43802</v>
      </c>
      <c r="B3554" s="8">
        <v>1342.53005849022</v>
      </c>
      <c r="F3554" s="7"/>
      <c r="G3554" s="7"/>
      <c r="M3554" s="10"/>
      <c r="P3554" s="11"/>
      <c r="Q3554" s="12"/>
    </row>
    <row r="3555" spans="1:17">
      <c r="A3555" s="14">
        <v>43803</v>
      </c>
      <c r="B3555" s="8">
        <v>1359.0411509313358</v>
      </c>
      <c r="F3555" s="7"/>
      <c r="G3555" s="7"/>
      <c r="M3555" s="10"/>
      <c r="P3555" s="11"/>
      <c r="Q3555" s="12"/>
    </row>
    <row r="3556" spans="1:17">
      <c r="A3556" s="14">
        <v>43804</v>
      </c>
      <c r="B3556" s="8">
        <v>1358.3411314395169</v>
      </c>
      <c r="F3556" s="7"/>
      <c r="G3556" s="7"/>
      <c r="M3556" s="10"/>
      <c r="P3556" s="11"/>
      <c r="Q3556" s="12"/>
    </row>
    <row r="3557" spans="1:17">
      <c r="A3557" s="14">
        <v>43805</v>
      </c>
      <c r="B3557" s="8">
        <v>1376.7976474320856</v>
      </c>
      <c r="F3557" s="7"/>
      <c r="G3557" s="7"/>
      <c r="M3557" s="10"/>
      <c r="P3557" s="11"/>
      <c r="Q3557" s="12"/>
    </row>
    <row r="3558" spans="1:17">
      <c r="A3558" s="14">
        <v>43808</v>
      </c>
      <c r="B3558" s="8">
        <v>1372.6956756396141</v>
      </c>
      <c r="F3558" s="7"/>
      <c r="G3558" s="7"/>
      <c r="M3558" s="10"/>
      <c r="P3558" s="11"/>
      <c r="Q3558" s="12"/>
    </row>
    <row r="3559" spans="1:17">
      <c r="A3559" s="14">
        <v>43809</v>
      </c>
      <c r="B3559" s="8">
        <v>1368.1388656885024</v>
      </c>
      <c r="F3559" s="7"/>
      <c r="G3559" s="7"/>
      <c r="M3559" s="10"/>
      <c r="P3559" s="11"/>
      <c r="Q3559" s="12"/>
    </row>
    <row r="3560" spans="1:17">
      <c r="A3560" s="14">
        <v>43810</v>
      </c>
      <c r="B3560" s="8">
        <v>1376.1670270970226</v>
      </c>
      <c r="F3560" s="7"/>
      <c r="G3560" s="7"/>
      <c r="M3560" s="10"/>
      <c r="P3560" s="11"/>
      <c r="Q3560" s="12"/>
    </row>
    <row r="3561" spans="1:17">
      <c r="A3561" s="14">
        <v>43811</v>
      </c>
      <c r="B3561" s="8">
        <v>1393.4474583105134</v>
      </c>
      <c r="F3561" s="7"/>
      <c r="G3561" s="7"/>
      <c r="M3561" s="10"/>
      <c r="P3561" s="11"/>
      <c r="Q3561" s="12"/>
    </row>
    <row r="3562" spans="1:17">
      <c r="A3562" s="14">
        <v>43812</v>
      </c>
      <c r="B3562" s="8">
        <v>1399.9545657758947</v>
      </c>
      <c r="F3562" s="7"/>
      <c r="G3562" s="7"/>
      <c r="M3562" s="10"/>
      <c r="P3562" s="11"/>
      <c r="Q3562" s="12"/>
    </row>
    <row r="3563" spans="1:17">
      <c r="A3563" s="14">
        <v>43815</v>
      </c>
      <c r="B3563" s="8">
        <v>1419.1428731486592</v>
      </c>
      <c r="F3563" s="7"/>
      <c r="G3563" s="7"/>
      <c r="M3563" s="10"/>
      <c r="P3563" s="11"/>
      <c r="Q3563" s="12"/>
    </row>
    <row r="3564" spans="1:17">
      <c r="A3564" s="14">
        <v>43816</v>
      </c>
      <c r="B3564" s="8">
        <v>1415.4159676926795</v>
      </c>
      <c r="F3564" s="7"/>
      <c r="G3564" s="7"/>
      <c r="M3564" s="10"/>
      <c r="P3564" s="11"/>
      <c r="Q3564" s="12"/>
    </row>
    <row r="3565" spans="1:17">
      <c r="A3565" s="14">
        <v>43817</v>
      </c>
      <c r="B3565" s="8">
        <v>1416.9880813372963</v>
      </c>
      <c r="F3565" s="7"/>
      <c r="G3565" s="7"/>
      <c r="M3565" s="10"/>
      <c r="P3565" s="11"/>
      <c r="Q3565" s="12"/>
    </row>
    <row r="3566" spans="1:17">
      <c r="A3566" s="14">
        <v>43818</v>
      </c>
      <c r="B3566" s="8">
        <v>1425.9369090416017</v>
      </c>
      <c r="F3566" s="7"/>
      <c r="G3566" s="7"/>
      <c r="M3566" s="10"/>
      <c r="P3566" s="11"/>
      <c r="Q3566" s="12"/>
    </row>
    <row r="3567" spans="1:17">
      <c r="A3567" s="14">
        <v>43819</v>
      </c>
      <c r="B3567" s="8">
        <v>1433.1720666576832</v>
      </c>
      <c r="F3567" s="7"/>
      <c r="G3567" s="7"/>
      <c r="M3567" s="10"/>
      <c r="P3567" s="11"/>
      <c r="Q3567" s="12"/>
    </row>
    <row r="3568" spans="1:17">
      <c r="A3568" s="14">
        <v>43822</v>
      </c>
      <c r="B3568" s="8">
        <v>1430.5943912875482</v>
      </c>
      <c r="F3568" s="7"/>
      <c r="G3568" s="7"/>
      <c r="M3568" s="10"/>
      <c r="P3568" s="11"/>
      <c r="Q3568" s="12"/>
    </row>
    <row r="3569" spans="1:17">
      <c r="A3569" s="14">
        <v>43823</v>
      </c>
      <c r="B3569" s="8">
        <v>1430.9786833977321</v>
      </c>
      <c r="F3569" s="7"/>
      <c r="G3569" s="7"/>
      <c r="M3569" s="10"/>
      <c r="P3569" s="11"/>
      <c r="Q3569" s="12"/>
    </row>
    <row r="3570" spans="1:17">
      <c r="A3570" s="14">
        <v>43824</v>
      </c>
      <c r="B3570" s="8">
        <v>1430.5969907202989</v>
      </c>
      <c r="F3570" s="7"/>
      <c r="G3570" s="7"/>
      <c r="M3570" s="10"/>
      <c r="P3570" s="11"/>
      <c r="Q3570" s="12"/>
    </row>
    <row r="3571" spans="1:17">
      <c r="A3571" s="14">
        <v>43825</v>
      </c>
      <c r="B3571" s="8">
        <v>1433.4428158605494</v>
      </c>
      <c r="F3571" s="7"/>
      <c r="G3571" s="7"/>
      <c r="M3571" s="10"/>
      <c r="P3571" s="11"/>
      <c r="Q3571" s="12"/>
    </row>
    <row r="3572" spans="1:17">
      <c r="A3572" s="14">
        <v>43826</v>
      </c>
      <c r="B3572" s="8">
        <v>1432.8371952539583</v>
      </c>
      <c r="F3572" s="7"/>
      <c r="G3572" s="7"/>
      <c r="M3572" s="10"/>
      <c r="P3572" s="11"/>
      <c r="Q3572" s="12"/>
    </row>
    <row r="3573" spans="1:17">
      <c r="A3573" s="14">
        <v>43829</v>
      </c>
      <c r="B3573" s="8">
        <v>1419.1844679332394</v>
      </c>
      <c r="F3573" s="7"/>
      <c r="G3573" s="7"/>
      <c r="M3573" s="10"/>
      <c r="P3573" s="11"/>
      <c r="Q3573" s="12"/>
    </row>
    <row r="3574" spans="1:17">
      <c r="A3574" s="14">
        <v>43830</v>
      </c>
      <c r="B3574" s="8">
        <v>1419.3058016642128</v>
      </c>
      <c r="F3574" s="7"/>
      <c r="G3574" s="7"/>
      <c r="M3574" s="10"/>
      <c r="P3574" s="11"/>
      <c r="Q3574" s="12"/>
    </row>
    <row r="3575" spans="1:17">
      <c r="A3575" s="14">
        <v>43831</v>
      </c>
      <c r="B3575" s="8">
        <v>1418.9241089867787</v>
      </c>
      <c r="F3575" s="7"/>
      <c r="G3575" s="7"/>
      <c r="M3575" s="10"/>
      <c r="P3575" s="11"/>
      <c r="Q3575" s="12"/>
    </row>
    <row r="3576" spans="1:17">
      <c r="A3576" s="14">
        <v>43832</v>
      </c>
      <c r="B3576" s="8">
        <v>1440.1489129485497</v>
      </c>
      <c r="F3576" s="7"/>
      <c r="G3576" s="7"/>
      <c r="M3576" s="10"/>
      <c r="P3576" s="11"/>
      <c r="Q3576" s="12"/>
    </row>
    <row r="3577" spans="1:17">
      <c r="A3577" s="14">
        <v>43833</v>
      </c>
      <c r="B3577" s="8">
        <v>1428.7158565675577</v>
      </c>
      <c r="F3577" s="7"/>
      <c r="G3577" s="7"/>
      <c r="M3577" s="10"/>
      <c r="P3577" s="11"/>
      <c r="Q3577" s="12"/>
    </row>
    <row r="3578" spans="1:17">
      <c r="A3578" s="14">
        <v>43836</v>
      </c>
      <c r="B3578" s="8">
        <v>1425.3904669920273</v>
      </c>
      <c r="F3578" s="7"/>
      <c r="G3578" s="7"/>
      <c r="M3578" s="10"/>
      <c r="P3578" s="11"/>
      <c r="Q3578" s="12"/>
    </row>
    <row r="3579" spans="1:17">
      <c r="A3579" s="14">
        <v>43837</v>
      </c>
      <c r="B3579" s="8">
        <v>1431.936199863266</v>
      </c>
      <c r="F3579" s="7"/>
      <c r="G3579" s="7"/>
      <c r="M3579" s="10"/>
      <c r="P3579" s="11"/>
      <c r="Q3579" s="12"/>
    </row>
    <row r="3580" spans="1:17">
      <c r="A3580" s="14">
        <v>43838</v>
      </c>
      <c r="B3580" s="8">
        <v>1443.8515236284627</v>
      </c>
      <c r="F3580" s="7"/>
      <c r="G3580" s="7"/>
      <c r="M3580" s="10"/>
      <c r="P3580" s="11"/>
      <c r="Q3580" s="12"/>
    </row>
    <row r="3581" spans="1:17">
      <c r="A3581" s="14">
        <v>43839</v>
      </c>
      <c r="B3581" s="8">
        <v>1450.0913985296193</v>
      </c>
      <c r="F3581" s="7"/>
      <c r="G3581" s="7"/>
      <c r="M3581" s="10"/>
      <c r="P3581" s="11"/>
      <c r="Q3581" s="12"/>
    </row>
    <row r="3582" spans="1:17">
      <c r="A3582" s="14">
        <v>43840</v>
      </c>
      <c r="B3582" s="8">
        <v>1442.9057736563534</v>
      </c>
      <c r="F3582" s="7"/>
      <c r="G3582" s="7"/>
      <c r="M3582" s="10"/>
      <c r="P3582" s="11"/>
      <c r="Q3582" s="12"/>
    </row>
    <row r="3583" spans="1:17">
      <c r="A3583" s="14">
        <v>43843</v>
      </c>
      <c r="B3583" s="8">
        <v>1450.2604499955526</v>
      </c>
      <c r="F3583" s="7"/>
      <c r="G3583" s="7"/>
      <c r="M3583" s="10"/>
      <c r="P3583" s="11"/>
      <c r="Q3583" s="12"/>
    </row>
    <row r="3584" spans="1:17">
      <c r="A3584" s="14">
        <v>43844</v>
      </c>
      <c r="B3584" s="8">
        <v>1447.056219847919</v>
      </c>
      <c r="F3584" s="7"/>
      <c r="G3584" s="7"/>
      <c r="M3584" s="10"/>
      <c r="P3584" s="11"/>
      <c r="Q3584" s="12"/>
    </row>
    <row r="3585" spans="1:17">
      <c r="A3585" s="14">
        <v>43845</v>
      </c>
      <c r="B3585" s="8">
        <v>1437.5306558312916</v>
      </c>
      <c r="F3585" s="7"/>
      <c r="G3585" s="7"/>
      <c r="M3585" s="10"/>
      <c r="P3585" s="11"/>
      <c r="Q3585" s="12"/>
    </row>
    <row r="3586" spans="1:17">
      <c r="A3586" s="14">
        <v>43846</v>
      </c>
      <c r="B3586" s="8">
        <v>1442.5634935613753</v>
      </c>
      <c r="F3586" s="7"/>
      <c r="G3586" s="7"/>
      <c r="M3586" s="10"/>
      <c r="P3586" s="11"/>
      <c r="Q3586" s="12"/>
    </row>
    <row r="3587" spans="1:17">
      <c r="A3587" s="14">
        <v>43847</v>
      </c>
      <c r="B3587" s="8">
        <v>1454.5101958480686</v>
      </c>
      <c r="F3587" s="7"/>
      <c r="G3587" s="7"/>
      <c r="M3587" s="10"/>
      <c r="P3587" s="11"/>
      <c r="Q3587" s="12"/>
    </row>
    <row r="3588" spans="1:17">
      <c r="A3588" s="14">
        <v>43850</v>
      </c>
      <c r="B3588" s="8">
        <v>1449.4136844489833</v>
      </c>
      <c r="F3588" s="7"/>
      <c r="G3588" s="7"/>
      <c r="M3588" s="10"/>
      <c r="P3588" s="11"/>
      <c r="Q3588" s="12"/>
    </row>
    <row r="3589" spans="1:17">
      <c r="A3589" s="14">
        <v>43851</v>
      </c>
      <c r="B3589" s="8">
        <v>1445.6467624581157</v>
      </c>
      <c r="F3589" s="7"/>
      <c r="G3589" s="7"/>
      <c r="M3589" s="10"/>
      <c r="P3589" s="11"/>
      <c r="Q3589" s="12"/>
    </row>
    <row r="3590" spans="1:17">
      <c r="A3590" s="14">
        <v>43852</v>
      </c>
      <c r="B3590" s="8">
        <v>1444.3483129494084</v>
      </c>
      <c r="F3590" s="7"/>
      <c r="G3590" s="7"/>
      <c r="M3590" s="10"/>
      <c r="P3590" s="11"/>
      <c r="Q3590" s="12"/>
    </row>
    <row r="3591" spans="1:17">
      <c r="A3591" s="14">
        <v>43853</v>
      </c>
      <c r="B3591" s="8">
        <v>1442.2048671956645</v>
      </c>
      <c r="F3591" s="7"/>
      <c r="G3591" s="7"/>
      <c r="M3591" s="10"/>
      <c r="P3591" s="11"/>
      <c r="Q3591" s="12"/>
    </row>
    <row r="3592" spans="1:17">
      <c r="A3592" s="14">
        <v>43854</v>
      </c>
      <c r="B3592" s="8">
        <v>1441.1664382118581</v>
      </c>
      <c r="F3592" s="7"/>
      <c r="G3592" s="7"/>
      <c r="M3592" s="10"/>
      <c r="P3592" s="11"/>
      <c r="Q3592" s="12"/>
    </row>
    <row r="3593" spans="1:17">
      <c r="A3593" s="14">
        <v>43857</v>
      </c>
      <c r="B3593" s="8">
        <v>1411.9090674179008</v>
      </c>
      <c r="F3593" s="7"/>
      <c r="G3593" s="7"/>
      <c r="M3593" s="10"/>
      <c r="P3593" s="11"/>
      <c r="Q3593" s="12"/>
    </row>
    <row r="3594" spans="1:17">
      <c r="A3594" s="14">
        <v>43858</v>
      </c>
      <c r="B3594" s="8">
        <v>1428.3802702039061</v>
      </c>
      <c r="F3594" s="7"/>
      <c r="G3594" s="7"/>
      <c r="M3594" s="10"/>
      <c r="P3594" s="11"/>
      <c r="Q3594" s="12"/>
    </row>
    <row r="3595" spans="1:17">
      <c r="A3595" s="14">
        <v>43859</v>
      </c>
      <c r="B3595" s="8">
        <v>1428.7306861919242</v>
      </c>
      <c r="F3595" s="7"/>
      <c r="G3595" s="7"/>
      <c r="M3595" s="10"/>
      <c r="P3595" s="11"/>
      <c r="Q3595" s="12"/>
    </row>
    <row r="3596" spans="1:17">
      <c r="A3596" s="14">
        <v>43860</v>
      </c>
      <c r="B3596" s="8">
        <v>1429.4901323759395</v>
      </c>
      <c r="F3596" s="7"/>
      <c r="G3596" s="7"/>
      <c r="M3596" s="10"/>
      <c r="P3596" s="11"/>
      <c r="Q3596" s="12"/>
    </row>
    <row r="3597" spans="1:17">
      <c r="A3597" s="14">
        <v>43861</v>
      </c>
      <c r="B3597" s="8">
        <v>1401.4188497284993</v>
      </c>
      <c r="F3597" s="7"/>
      <c r="G3597" s="7"/>
      <c r="M3597" s="10"/>
      <c r="P3597" s="11"/>
      <c r="Q3597" s="12"/>
    </row>
    <row r="3598" spans="1:17">
      <c r="A3598" s="14">
        <v>43864</v>
      </c>
      <c r="B3598" s="8">
        <v>1424.413014062013</v>
      </c>
      <c r="F3598" s="7"/>
      <c r="G3598" s="7"/>
      <c r="M3598" s="10"/>
      <c r="P3598" s="11"/>
      <c r="Q3598" s="12"/>
    </row>
    <row r="3599" spans="1:17">
      <c r="A3599" s="14">
        <v>43865</v>
      </c>
      <c r="B3599" s="8">
        <v>1462.3453275722577</v>
      </c>
      <c r="F3599" s="7"/>
      <c r="G3599" s="7"/>
      <c r="M3599" s="10"/>
      <c r="P3599" s="11"/>
      <c r="Q3599" s="12"/>
    </row>
    <row r="3600" spans="1:17">
      <c r="A3600" s="14">
        <v>43866</v>
      </c>
      <c r="B3600" s="8">
        <v>1469.925748606169</v>
      </c>
      <c r="F3600" s="7"/>
      <c r="G3600" s="7"/>
      <c r="M3600" s="10"/>
      <c r="P3600" s="11"/>
      <c r="Q3600" s="12"/>
    </row>
    <row r="3601" spans="1:17">
      <c r="A3601" s="14">
        <v>43867</v>
      </c>
      <c r="B3601" s="8">
        <v>1482.3086752670597</v>
      </c>
      <c r="F3601" s="7"/>
      <c r="G3601" s="7"/>
      <c r="M3601" s="10"/>
      <c r="P3601" s="11"/>
      <c r="Q3601" s="12"/>
    </row>
    <row r="3602" spans="1:17">
      <c r="A3602" s="14">
        <v>43868</v>
      </c>
      <c r="B3602" s="8">
        <v>1475.6563968524624</v>
      </c>
      <c r="F3602" s="7"/>
      <c r="G3602" s="7"/>
      <c r="M3602" s="10"/>
      <c r="P3602" s="11"/>
      <c r="Q3602" s="12"/>
    </row>
    <row r="3603" spans="1:17">
      <c r="A3603" s="14">
        <v>43871</v>
      </c>
      <c r="B3603" s="8">
        <v>1478.907512753949</v>
      </c>
      <c r="F3603" s="7"/>
      <c r="G3603" s="7"/>
      <c r="M3603" s="10"/>
      <c r="P3603" s="11"/>
      <c r="Q3603" s="12"/>
    </row>
    <row r="3604" spans="1:17">
      <c r="A3604" s="14">
        <v>43872</v>
      </c>
      <c r="B3604" s="8">
        <v>1489.0330921164425</v>
      </c>
      <c r="F3604" s="7"/>
      <c r="G3604" s="7"/>
      <c r="M3604" s="10"/>
      <c r="P3604" s="11"/>
      <c r="Q3604" s="12"/>
    </row>
    <row r="3605" spans="1:17">
      <c r="A3605" s="14">
        <v>43873</v>
      </c>
      <c r="B3605" s="8">
        <v>1504.2076104665371</v>
      </c>
      <c r="F3605" s="7"/>
      <c r="G3605" s="7"/>
      <c r="M3605" s="10"/>
      <c r="P3605" s="11"/>
      <c r="Q3605" s="12"/>
    </row>
    <row r="3606" spans="1:17">
      <c r="A3606" s="14">
        <v>43874</v>
      </c>
      <c r="B3606" s="8">
        <v>1508.2823637940589</v>
      </c>
      <c r="F3606" s="7"/>
      <c r="G3606" s="7"/>
      <c r="M3606" s="10"/>
      <c r="P3606" s="11"/>
      <c r="Q3606" s="12"/>
    </row>
    <row r="3607" spans="1:17">
      <c r="A3607" s="14">
        <v>43875</v>
      </c>
      <c r="B3607" s="8">
        <v>1508.4914980891856</v>
      </c>
      <c r="F3607" s="7"/>
      <c r="G3607" s="7"/>
      <c r="M3607" s="10"/>
      <c r="P3607" s="11"/>
      <c r="Q3607" s="12"/>
    </row>
    <row r="3608" spans="1:17">
      <c r="A3608" s="14">
        <v>43878</v>
      </c>
      <c r="B3608" s="8">
        <v>1511.1283717297417</v>
      </c>
      <c r="F3608" s="7"/>
      <c r="G3608" s="7"/>
      <c r="M3608" s="10"/>
      <c r="P3608" s="11"/>
      <c r="Q3608" s="12"/>
    </row>
    <row r="3609" spans="1:17">
      <c r="A3609" s="14">
        <v>43879</v>
      </c>
      <c r="B3609" s="8">
        <v>1506.3966754557182</v>
      </c>
      <c r="F3609" s="7"/>
      <c r="G3609" s="7"/>
      <c r="M3609" s="10"/>
      <c r="P3609" s="11"/>
      <c r="Q3609" s="12"/>
    </row>
    <row r="3610" spans="1:17">
      <c r="A3610" s="14">
        <v>43880</v>
      </c>
      <c r="B3610" s="8">
        <v>1522.224375635891</v>
      </c>
      <c r="F3610" s="7"/>
      <c r="G3610" s="7"/>
      <c r="M3610" s="10"/>
      <c r="P3610" s="11"/>
      <c r="Q3610" s="12"/>
    </row>
    <row r="3611" spans="1:17">
      <c r="A3611" s="14">
        <v>43881</v>
      </c>
      <c r="B3611" s="8">
        <v>1511.2571098832323</v>
      </c>
      <c r="F3611" s="7"/>
      <c r="G3611" s="7"/>
      <c r="M3611" s="10"/>
      <c r="P3611" s="11"/>
      <c r="Q3611" s="12"/>
    </row>
    <row r="3612" spans="1:17">
      <c r="A3612" s="14">
        <v>43882</v>
      </c>
      <c r="B3612" s="8">
        <v>1491.4441542024076</v>
      </c>
      <c r="F3612" s="7"/>
      <c r="G3612" s="7"/>
      <c r="M3612" s="10"/>
      <c r="P3612" s="11"/>
      <c r="Q3612" s="12"/>
    </row>
    <row r="3613" spans="1:17">
      <c r="A3613" s="14">
        <v>43885</v>
      </c>
      <c r="B3613" s="8">
        <v>1429.9245611934659</v>
      </c>
      <c r="F3613" s="7"/>
      <c r="G3613" s="7"/>
      <c r="M3613" s="10"/>
      <c r="P3613" s="11"/>
      <c r="Q3613" s="12"/>
    </row>
    <row r="3614" spans="1:17">
      <c r="A3614" s="14">
        <v>43886</v>
      </c>
      <c r="B3614" s="8">
        <v>1394.8390068825559</v>
      </c>
      <c r="F3614" s="7"/>
      <c r="G3614" s="7"/>
      <c r="M3614" s="10"/>
      <c r="P3614" s="11"/>
      <c r="Q3614" s="12"/>
    </row>
    <row r="3615" spans="1:17">
      <c r="A3615" s="14">
        <v>43887</v>
      </c>
      <c r="B3615" s="8">
        <v>1393.9729467881764</v>
      </c>
      <c r="F3615" s="7"/>
      <c r="G3615" s="7"/>
      <c r="M3615" s="10"/>
      <c r="P3615" s="11"/>
      <c r="Q3615" s="12"/>
    </row>
    <row r="3616" spans="1:17">
      <c r="A3616" s="14">
        <v>43888</v>
      </c>
      <c r="B3616" s="8">
        <v>1330.5137312208954</v>
      </c>
      <c r="F3616" s="7"/>
      <c r="G3616" s="7"/>
      <c r="M3616" s="10"/>
      <c r="P3616" s="11"/>
      <c r="Q3616" s="12"/>
    </row>
    <row r="3617" spans="1:17">
      <c r="A3617" s="14">
        <v>43889</v>
      </c>
      <c r="B3617" s="8">
        <v>1309.6196124643188</v>
      </c>
      <c r="F3617" s="7"/>
      <c r="G3617" s="7"/>
      <c r="M3617" s="10"/>
      <c r="P3617" s="11"/>
      <c r="Q3617" s="12"/>
    </row>
    <row r="3618" spans="1:17">
      <c r="A3618" s="14">
        <v>43892</v>
      </c>
      <c r="B3618" s="8">
        <v>1336.2905259754855</v>
      </c>
      <c r="F3618" s="7"/>
      <c r="G3618" s="7"/>
      <c r="M3618" s="10"/>
      <c r="P3618" s="11"/>
      <c r="Q3618" s="12"/>
    </row>
    <row r="3619" spans="1:17">
      <c r="A3619" s="14">
        <v>43893</v>
      </c>
      <c r="B3619" s="8">
        <v>1316.5776320769648</v>
      </c>
      <c r="F3619" s="7"/>
      <c r="G3619" s="7"/>
      <c r="M3619" s="10"/>
      <c r="P3619" s="11"/>
      <c r="Q3619" s="12"/>
    </row>
    <row r="3620" spans="1:17">
      <c r="A3620" s="14">
        <v>43894</v>
      </c>
      <c r="B3620" s="8">
        <v>1348.0353577440771</v>
      </c>
      <c r="F3620" s="7"/>
      <c r="G3620" s="7"/>
      <c r="M3620" s="10"/>
      <c r="P3620" s="11"/>
      <c r="Q3620" s="12"/>
    </row>
    <row r="3621" spans="1:17">
      <c r="A3621" s="14">
        <v>43895</v>
      </c>
      <c r="B3621" s="8">
        <v>1307.4488913544083</v>
      </c>
      <c r="F3621" s="7"/>
      <c r="G3621" s="7"/>
      <c r="M3621" s="10"/>
      <c r="P3621" s="11"/>
      <c r="Q3621" s="12"/>
    </row>
    <row r="3622" spans="1:17">
      <c r="A3622" s="14">
        <v>43896</v>
      </c>
      <c r="B3622" s="8">
        <v>1264.5603683426068</v>
      </c>
      <c r="F3622" s="7"/>
      <c r="G3622" s="7"/>
      <c r="M3622" s="10"/>
      <c r="P3622" s="11"/>
      <c r="Q3622" s="12"/>
    </row>
    <row r="3623" spans="1:17">
      <c r="A3623" s="14">
        <v>43899</v>
      </c>
      <c r="B3623" s="8">
        <v>1152.7178472013463</v>
      </c>
      <c r="F3623" s="7"/>
      <c r="G3623" s="7"/>
      <c r="M3623" s="10"/>
      <c r="P3623" s="11"/>
      <c r="Q3623" s="12"/>
    </row>
    <row r="3624" spans="1:17">
      <c r="A3624" s="14">
        <v>43900</v>
      </c>
      <c r="B3624" s="8">
        <v>1183.9263097365106</v>
      </c>
      <c r="F3624" s="7"/>
      <c r="G3624" s="7"/>
      <c r="M3624" s="10"/>
      <c r="P3624" s="11"/>
      <c r="Q3624" s="12"/>
    </row>
    <row r="3625" spans="1:17">
      <c r="A3625" s="14">
        <v>43901</v>
      </c>
      <c r="B3625" s="8">
        <v>1155.890291008569</v>
      </c>
      <c r="F3625" s="7"/>
      <c r="G3625" s="7"/>
      <c r="M3625" s="10"/>
      <c r="P3625" s="11"/>
      <c r="Q3625" s="12"/>
    </row>
    <row r="3626" spans="1:17">
      <c r="A3626" s="14">
        <v>43902</v>
      </c>
      <c r="B3626" s="8">
        <v>1017.57926156817</v>
      </c>
      <c r="F3626" s="7"/>
      <c r="G3626" s="7"/>
      <c r="M3626" s="10"/>
      <c r="P3626" s="11"/>
      <c r="Q3626" s="12"/>
    </row>
    <row r="3627" spans="1:17">
      <c r="A3627" s="14">
        <v>43903</v>
      </c>
      <c r="B3627" s="8">
        <v>1077.5229353602983</v>
      </c>
      <c r="F3627" s="7"/>
      <c r="G3627" s="7"/>
      <c r="M3627" s="10"/>
      <c r="P3627" s="11"/>
      <c r="Q3627" s="12"/>
    </row>
    <row r="3628" spans="1:17">
      <c r="A3628" s="14">
        <v>43906</v>
      </c>
      <c r="B3628" s="8">
        <v>953.77551754837316</v>
      </c>
      <c r="F3628" s="7"/>
      <c r="G3628" s="7"/>
      <c r="M3628" s="10"/>
      <c r="P3628" s="11"/>
      <c r="Q3628" s="12"/>
    </row>
    <row r="3629" spans="1:17">
      <c r="A3629" s="14">
        <v>43907</v>
      </c>
      <c r="B3629" s="8">
        <v>997.80442188757081</v>
      </c>
      <c r="F3629" s="7"/>
      <c r="G3629" s="7"/>
      <c r="M3629" s="10"/>
      <c r="P3629" s="11"/>
      <c r="Q3629" s="12"/>
    </row>
    <row r="3630" spans="1:17">
      <c r="A3630" s="14">
        <v>43908</v>
      </c>
      <c r="B3630" s="8">
        <v>929.45046677305754</v>
      </c>
      <c r="F3630" s="7"/>
      <c r="G3630" s="7"/>
      <c r="M3630" s="10"/>
      <c r="P3630" s="11"/>
      <c r="Q3630" s="12"/>
    </row>
    <row r="3631" spans="1:17">
      <c r="A3631" s="14">
        <v>43909</v>
      </c>
      <c r="B3631" s="8">
        <v>951.49300944898994</v>
      </c>
      <c r="F3631" s="7"/>
      <c r="G3631" s="7"/>
      <c r="M3631" s="10"/>
      <c r="P3631" s="11"/>
      <c r="Q3631" s="12"/>
    </row>
    <row r="3632" spans="1:17">
      <c r="A3632" s="14">
        <v>43910</v>
      </c>
      <c r="B3632" s="8">
        <v>956.15098423207371</v>
      </c>
      <c r="F3632" s="7"/>
      <c r="G3632" s="7"/>
      <c r="M3632" s="10"/>
      <c r="P3632" s="11"/>
      <c r="Q3632" s="12"/>
    </row>
    <row r="3633" spans="1:17">
      <c r="A3633" s="14">
        <v>43913</v>
      </c>
      <c r="B3633" s="8">
        <v>942.82527119701763</v>
      </c>
      <c r="F3633" s="7"/>
      <c r="G3633" s="7"/>
      <c r="M3633" s="10"/>
      <c r="P3633" s="11"/>
      <c r="Q3633" s="12"/>
    </row>
    <row r="3634" spans="1:17">
      <c r="A3634" s="14">
        <v>43914</v>
      </c>
      <c r="B3634" s="8">
        <v>1051.1380327495997</v>
      </c>
      <c r="F3634" s="7"/>
      <c r="G3634" s="7"/>
      <c r="M3634" s="10"/>
      <c r="P3634" s="11"/>
      <c r="Q3634" s="12"/>
    </row>
    <row r="3635" spans="1:17">
      <c r="A3635" s="14">
        <v>43915</v>
      </c>
      <c r="B3635" s="8">
        <v>1076.7191665517478</v>
      </c>
      <c r="F3635" s="7"/>
      <c r="G3635" s="7"/>
      <c r="M3635" s="10"/>
      <c r="P3635" s="11"/>
      <c r="Q3635" s="12"/>
    </row>
    <row r="3636" spans="1:17">
      <c r="A3636" s="14">
        <v>43916</v>
      </c>
      <c r="B3636" s="8">
        <v>1119.8201141510233</v>
      </c>
      <c r="F3636" s="7"/>
      <c r="G3636" s="7"/>
      <c r="M3636" s="10"/>
      <c r="P3636" s="11"/>
      <c r="Q3636" s="12"/>
    </row>
    <row r="3637" spans="1:17">
      <c r="A3637" s="14">
        <v>43917</v>
      </c>
      <c r="B3637" s="8">
        <v>1068.2686021816951</v>
      </c>
      <c r="F3637" s="7"/>
      <c r="G3637" s="7"/>
      <c r="M3637" s="10"/>
      <c r="P3637" s="11"/>
      <c r="Q3637" s="12"/>
    </row>
    <row r="3638" spans="1:17">
      <c r="A3638" s="14">
        <v>43920</v>
      </c>
      <c r="B3638" s="8">
        <v>1073.9525098355587</v>
      </c>
      <c r="F3638" s="7"/>
      <c r="G3638" s="7"/>
      <c r="M3638" s="10"/>
      <c r="P3638" s="11"/>
      <c r="Q3638" s="12"/>
    </row>
    <row r="3639" spans="1:17">
      <c r="A3639" s="14">
        <v>43921</v>
      </c>
      <c r="B3639" s="8">
        <v>1066.0785137380119</v>
      </c>
      <c r="F3639" s="7"/>
      <c r="G3639" s="7"/>
      <c r="M3639" s="10"/>
      <c r="P3639" s="11"/>
      <c r="Q3639" s="12"/>
    </row>
    <row r="3640" spans="1:17">
      <c r="A3640" s="14">
        <v>43922</v>
      </c>
      <c r="B3640" s="8">
        <v>1013.467649880732</v>
      </c>
      <c r="F3640" s="7"/>
      <c r="G3640" s="7"/>
      <c r="M3640" s="10"/>
      <c r="P3640" s="11"/>
      <c r="Q3640" s="12"/>
    </row>
    <row r="3641" spans="1:17">
      <c r="A3641" s="14">
        <v>43923</v>
      </c>
      <c r="B3641" s="8">
        <v>1020.2601142471783</v>
      </c>
      <c r="F3641" s="7"/>
      <c r="G3641" s="7"/>
      <c r="M3641" s="10"/>
      <c r="P3641" s="11"/>
      <c r="Q3641" s="12"/>
    </row>
    <row r="3642" spans="1:17">
      <c r="A3642" s="14">
        <v>43924</v>
      </c>
      <c r="B3642" s="8">
        <v>998.90746488273066</v>
      </c>
      <c r="F3642" s="7"/>
      <c r="G3642" s="7"/>
      <c r="M3642" s="10"/>
      <c r="P3642" s="11"/>
      <c r="Q3642" s="12"/>
    </row>
    <row r="3643" spans="1:17">
      <c r="A3643" s="14">
        <v>43927</v>
      </c>
      <c r="B3643" s="8">
        <v>1074.7243876398863</v>
      </c>
      <c r="F3643" s="7"/>
      <c r="G3643" s="7"/>
      <c r="M3643" s="10"/>
      <c r="P3643" s="11"/>
      <c r="Q3643" s="12"/>
    </row>
    <row r="3644" spans="1:17">
      <c r="A3644" s="14">
        <v>43928</v>
      </c>
      <c r="B3644" s="8">
        <v>1088.6806646967048</v>
      </c>
      <c r="F3644" s="7"/>
      <c r="G3644" s="7"/>
      <c r="M3644" s="10"/>
      <c r="P3644" s="11"/>
      <c r="Q3644" s="12"/>
    </row>
    <row r="3645" spans="1:17">
      <c r="A3645" s="14">
        <v>43929</v>
      </c>
      <c r="B3645" s="8">
        <v>1103.6739259915807</v>
      </c>
      <c r="F3645" s="7"/>
      <c r="G3645" s="7"/>
      <c r="M3645" s="10"/>
      <c r="P3645" s="11"/>
      <c r="Q3645" s="12"/>
    </row>
    <row r="3646" spans="1:17">
      <c r="A3646" s="14">
        <v>43930</v>
      </c>
      <c r="B3646" s="8">
        <v>1125.9798123633479</v>
      </c>
      <c r="F3646" s="7"/>
      <c r="G3646" s="7"/>
      <c r="M3646" s="10"/>
      <c r="P3646" s="11"/>
      <c r="Q3646" s="12"/>
    </row>
    <row r="3647" spans="1:17">
      <c r="A3647" s="14">
        <v>43931</v>
      </c>
      <c r="B3647" s="8">
        <v>1125.5981196859148</v>
      </c>
      <c r="F3647" s="7"/>
      <c r="G3647" s="7"/>
      <c r="M3647" s="10"/>
      <c r="P3647" s="11"/>
      <c r="Q3647" s="12"/>
    </row>
    <row r="3648" spans="1:17">
      <c r="A3648" s="14">
        <v>43934</v>
      </c>
      <c r="B3648" s="8">
        <v>1123.4744442184442</v>
      </c>
      <c r="F3648" s="7"/>
      <c r="G3648" s="7"/>
      <c r="M3648" s="10"/>
      <c r="P3648" s="11"/>
      <c r="Q3648" s="12"/>
    </row>
    <row r="3649" spans="1:17">
      <c r="A3649" s="14">
        <v>43935</v>
      </c>
      <c r="B3649" s="8">
        <v>1138.4605848535671</v>
      </c>
      <c r="F3649" s="7"/>
      <c r="G3649" s="7"/>
      <c r="M3649" s="10"/>
      <c r="P3649" s="11"/>
      <c r="Q3649" s="12"/>
    </row>
    <row r="3650" spans="1:17">
      <c r="A3650" s="14">
        <v>43936</v>
      </c>
      <c r="B3650" s="8">
        <v>1095.0211674520019</v>
      </c>
      <c r="F3650" s="7"/>
      <c r="G3650" s="7"/>
      <c r="M3650" s="10"/>
      <c r="P3650" s="11"/>
      <c r="Q3650" s="12"/>
    </row>
    <row r="3651" spans="1:17">
      <c r="A3651" s="14">
        <v>43937</v>
      </c>
      <c r="B3651" s="8">
        <v>1098.7944282004785</v>
      </c>
      <c r="F3651" s="7"/>
      <c r="G3651" s="7"/>
      <c r="M3651" s="10"/>
      <c r="P3651" s="11"/>
      <c r="Q3651" s="12"/>
    </row>
    <row r="3652" spans="1:17">
      <c r="A3652" s="14">
        <v>43938</v>
      </c>
      <c r="B3652" s="8">
        <v>1131.3626357196829</v>
      </c>
      <c r="F3652" s="7"/>
      <c r="G3652" s="7"/>
      <c r="M3652" s="10"/>
      <c r="P3652" s="11"/>
      <c r="Q3652" s="12"/>
    </row>
    <row r="3653" spans="1:17">
      <c r="A3653" s="14">
        <v>43941</v>
      </c>
      <c r="B3653" s="8">
        <v>1123.261574044958</v>
      </c>
      <c r="F3653" s="7"/>
      <c r="G3653" s="7"/>
      <c r="M3653" s="10"/>
      <c r="P3653" s="11"/>
      <c r="Q3653" s="12"/>
    </row>
    <row r="3654" spans="1:17">
      <c r="A3654" s="14">
        <v>43942</v>
      </c>
      <c r="B3654" s="8">
        <v>1071.4470477937916</v>
      </c>
      <c r="F3654" s="7"/>
      <c r="G3654" s="7"/>
      <c r="M3654" s="10"/>
      <c r="P3654" s="11"/>
      <c r="Q3654" s="12"/>
    </row>
    <row r="3655" spans="1:17">
      <c r="A3655" s="14">
        <v>43943</v>
      </c>
      <c r="B3655" s="8">
        <v>1101.3580921195082</v>
      </c>
      <c r="F3655" s="7"/>
      <c r="G3655" s="7"/>
      <c r="M3655" s="10"/>
      <c r="P3655" s="11"/>
      <c r="Q3655" s="12"/>
    </row>
    <row r="3656" spans="1:17">
      <c r="A3656" s="14">
        <v>43944</v>
      </c>
      <c r="B3656" s="8">
        <v>1105.6474609308698</v>
      </c>
      <c r="F3656" s="7"/>
      <c r="G3656" s="7"/>
      <c r="M3656" s="10"/>
      <c r="P3656" s="11"/>
      <c r="Q3656" s="12"/>
    </row>
    <row r="3657" spans="1:17">
      <c r="A3657" s="14">
        <v>43945</v>
      </c>
      <c r="B3657" s="8">
        <v>1101.0776832948909</v>
      </c>
      <c r="F3657" s="7"/>
      <c r="G3657" s="7"/>
      <c r="M3657" s="10"/>
      <c r="P3657" s="11"/>
      <c r="Q3657" s="12"/>
    </row>
    <row r="3658" spans="1:17">
      <c r="A3658" s="14">
        <v>43948</v>
      </c>
      <c r="B3658" s="8">
        <v>1136.2303191532183</v>
      </c>
      <c r="F3658" s="7"/>
      <c r="G3658" s="7"/>
      <c r="M3658" s="10"/>
      <c r="P3658" s="11"/>
      <c r="Q3658" s="12"/>
    </row>
    <row r="3659" spans="1:17">
      <c r="A3659" s="14">
        <v>43949</v>
      </c>
      <c r="B3659" s="8">
        <v>1149.3585559348387</v>
      </c>
      <c r="F3659" s="7"/>
      <c r="G3659" s="7"/>
      <c r="M3659" s="10"/>
      <c r="P3659" s="11"/>
      <c r="Q3659" s="12"/>
    </row>
    <row r="3660" spans="1:17">
      <c r="A3660" s="14">
        <v>43950</v>
      </c>
      <c r="B3660" s="8">
        <v>1189.0726366194378</v>
      </c>
      <c r="F3660" s="7"/>
      <c r="G3660" s="7"/>
      <c r="M3660" s="10"/>
      <c r="P3660" s="11"/>
      <c r="Q3660" s="12"/>
    </row>
    <row r="3661" spans="1:17">
      <c r="A3661" s="14">
        <v>43951</v>
      </c>
      <c r="B3661" s="8">
        <v>1159.8188590280308</v>
      </c>
      <c r="F3661" s="7"/>
      <c r="G3661" s="7"/>
      <c r="M3661" s="10"/>
      <c r="P3661" s="11"/>
      <c r="Q3661" s="12"/>
    </row>
    <row r="3662" spans="1:17">
      <c r="A3662" s="14">
        <v>43952</v>
      </c>
      <c r="B3662" s="8">
        <v>1138.4752768797664</v>
      </c>
      <c r="F3662" s="7"/>
      <c r="G3662" s="7"/>
      <c r="M3662" s="10"/>
      <c r="P3662" s="11"/>
      <c r="Q3662" s="12"/>
    </row>
    <row r="3663" spans="1:17">
      <c r="A3663" s="14">
        <v>43955</v>
      </c>
      <c r="B3663" s="8">
        <v>1119.0004523217053</v>
      </c>
      <c r="F3663" s="7"/>
      <c r="G3663" s="7"/>
      <c r="M3663" s="10"/>
      <c r="P3663" s="11"/>
      <c r="Q3663" s="12"/>
    </row>
    <row r="3664" spans="1:17">
      <c r="A3664" s="14">
        <v>43956</v>
      </c>
      <c r="B3664" s="8">
        <v>1142.5175443459889</v>
      </c>
      <c r="F3664" s="7"/>
      <c r="G3664" s="7"/>
      <c r="M3664" s="10"/>
      <c r="P3664" s="11"/>
      <c r="Q3664" s="12"/>
    </row>
    <row r="3665" spans="1:17">
      <c r="A3665" s="14">
        <v>43957</v>
      </c>
      <c r="B3665" s="8">
        <v>1132.3844690164613</v>
      </c>
      <c r="F3665" s="7"/>
      <c r="G3665" s="7"/>
      <c r="M3665" s="10"/>
      <c r="P3665" s="11"/>
      <c r="Q3665" s="12"/>
    </row>
    <row r="3666" spans="1:17">
      <c r="A3666" s="14">
        <v>43958</v>
      </c>
      <c r="B3666" s="8">
        <v>1149.763523451174</v>
      </c>
      <c r="F3666" s="7"/>
      <c r="G3666" s="7"/>
      <c r="M3666" s="10"/>
      <c r="P3666" s="11"/>
      <c r="Q3666" s="12"/>
    </row>
    <row r="3667" spans="1:17">
      <c r="A3667" s="14">
        <v>43959</v>
      </c>
      <c r="B3667" s="8">
        <v>1168.4533814107879</v>
      </c>
      <c r="F3667" s="7"/>
      <c r="G3667" s="7"/>
      <c r="M3667" s="10"/>
      <c r="P3667" s="11"/>
      <c r="Q3667" s="12"/>
    </row>
    <row r="3668" spans="1:17">
      <c r="A3668" s="14">
        <v>43962</v>
      </c>
      <c r="B3668" s="8">
        <v>1161.2332894489707</v>
      </c>
      <c r="F3668" s="7"/>
      <c r="G3668" s="7"/>
      <c r="M3668" s="10"/>
      <c r="P3668" s="11"/>
      <c r="Q3668" s="12"/>
    </row>
    <row r="3669" spans="1:17">
      <c r="A3669" s="14">
        <v>43963</v>
      </c>
      <c r="B3669" s="8">
        <v>1150.5031462622123</v>
      </c>
      <c r="F3669" s="7"/>
      <c r="G3669" s="7"/>
      <c r="M3669" s="10"/>
      <c r="P3669" s="11"/>
      <c r="Q3669" s="12"/>
    </row>
    <row r="3670" spans="1:17">
      <c r="A3670" s="14">
        <v>43964</v>
      </c>
      <c r="B3670" s="8">
        <v>1124.3427769505465</v>
      </c>
      <c r="F3670" s="7"/>
      <c r="G3670" s="7"/>
      <c r="M3670" s="10"/>
      <c r="P3670" s="11"/>
      <c r="Q3670" s="12"/>
    </row>
    <row r="3671" spans="1:17">
      <c r="A3671" s="14">
        <v>43965</v>
      </c>
      <c r="B3671" s="8">
        <v>1122.2031644003025</v>
      </c>
      <c r="F3671" s="7"/>
      <c r="G3671" s="7"/>
      <c r="M3671" s="10"/>
      <c r="P3671" s="11"/>
      <c r="Q3671" s="12"/>
    </row>
    <row r="3672" spans="1:17">
      <c r="A3672" s="14">
        <v>43966</v>
      </c>
      <c r="B3672" s="8">
        <v>1127.0352034286841</v>
      </c>
      <c r="F3672" s="7"/>
      <c r="G3672" s="7"/>
      <c r="M3672" s="10"/>
      <c r="P3672" s="11"/>
      <c r="Q3672" s="12"/>
    </row>
    <row r="3673" spans="1:17">
      <c r="A3673" s="14">
        <v>43969</v>
      </c>
      <c r="B3673" s="8">
        <v>1179.4080719122544</v>
      </c>
      <c r="F3673" s="7"/>
      <c r="G3673" s="7"/>
      <c r="M3673" s="10"/>
      <c r="P3673" s="11"/>
      <c r="Q3673" s="12"/>
    </row>
    <row r="3674" spans="1:17">
      <c r="A3674" s="14">
        <v>43970</v>
      </c>
      <c r="B3674" s="8">
        <v>1168.5041086007141</v>
      </c>
      <c r="F3674" s="7"/>
      <c r="G3674" s="7"/>
      <c r="M3674" s="10"/>
      <c r="P3674" s="11"/>
      <c r="Q3674" s="12"/>
    </row>
    <row r="3675" spans="1:17">
      <c r="A3675" s="14">
        <v>43971</v>
      </c>
      <c r="B3675" s="8">
        <v>1190.6060681028475</v>
      </c>
      <c r="F3675" s="7"/>
      <c r="G3675" s="7"/>
      <c r="M3675" s="10"/>
      <c r="P3675" s="11"/>
      <c r="Q3675" s="12"/>
    </row>
    <row r="3676" spans="1:17">
      <c r="A3676" s="14">
        <v>43972</v>
      </c>
      <c r="B3676" s="8">
        <v>1178.4741607598778</v>
      </c>
      <c r="F3676" s="7"/>
      <c r="G3676" s="7"/>
      <c r="M3676" s="10"/>
      <c r="P3676" s="11"/>
      <c r="Q3676" s="12"/>
    </row>
    <row r="3677" spans="1:17">
      <c r="A3677" s="14">
        <v>43973</v>
      </c>
      <c r="B3677" s="8">
        <v>1184.1150188178628</v>
      </c>
      <c r="F3677" s="7"/>
      <c r="G3677" s="7"/>
      <c r="M3677" s="10"/>
      <c r="P3677" s="11"/>
      <c r="Q3677" s="12"/>
    </row>
    <row r="3678" spans="1:17">
      <c r="A3678" s="14">
        <v>43976</v>
      </c>
      <c r="B3678" s="8">
        <v>1192.418749294719</v>
      </c>
      <c r="F3678" s="7"/>
      <c r="G3678" s="7"/>
      <c r="M3678" s="10"/>
      <c r="P3678" s="11"/>
      <c r="Q3678" s="12"/>
    </row>
    <row r="3679" spans="1:17">
      <c r="A3679" s="14">
        <v>43977</v>
      </c>
      <c r="B3679" s="8">
        <v>1216.8927589720658</v>
      </c>
      <c r="F3679" s="7"/>
      <c r="G3679" s="7"/>
      <c r="M3679" s="10"/>
      <c r="P3679" s="11"/>
      <c r="Q3679" s="12"/>
    </row>
    <row r="3680" spans="1:17">
      <c r="A3680" s="14">
        <v>43978</v>
      </c>
      <c r="B3680" s="8">
        <v>1236.678054133198</v>
      </c>
      <c r="F3680" s="7"/>
      <c r="G3680" s="7"/>
      <c r="M3680" s="10"/>
      <c r="P3680" s="11"/>
      <c r="Q3680" s="12"/>
    </row>
    <row r="3681" spans="1:17">
      <c r="A3681" s="14">
        <v>43979</v>
      </c>
      <c r="B3681" s="8">
        <v>1236.2971182143388</v>
      </c>
      <c r="F3681" s="7"/>
      <c r="G3681" s="7"/>
      <c r="M3681" s="10"/>
      <c r="P3681" s="11"/>
      <c r="Q3681" s="12"/>
    </row>
    <row r="3682" spans="1:17">
      <c r="A3682" s="14">
        <v>43980</v>
      </c>
      <c r="B3682" s="8">
        <v>1235.4261927607747</v>
      </c>
      <c r="F3682" s="7"/>
      <c r="G3682" s="7"/>
      <c r="M3682" s="10"/>
      <c r="P3682" s="11"/>
      <c r="Q3682" s="12"/>
    </row>
    <row r="3683" spans="1:17">
      <c r="A3683" s="14">
        <v>43983</v>
      </c>
      <c r="B3683" s="8">
        <v>1247.3960425493012</v>
      </c>
      <c r="F3683" s="7"/>
      <c r="G3683" s="7"/>
      <c r="M3683" s="10"/>
      <c r="P3683" s="11"/>
      <c r="Q3683" s="12"/>
    </row>
    <row r="3684" spans="1:17">
      <c r="A3684" s="14">
        <v>43984</v>
      </c>
      <c r="B3684" s="8">
        <v>1268.9286325508729</v>
      </c>
      <c r="F3684" s="7"/>
      <c r="G3684" s="7"/>
      <c r="M3684" s="10"/>
      <c r="P3684" s="11"/>
      <c r="Q3684" s="12"/>
    </row>
    <row r="3685" spans="1:17">
      <c r="A3685" s="14">
        <v>43985</v>
      </c>
      <c r="B3685" s="8">
        <v>1300.5297646047427</v>
      </c>
      <c r="F3685" s="7"/>
      <c r="G3685" s="7"/>
      <c r="M3685" s="10"/>
      <c r="P3685" s="11"/>
      <c r="Q3685" s="12"/>
    </row>
    <row r="3686" spans="1:17">
      <c r="A3686" s="14">
        <v>43986</v>
      </c>
      <c r="B3686" s="8">
        <v>1298.0700214389915</v>
      </c>
      <c r="F3686" s="7"/>
      <c r="G3686" s="7"/>
      <c r="M3686" s="10"/>
      <c r="P3686" s="11"/>
      <c r="Q3686" s="12"/>
    </row>
    <row r="3687" spans="1:17">
      <c r="A3687" s="14">
        <v>43987</v>
      </c>
      <c r="B3687" s="8">
        <v>1350.4125027987468</v>
      </c>
      <c r="F3687" s="7"/>
      <c r="G3687" s="7"/>
      <c r="M3687" s="10"/>
      <c r="P3687" s="11"/>
      <c r="Q3687" s="12"/>
    </row>
    <row r="3688" spans="1:17">
      <c r="A3688" s="14">
        <v>43990</v>
      </c>
      <c r="B3688" s="8">
        <v>1357.2949556126152</v>
      </c>
      <c r="F3688" s="7"/>
      <c r="G3688" s="7"/>
      <c r="M3688" s="10"/>
      <c r="P3688" s="11"/>
      <c r="Q3688" s="12"/>
    </row>
    <row r="3689" spans="1:17">
      <c r="A3689" s="14">
        <v>43991</v>
      </c>
      <c r="B3689" s="8">
        <v>1337.7731512032035</v>
      </c>
      <c r="F3689" s="7"/>
      <c r="G3689" s="7"/>
      <c r="M3689" s="10"/>
      <c r="P3689" s="11"/>
      <c r="Q3689" s="12"/>
    </row>
    <row r="3690" spans="1:17">
      <c r="A3690" s="14">
        <v>43992</v>
      </c>
      <c r="B3690" s="8">
        <v>1331.857037874842</v>
      </c>
      <c r="F3690" s="7"/>
      <c r="G3690" s="7"/>
      <c r="M3690" s="10"/>
      <c r="P3690" s="11"/>
      <c r="Q3690" s="12"/>
    </row>
    <row r="3691" spans="1:17">
      <c r="A3691" s="14">
        <v>43993</v>
      </c>
      <c r="B3691" s="8">
        <v>1251.3801141388792</v>
      </c>
      <c r="F3691" s="7"/>
      <c r="G3691" s="7"/>
      <c r="M3691" s="10"/>
      <c r="P3691" s="11"/>
      <c r="Q3691" s="12"/>
    </row>
    <row r="3692" spans="1:17">
      <c r="A3692" s="14">
        <v>43994</v>
      </c>
      <c r="B3692" s="8">
        <v>1262.7709511550238</v>
      </c>
      <c r="F3692" s="7"/>
      <c r="G3692" s="7"/>
      <c r="M3692" s="10"/>
      <c r="P3692" s="11"/>
      <c r="Q3692" s="12"/>
    </row>
    <row r="3693" spans="1:17">
      <c r="A3693" s="14">
        <v>43997</v>
      </c>
      <c r="B3693" s="8">
        <v>1263.7147829603043</v>
      </c>
      <c r="F3693" s="7"/>
      <c r="G3693" s="7"/>
      <c r="M3693" s="10"/>
      <c r="P3693" s="11"/>
      <c r="Q3693" s="12"/>
    </row>
    <row r="3694" spans="1:17">
      <c r="A3694" s="14">
        <v>43998</v>
      </c>
      <c r="B3694" s="8">
        <v>1295.9479712935765</v>
      </c>
      <c r="F3694" s="7"/>
      <c r="G3694" s="7"/>
      <c r="M3694" s="10"/>
      <c r="P3694" s="11"/>
      <c r="Q3694" s="12"/>
    </row>
    <row r="3695" spans="1:17">
      <c r="A3695" s="14">
        <v>43999</v>
      </c>
      <c r="B3695" s="8">
        <v>1300.093690696066</v>
      </c>
      <c r="F3695" s="7"/>
      <c r="G3695" s="7"/>
      <c r="M3695" s="10"/>
      <c r="P3695" s="11"/>
      <c r="Q3695" s="12"/>
    </row>
    <row r="3696" spans="1:17">
      <c r="A3696" s="14">
        <v>44000</v>
      </c>
      <c r="B3696" s="8">
        <v>1295.7031372989109</v>
      </c>
      <c r="F3696" s="7"/>
      <c r="G3696" s="7"/>
      <c r="M3696" s="10"/>
      <c r="P3696" s="11"/>
      <c r="Q3696" s="12"/>
    </row>
    <row r="3697" spans="1:17">
      <c r="A3697" s="14">
        <v>44001</v>
      </c>
      <c r="B3697" s="8">
        <v>1292.1384968623343</v>
      </c>
      <c r="F3697" s="7"/>
      <c r="G3697" s="7"/>
      <c r="M3697" s="10"/>
      <c r="P3697" s="11"/>
      <c r="Q3697" s="12"/>
    </row>
    <row r="3698" spans="1:17">
      <c r="A3698" s="14">
        <v>44004</v>
      </c>
      <c r="B3698" s="8">
        <v>1293.2753801204146</v>
      </c>
      <c r="F3698" s="7"/>
      <c r="G3698" s="7"/>
      <c r="M3698" s="10"/>
      <c r="P3698" s="11"/>
      <c r="Q3698" s="12"/>
    </row>
    <row r="3699" spans="1:17">
      <c r="A3699" s="14">
        <v>44005</v>
      </c>
      <c r="B3699" s="8">
        <v>1309.8390935959671</v>
      </c>
      <c r="F3699" s="7"/>
      <c r="G3699" s="7"/>
      <c r="M3699" s="10"/>
      <c r="P3699" s="11"/>
      <c r="Q3699" s="12"/>
    </row>
    <row r="3700" spans="1:17">
      <c r="A3700" s="14">
        <v>44006</v>
      </c>
      <c r="B3700" s="8">
        <v>1270.6280745289605</v>
      </c>
      <c r="F3700" s="7"/>
      <c r="G3700" s="7"/>
      <c r="M3700" s="10"/>
      <c r="P3700" s="11"/>
      <c r="Q3700" s="12"/>
    </row>
    <row r="3701" spans="1:17">
      <c r="A3701" s="14">
        <v>44007</v>
      </c>
      <c r="B3701" s="8">
        <v>1287.6622103263223</v>
      </c>
      <c r="F3701" s="7"/>
      <c r="G3701" s="7"/>
      <c r="M3701" s="10"/>
      <c r="P3701" s="11"/>
      <c r="Q3701" s="12"/>
    </row>
    <row r="3702" spans="1:17">
      <c r="A3702" s="14">
        <v>44008</v>
      </c>
      <c r="B3702" s="8">
        <v>1263.8073521933136</v>
      </c>
      <c r="F3702" s="7"/>
      <c r="G3702" s="7"/>
      <c r="M3702" s="10"/>
      <c r="P3702" s="11"/>
      <c r="Q3702" s="12"/>
    </row>
    <row r="3703" spans="1:17">
      <c r="A3703" s="14">
        <v>44011</v>
      </c>
      <c r="B3703" s="8">
        <v>1281.3599646715436</v>
      </c>
      <c r="F3703" s="7"/>
      <c r="G3703" s="7"/>
      <c r="M3703" s="10"/>
      <c r="P3703" s="11"/>
      <c r="Q3703" s="12"/>
    </row>
    <row r="3704" spans="1:17">
      <c r="A3704" s="14">
        <v>44012</v>
      </c>
      <c r="B3704" s="8">
        <v>1294.8455203035448</v>
      </c>
      <c r="F3704" s="7"/>
      <c r="G3704" s="7"/>
      <c r="M3704" s="10"/>
      <c r="P3704" s="11"/>
      <c r="Q3704" s="12"/>
    </row>
    <row r="3705" spans="1:17">
      <c r="A3705" s="14">
        <v>44013</v>
      </c>
      <c r="B3705" s="8">
        <v>1295.0698687766858</v>
      </c>
      <c r="F3705" s="7"/>
      <c r="G3705" s="7"/>
      <c r="M3705" s="10"/>
      <c r="P3705" s="11"/>
      <c r="Q3705" s="12"/>
    </row>
    <row r="3706" spans="1:17">
      <c r="A3706" s="14">
        <v>44014</v>
      </c>
      <c r="B3706" s="8">
        <v>1321.1800202678889</v>
      </c>
      <c r="F3706" s="7"/>
      <c r="G3706" s="7"/>
      <c r="M3706" s="10"/>
      <c r="P3706" s="11"/>
      <c r="Q3706" s="12"/>
    </row>
    <row r="3707" spans="1:17">
      <c r="A3707" s="14">
        <v>44015</v>
      </c>
      <c r="B3707" s="8">
        <v>1315.9241777955535</v>
      </c>
      <c r="F3707" s="7"/>
      <c r="G3707" s="7"/>
      <c r="M3707" s="10"/>
      <c r="P3707" s="11"/>
      <c r="Q3707" s="12"/>
    </row>
    <row r="3708" spans="1:17">
      <c r="A3708" s="14">
        <v>44018</v>
      </c>
      <c r="B3708" s="8">
        <v>1347.4643758122181</v>
      </c>
      <c r="F3708" s="7"/>
      <c r="G3708" s="7"/>
      <c r="M3708" s="10"/>
      <c r="P3708" s="11"/>
      <c r="Q3708" s="12"/>
    </row>
    <row r="3709" spans="1:17">
      <c r="A3709" s="14">
        <v>44019</v>
      </c>
      <c r="B3709" s="8">
        <v>1333.1967034313823</v>
      </c>
      <c r="F3709" s="7"/>
      <c r="G3709" s="7"/>
      <c r="M3709" s="10"/>
      <c r="P3709" s="11"/>
      <c r="Q3709" s="12"/>
    </row>
    <row r="3710" spans="1:17">
      <c r="A3710" s="14">
        <v>44020</v>
      </c>
      <c r="B3710" s="8">
        <v>1330.6843515300852</v>
      </c>
      <c r="F3710" s="7"/>
      <c r="G3710" s="7"/>
      <c r="M3710" s="10"/>
      <c r="P3710" s="11"/>
      <c r="Q3710" s="12"/>
    </row>
    <row r="3711" spans="1:17">
      <c r="A3711" s="14">
        <v>44021</v>
      </c>
      <c r="B3711" s="8">
        <v>1322.1369166119769</v>
      </c>
      <c r="F3711" s="7"/>
      <c r="G3711" s="7"/>
      <c r="M3711" s="10"/>
      <c r="P3711" s="11"/>
      <c r="Q3711" s="12"/>
    </row>
    <row r="3712" spans="1:17">
      <c r="A3712" s="14">
        <v>44022</v>
      </c>
      <c r="B3712" s="8">
        <v>1348.4127658465154</v>
      </c>
      <c r="F3712" s="7"/>
      <c r="G3712" s="7"/>
      <c r="M3712" s="10"/>
      <c r="P3712" s="11"/>
      <c r="Q3712" s="12"/>
    </row>
    <row r="3713" spans="1:17">
      <c r="A3713" s="14">
        <v>44025</v>
      </c>
      <c r="B3713" s="8">
        <v>1344.4962562846417</v>
      </c>
      <c r="F3713" s="7"/>
      <c r="G3713" s="7"/>
      <c r="M3713" s="10"/>
      <c r="P3713" s="11"/>
      <c r="Q3713" s="12"/>
    </row>
    <row r="3714" spans="1:17">
      <c r="A3714" s="14">
        <v>44026</v>
      </c>
      <c r="B3714" s="8">
        <v>1338.2807676656903</v>
      </c>
      <c r="F3714" s="7"/>
      <c r="G3714" s="7"/>
      <c r="M3714" s="10"/>
      <c r="P3714" s="11"/>
      <c r="Q3714" s="12"/>
    </row>
    <row r="3715" spans="1:17">
      <c r="A3715" s="14">
        <v>44027</v>
      </c>
      <c r="B3715" s="8">
        <v>1358.4146686679235</v>
      </c>
      <c r="F3715" s="7"/>
      <c r="G3715" s="7"/>
      <c r="M3715" s="10"/>
      <c r="P3715" s="11"/>
      <c r="Q3715" s="12"/>
    </row>
    <row r="3716" spans="1:17">
      <c r="A3716" s="14">
        <v>44028</v>
      </c>
      <c r="B3716" s="8">
        <v>1352.2738984370724</v>
      </c>
      <c r="F3716" s="7"/>
      <c r="G3716" s="7"/>
      <c r="M3716" s="10"/>
      <c r="P3716" s="11"/>
      <c r="Q3716" s="12"/>
    </row>
    <row r="3717" spans="1:17">
      <c r="A3717" s="14">
        <v>44029</v>
      </c>
      <c r="B3717" s="8">
        <v>1350.8406861681074</v>
      </c>
      <c r="F3717" s="7"/>
      <c r="G3717" s="7"/>
      <c r="M3717" s="10"/>
      <c r="P3717" s="11"/>
      <c r="Q3717" s="12"/>
    </row>
    <row r="3718" spans="1:17">
      <c r="A3718" s="14">
        <v>44032</v>
      </c>
      <c r="B3718" s="8">
        <v>1367.1547314681106</v>
      </c>
      <c r="F3718" s="7"/>
      <c r="G3718" s="7"/>
      <c r="M3718" s="10"/>
      <c r="P3718" s="11"/>
      <c r="Q3718" s="12"/>
    </row>
    <row r="3719" spans="1:17">
      <c r="A3719" s="14">
        <v>44033</v>
      </c>
      <c r="B3719" s="8">
        <v>1370.9383401092332</v>
      </c>
      <c r="F3719" s="7"/>
      <c r="G3719" s="7"/>
      <c r="M3719" s="10"/>
      <c r="P3719" s="11"/>
      <c r="Q3719" s="12"/>
    </row>
    <row r="3720" spans="1:17">
      <c r="A3720" s="14">
        <v>44034</v>
      </c>
      <c r="B3720" s="8">
        <v>1366.6858454510325</v>
      </c>
      <c r="F3720" s="7"/>
      <c r="G3720" s="7"/>
      <c r="M3720" s="10"/>
      <c r="P3720" s="11"/>
      <c r="Q3720" s="12"/>
    </row>
    <row r="3721" spans="1:17">
      <c r="A3721" s="14">
        <v>44035</v>
      </c>
      <c r="B3721" s="8">
        <v>1351.5910146597064</v>
      </c>
      <c r="F3721" s="7"/>
      <c r="G3721" s="7"/>
      <c r="M3721" s="10"/>
      <c r="P3721" s="11"/>
      <c r="Q3721" s="12"/>
    </row>
    <row r="3722" spans="1:17">
      <c r="A3722" s="14">
        <v>44036</v>
      </c>
      <c r="B3722" s="8">
        <v>1332.2742498380157</v>
      </c>
      <c r="F3722" s="7"/>
      <c r="G3722" s="7"/>
      <c r="M3722" s="10"/>
      <c r="P3722" s="11"/>
      <c r="Q3722" s="12"/>
    </row>
    <row r="3723" spans="1:17">
      <c r="A3723" s="14">
        <v>44039</v>
      </c>
      <c r="B3723" s="8">
        <v>1338.7413216115167</v>
      </c>
      <c r="F3723" s="7"/>
      <c r="G3723" s="7"/>
      <c r="M3723" s="10"/>
      <c r="P3723" s="11"/>
      <c r="Q3723" s="12"/>
    </row>
    <row r="3724" spans="1:17">
      <c r="A3724" s="14">
        <v>44040</v>
      </c>
      <c r="B3724" s="8">
        <v>1330.3412527025912</v>
      </c>
      <c r="F3724" s="7"/>
      <c r="G3724" s="7"/>
      <c r="M3724" s="10"/>
      <c r="P3724" s="11"/>
      <c r="Q3724" s="12"/>
    </row>
    <row r="3725" spans="1:17">
      <c r="A3725" s="14">
        <v>44041</v>
      </c>
      <c r="B3725" s="8">
        <v>1332.0589284849543</v>
      </c>
      <c r="F3725" s="7"/>
      <c r="G3725" s="7"/>
      <c r="M3725" s="10"/>
      <c r="P3725" s="11"/>
      <c r="Q3725" s="12"/>
    </row>
    <row r="3726" spans="1:17">
      <c r="A3726" s="14">
        <v>44042</v>
      </c>
      <c r="B3726" s="8">
        <v>1306.7611618037806</v>
      </c>
      <c r="F3726" s="7"/>
      <c r="G3726" s="7"/>
      <c r="M3726" s="10"/>
      <c r="P3726" s="11"/>
      <c r="Q3726" s="12"/>
    </row>
    <row r="3727" spans="1:17">
      <c r="A3727" s="14">
        <v>44043</v>
      </c>
      <c r="B3727" s="8">
        <v>1293.9275329270661</v>
      </c>
      <c r="F3727" s="7"/>
      <c r="G3727" s="7"/>
      <c r="M3727" s="10"/>
      <c r="P3727" s="11"/>
      <c r="Q3727" s="12"/>
    </row>
    <row r="3728" spans="1:17">
      <c r="A3728" s="14">
        <v>44046</v>
      </c>
      <c r="B3728" s="8">
        <v>1314.8301838271889</v>
      </c>
      <c r="F3728" s="7"/>
      <c r="G3728" s="7"/>
      <c r="M3728" s="10"/>
      <c r="P3728" s="11"/>
      <c r="Q3728" s="12"/>
    </row>
    <row r="3729" spans="1:17">
      <c r="A3729" s="14">
        <v>44047</v>
      </c>
      <c r="B3729" s="8">
        <v>1325.4919724003694</v>
      </c>
      <c r="F3729" s="7"/>
      <c r="G3729" s="7"/>
      <c r="M3729" s="10"/>
      <c r="P3729" s="11"/>
      <c r="Q3729" s="12"/>
    </row>
    <row r="3730" spans="1:17">
      <c r="A3730" s="14">
        <v>44048</v>
      </c>
      <c r="B3730" s="8">
        <v>1323.678706542134</v>
      </c>
      <c r="F3730" s="7"/>
      <c r="G3730" s="7"/>
      <c r="M3730" s="10"/>
      <c r="P3730" s="11"/>
      <c r="Q3730" s="12"/>
    </row>
    <row r="3731" spans="1:17">
      <c r="A3731" s="14">
        <v>44049</v>
      </c>
      <c r="B3731" s="8">
        <v>1324.4489749328256</v>
      </c>
      <c r="F3731" s="7"/>
      <c r="G3731" s="7"/>
      <c r="M3731" s="10"/>
      <c r="P3731" s="11"/>
      <c r="Q3731" s="12"/>
    </row>
    <row r="3732" spans="1:17">
      <c r="A3732" s="14">
        <v>44050</v>
      </c>
      <c r="B3732" s="8">
        <v>1322.4063018893034</v>
      </c>
      <c r="F3732" s="7"/>
      <c r="G3732" s="7"/>
      <c r="M3732" s="10"/>
      <c r="P3732" s="11"/>
      <c r="Q3732" s="12"/>
    </row>
    <row r="3733" spans="1:17">
      <c r="A3733" s="14">
        <v>44053</v>
      </c>
      <c r="B3733" s="8">
        <v>1319.0068787158095</v>
      </c>
      <c r="F3733" s="7"/>
      <c r="G3733" s="7"/>
      <c r="M3733" s="10"/>
      <c r="P3733" s="11"/>
      <c r="Q3733" s="12"/>
    </row>
    <row r="3734" spans="1:17">
      <c r="A3734" s="14">
        <v>44054</v>
      </c>
      <c r="B3734" s="8">
        <v>1337.6773395261914</v>
      </c>
      <c r="F3734" s="7"/>
      <c r="G3734" s="7"/>
      <c r="M3734" s="10"/>
      <c r="P3734" s="11"/>
      <c r="Q3734" s="12"/>
    </row>
    <row r="3735" spans="1:17">
      <c r="A3735" s="14">
        <v>44055</v>
      </c>
      <c r="B3735" s="8">
        <v>1357.6955878409788</v>
      </c>
      <c r="F3735" s="7"/>
      <c r="G3735" s="7"/>
      <c r="M3735" s="10"/>
      <c r="P3735" s="11"/>
      <c r="Q3735" s="12"/>
    </row>
    <row r="3736" spans="1:17">
      <c r="A3736" s="14">
        <v>44056</v>
      </c>
      <c r="B3736" s="8">
        <v>1353.1534796352291</v>
      </c>
      <c r="F3736" s="7"/>
      <c r="G3736" s="7"/>
      <c r="M3736" s="10"/>
      <c r="P3736" s="11"/>
      <c r="Q3736" s="12"/>
    </row>
    <row r="3737" spans="1:17">
      <c r="A3737" s="14">
        <v>44057</v>
      </c>
      <c r="B3737" s="8">
        <v>1344.5400165044737</v>
      </c>
      <c r="F3737" s="7"/>
      <c r="G3737" s="7"/>
      <c r="M3737" s="10"/>
      <c r="P3737" s="11"/>
      <c r="Q3737" s="12"/>
    </row>
    <row r="3738" spans="1:17">
      <c r="A3738" s="14">
        <v>44060</v>
      </c>
      <c r="B3738" s="8">
        <v>1353.3272948347862</v>
      </c>
      <c r="F3738" s="7"/>
      <c r="G3738" s="7"/>
      <c r="M3738" s="10"/>
      <c r="P3738" s="11"/>
      <c r="Q3738" s="12"/>
    </row>
    <row r="3739" spans="1:17">
      <c r="A3739" s="14">
        <v>44061</v>
      </c>
      <c r="B3739" s="8">
        <v>1350.6803167125329</v>
      </c>
      <c r="F3739" s="7"/>
      <c r="G3739" s="7"/>
      <c r="M3739" s="10"/>
      <c r="P3739" s="11"/>
      <c r="Q3739" s="12"/>
    </row>
    <row r="3740" spans="1:17">
      <c r="A3740" s="14">
        <v>44062</v>
      </c>
      <c r="B3740" s="8">
        <v>1354.1758131092831</v>
      </c>
      <c r="F3740" s="7"/>
      <c r="G3740" s="7"/>
      <c r="M3740" s="10"/>
      <c r="P3740" s="11"/>
      <c r="Q3740" s="12"/>
    </row>
    <row r="3741" spans="1:17">
      <c r="A3741" s="14">
        <v>44063</v>
      </c>
      <c r="B3741" s="8">
        <v>1348.167706731821</v>
      </c>
      <c r="F3741" s="7"/>
      <c r="G3741" s="7"/>
      <c r="M3741" s="10"/>
      <c r="P3741" s="11"/>
      <c r="Q3741" s="12"/>
    </row>
    <row r="3742" spans="1:17">
      <c r="A3742" s="14">
        <v>44064</v>
      </c>
      <c r="B3742" s="8">
        <v>1351.1775469483505</v>
      </c>
      <c r="F3742" s="7"/>
      <c r="G3742" s="7"/>
      <c r="M3742" s="10"/>
      <c r="P3742" s="11"/>
      <c r="Q3742" s="12"/>
    </row>
    <row r="3743" spans="1:17">
      <c r="A3743" s="14">
        <v>44067</v>
      </c>
      <c r="B3743" s="8">
        <v>1373.5946620284055</v>
      </c>
      <c r="F3743" s="7"/>
      <c r="G3743" s="7"/>
      <c r="M3743" s="10"/>
      <c r="P3743" s="11"/>
      <c r="Q3743" s="12"/>
    </row>
    <row r="3744" spans="1:17">
      <c r="A3744" s="14">
        <v>44068</v>
      </c>
      <c r="B3744" s="8">
        <v>1378.8187861165484</v>
      </c>
      <c r="F3744" s="7"/>
      <c r="G3744" s="7"/>
      <c r="M3744" s="10"/>
      <c r="P3744" s="11"/>
      <c r="Q3744" s="12"/>
    </row>
    <row r="3745" spans="1:17">
      <c r="A3745" s="14">
        <v>44069</v>
      </c>
      <c r="B3745" s="8">
        <v>1405.4867788166098</v>
      </c>
      <c r="F3745" s="7"/>
      <c r="G3745" s="7"/>
      <c r="M3745" s="10"/>
      <c r="P3745" s="11"/>
      <c r="Q3745" s="12"/>
    </row>
    <row r="3746" spans="1:17">
      <c r="A3746" s="14">
        <v>44070</v>
      </c>
      <c r="B3746" s="8">
        <v>1399.3844796772378</v>
      </c>
      <c r="F3746" s="7"/>
      <c r="G3746" s="7"/>
      <c r="M3746" s="10"/>
      <c r="P3746" s="11"/>
      <c r="Q3746" s="12"/>
    </row>
    <row r="3747" spans="1:17">
      <c r="A3747" s="14">
        <v>44071</v>
      </c>
      <c r="B3747" s="8">
        <v>1408.3408749681071</v>
      </c>
      <c r="F3747" s="7"/>
      <c r="G3747" s="7"/>
      <c r="M3747" s="10"/>
      <c r="P3747" s="11"/>
      <c r="Q3747" s="12"/>
    </row>
    <row r="3748" spans="1:17">
      <c r="A3748" s="14">
        <v>44074</v>
      </c>
      <c r="B3748" s="8">
        <v>1398.6605173087194</v>
      </c>
      <c r="F3748" s="7"/>
      <c r="G3748" s="7"/>
      <c r="M3748" s="10"/>
      <c r="P3748" s="11"/>
      <c r="Q3748" s="12"/>
    </row>
    <row r="3749" spans="1:17">
      <c r="A3749" s="14">
        <v>44075</v>
      </c>
      <c r="B3749" s="8">
        <v>1404.9072268656862</v>
      </c>
      <c r="F3749" s="7"/>
      <c r="G3749" s="7"/>
      <c r="M3749" s="10"/>
      <c r="P3749" s="11"/>
      <c r="Q3749" s="12"/>
    </row>
    <row r="3750" spans="1:17">
      <c r="A3750" s="14">
        <v>44076</v>
      </c>
      <c r="B3750" s="8">
        <v>1414.1289070408966</v>
      </c>
      <c r="F3750" s="7"/>
      <c r="G3750" s="7"/>
      <c r="M3750" s="10"/>
      <c r="P3750" s="11"/>
      <c r="Q3750" s="12"/>
    </row>
    <row r="3751" spans="1:17">
      <c r="A3751" s="14">
        <v>44077</v>
      </c>
      <c r="B3751" s="8">
        <v>1373.9028425030851</v>
      </c>
      <c r="F3751" s="7"/>
      <c r="G3751" s="7"/>
      <c r="M3751" s="10"/>
      <c r="P3751" s="11"/>
      <c r="Q3751" s="12"/>
    </row>
    <row r="3752" spans="1:17">
      <c r="A3752" s="14">
        <v>44078</v>
      </c>
      <c r="B3752" s="8">
        <v>1367.646509945439</v>
      </c>
      <c r="F3752" s="7"/>
      <c r="G3752" s="7"/>
      <c r="M3752" s="10"/>
      <c r="P3752" s="11"/>
      <c r="Q3752" s="12"/>
    </row>
    <row r="3753" spans="1:17">
      <c r="A3753" s="14">
        <v>44081</v>
      </c>
      <c r="B3753" s="8">
        <v>1374.3196895916985</v>
      </c>
      <c r="F3753" s="7"/>
      <c r="G3753" s="7"/>
      <c r="M3753" s="10"/>
      <c r="P3753" s="11"/>
      <c r="Q3753" s="12"/>
    </row>
    <row r="3754" spans="1:17">
      <c r="A3754" s="14">
        <v>44082</v>
      </c>
      <c r="B3754" s="8">
        <v>1331.6482216802729</v>
      </c>
      <c r="F3754" s="7"/>
      <c r="G3754" s="7"/>
      <c r="M3754" s="10"/>
      <c r="P3754" s="11"/>
      <c r="Q3754" s="12"/>
    </row>
    <row r="3755" spans="1:17">
      <c r="A3755" s="14">
        <v>44083</v>
      </c>
      <c r="B3755" s="8">
        <v>1361.070687092438</v>
      </c>
      <c r="F3755" s="7"/>
      <c r="G3755" s="7"/>
      <c r="M3755" s="10"/>
      <c r="P3755" s="11"/>
      <c r="Q3755" s="12"/>
    </row>
    <row r="3756" spans="1:17">
      <c r="A3756" s="14">
        <v>44084</v>
      </c>
      <c r="B3756" s="8">
        <v>1350.5171547337682</v>
      </c>
      <c r="F3756" s="7"/>
      <c r="G3756" s="7"/>
      <c r="M3756" s="10"/>
      <c r="P3756" s="11"/>
      <c r="Q3756" s="12"/>
    </row>
    <row r="3757" spans="1:17">
      <c r="A3757" s="14">
        <v>44085</v>
      </c>
      <c r="B3757" s="8">
        <v>1345.7828753869749</v>
      </c>
      <c r="F3757" s="7"/>
      <c r="G3757" s="7"/>
      <c r="M3757" s="10"/>
      <c r="P3757" s="11"/>
      <c r="Q3757" s="12"/>
    </row>
    <row r="3758" spans="1:17">
      <c r="A3758" s="14">
        <v>44088</v>
      </c>
      <c r="B3758" s="8">
        <v>1366.1815829495251</v>
      </c>
      <c r="F3758" s="7"/>
      <c r="G3758" s="7"/>
      <c r="M3758" s="10"/>
      <c r="P3758" s="11"/>
      <c r="Q3758" s="12"/>
    </row>
    <row r="3759" spans="1:17">
      <c r="A3759" s="14">
        <v>44089</v>
      </c>
      <c r="B3759" s="8">
        <v>1376.0450637865201</v>
      </c>
      <c r="F3759" s="7"/>
      <c r="G3759" s="7"/>
      <c r="M3759" s="10"/>
      <c r="P3759" s="11"/>
      <c r="Q3759" s="12"/>
    </row>
    <row r="3760" spans="1:17">
      <c r="A3760" s="14">
        <v>44090</v>
      </c>
      <c r="B3760" s="8">
        <v>1372.698094503982</v>
      </c>
      <c r="F3760" s="7"/>
      <c r="G3760" s="7"/>
      <c r="M3760" s="10"/>
      <c r="P3760" s="11"/>
      <c r="Q3760" s="12"/>
    </row>
    <row r="3761" spans="1:17">
      <c r="A3761" s="14">
        <v>44091</v>
      </c>
      <c r="B3761" s="8">
        <v>1357.8618377440368</v>
      </c>
      <c r="F3761" s="7"/>
      <c r="G3761" s="7"/>
      <c r="M3761" s="10"/>
      <c r="P3761" s="11"/>
      <c r="Q3761" s="12"/>
    </row>
    <row r="3762" spans="1:17">
      <c r="A3762" s="14">
        <v>44092</v>
      </c>
      <c r="B3762" s="8">
        <v>1341.0038842907234</v>
      </c>
      <c r="F3762" s="7"/>
      <c r="G3762" s="7"/>
      <c r="M3762" s="10"/>
      <c r="P3762" s="11"/>
      <c r="Q3762" s="12"/>
    </row>
    <row r="3763" spans="1:17">
      <c r="A3763" s="14">
        <v>44095</v>
      </c>
      <c r="B3763" s="8">
        <v>1305.3090848813658</v>
      </c>
      <c r="F3763" s="7"/>
      <c r="G3763" s="7"/>
      <c r="M3763" s="10"/>
      <c r="P3763" s="11"/>
      <c r="Q3763" s="12"/>
    </row>
    <row r="3764" spans="1:17">
      <c r="A3764" s="14">
        <v>44096</v>
      </c>
      <c r="B3764" s="8">
        <v>1306.6972139678726</v>
      </c>
      <c r="F3764" s="7"/>
      <c r="G3764" s="7"/>
      <c r="M3764" s="10"/>
      <c r="P3764" s="11"/>
      <c r="Q3764" s="12"/>
    </row>
    <row r="3765" spans="1:17">
      <c r="A3765" s="14">
        <v>44097</v>
      </c>
      <c r="B3765" s="8">
        <v>1284.3035750670419</v>
      </c>
      <c r="F3765" s="7"/>
      <c r="G3765" s="7"/>
      <c r="M3765" s="10"/>
      <c r="P3765" s="11"/>
      <c r="Q3765" s="12"/>
    </row>
    <row r="3766" spans="1:17">
      <c r="A3766" s="14">
        <v>44098</v>
      </c>
      <c r="B3766" s="8">
        <v>1287.210123528381</v>
      </c>
      <c r="F3766" s="7"/>
      <c r="G3766" s="7"/>
      <c r="M3766" s="10"/>
      <c r="P3766" s="11"/>
      <c r="Q3766" s="12"/>
    </row>
    <row r="3767" spans="1:17">
      <c r="A3767" s="14">
        <v>44099</v>
      </c>
      <c r="B3767" s="8">
        <v>1294.0907786343637</v>
      </c>
      <c r="F3767" s="7"/>
      <c r="G3767" s="7"/>
      <c r="M3767" s="10"/>
      <c r="P3767" s="11"/>
      <c r="Q3767" s="12"/>
    </row>
    <row r="3768" spans="1:17">
      <c r="A3768" s="14">
        <v>44102</v>
      </c>
      <c r="B3768" s="8">
        <v>1330.9119051101879</v>
      </c>
      <c r="F3768" s="7"/>
      <c r="G3768" s="7"/>
      <c r="M3768" s="10"/>
      <c r="P3768" s="11"/>
      <c r="Q3768" s="12"/>
    </row>
    <row r="3769" spans="1:17">
      <c r="A3769" s="14">
        <v>44103</v>
      </c>
      <c r="B3769" s="8">
        <v>1325.1154143206263</v>
      </c>
      <c r="F3769" s="7"/>
      <c r="G3769" s="7"/>
      <c r="M3769" s="10"/>
      <c r="P3769" s="11"/>
      <c r="Q3769" s="12"/>
    </row>
    <row r="3770" spans="1:17">
      <c r="A3770" s="14">
        <v>44104</v>
      </c>
      <c r="B3770" s="8">
        <v>1330.5256854840677</v>
      </c>
      <c r="F3770" s="7"/>
      <c r="G3770" s="7"/>
      <c r="M3770" s="10"/>
      <c r="P3770" s="11"/>
      <c r="Q3770" s="12"/>
    </row>
    <row r="3771" spans="1:17">
      <c r="A3771" s="14">
        <v>44105</v>
      </c>
      <c r="B3771" s="8">
        <v>1342.6629953020436</v>
      </c>
      <c r="F3771" s="7"/>
      <c r="G3771" s="7"/>
      <c r="M3771" s="10"/>
      <c r="P3771" s="11"/>
      <c r="Q3771" s="12"/>
    </row>
    <row r="3772" spans="1:17">
      <c r="A3772" s="14">
        <v>44106</v>
      </c>
      <c r="B3772" s="8">
        <v>1329.7982325054704</v>
      </c>
      <c r="F3772" s="7"/>
      <c r="G3772" s="7"/>
      <c r="M3772" s="10"/>
      <c r="P3772" s="11"/>
      <c r="Q3772" s="12"/>
    </row>
    <row r="3773" spans="1:17">
      <c r="A3773" s="14">
        <v>44109</v>
      </c>
      <c r="B3773" s="8">
        <v>1351.205819027886</v>
      </c>
      <c r="F3773" s="7"/>
      <c r="G3773" s="7"/>
      <c r="M3773" s="10"/>
      <c r="P3773" s="11"/>
      <c r="Q3773" s="12"/>
    </row>
    <row r="3774" spans="1:17">
      <c r="A3774" s="14">
        <v>44110</v>
      </c>
      <c r="B3774" s="8">
        <v>1355.7554662684483</v>
      </c>
      <c r="F3774" s="7"/>
      <c r="G3774" s="7"/>
      <c r="M3774" s="10"/>
      <c r="P3774" s="11"/>
      <c r="Q3774" s="12"/>
    </row>
    <row r="3775" spans="1:17">
      <c r="A3775" s="14">
        <v>44111</v>
      </c>
      <c r="B3775" s="8">
        <v>1368.969423947163</v>
      </c>
      <c r="F3775" s="7"/>
      <c r="G3775" s="7"/>
      <c r="M3775" s="10"/>
      <c r="P3775" s="11"/>
      <c r="Q3775" s="12"/>
    </row>
    <row r="3776" spans="1:17">
      <c r="A3776" s="14">
        <v>44112</v>
      </c>
      <c r="B3776" s="8">
        <v>1379.1701817443436</v>
      </c>
      <c r="F3776" s="7"/>
      <c r="G3776" s="7"/>
      <c r="M3776" s="10"/>
      <c r="P3776" s="11"/>
      <c r="Q3776" s="12"/>
    </row>
    <row r="3777" spans="1:17">
      <c r="A3777" s="14">
        <v>44113</v>
      </c>
      <c r="B3777" s="8">
        <v>1387.4821073809278</v>
      </c>
      <c r="F3777" s="7"/>
      <c r="G3777" s="7"/>
      <c r="M3777" s="10"/>
      <c r="P3777" s="11"/>
      <c r="Q3777" s="12"/>
    </row>
    <row r="3778" spans="1:17">
      <c r="A3778" s="14">
        <v>44116</v>
      </c>
      <c r="B3778" s="8">
        <v>1398.8214437143631</v>
      </c>
      <c r="F3778" s="7"/>
      <c r="G3778" s="7"/>
      <c r="M3778" s="10"/>
      <c r="P3778" s="11"/>
      <c r="Q3778" s="12"/>
    </row>
    <row r="3779" spans="1:17">
      <c r="A3779" s="14">
        <v>44117</v>
      </c>
      <c r="B3779" s="8">
        <v>1383.7851765641478</v>
      </c>
      <c r="F3779" s="7"/>
      <c r="G3779" s="7"/>
      <c r="M3779" s="10"/>
      <c r="P3779" s="11"/>
      <c r="Q3779" s="12"/>
    </row>
    <row r="3780" spans="1:17">
      <c r="A3780" s="14">
        <v>44118</v>
      </c>
      <c r="B3780" s="8">
        <v>1377.9989366391824</v>
      </c>
      <c r="F3780" s="7"/>
      <c r="G3780" s="7"/>
      <c r="M3780" s="10"/>
      <c r="P3780" s="11"/>
      <c r="Q3780" s="12"/>
    </row>
    <row r="3781" spans="1:17">
      <c r="A3781" s="14">
        <v>44119</v>
      </c>
      <c r="B3781" s="8">
        <v>1356.7241981036773</v>
      </c>
      <c r="F3781" s="7"/>
      <c r="G3781" s="7"/>
      <c r="M3781" s="10"/>
      <c r="P3781" s="11"/>
      <c r="Q3781" s="12"/>
    </row>
    <row r="3782" spans="1:17">
      <c r="A3782" s="14">
        <v>44120</v>
      </c>
      <c r="B3782" s="8">
        <v>1365.9429617233639</v>
      </c>
      <c r="F3782" s="7"/>
      <c r="G3782" s="7"/>
      <c r="M3782" s="10"/>
      <c r="P3782" s="11"/>
      <c r="Q3782" s="12"/>
    </row>
    <row r="3783" spans="1:17">
      <c r="A3783" s="14">
        <v>44123</v>
      </c>
      <c r="B3783" s="8">
        <v>1357.4839132991542</v>
      </c>
      <c r="F3783" s="7"/>
      <c r="G3783" s="7"/>
      <c r="M3783" s="10"/>
      <c r="P3783" s="11"/>
      <c r="Q3783" s="12"/>
    </row>
    <row r="3784" spans="1:17">
      <c r="A3784" s="14">
        <v>44124</v>
      </c>
      <c r="B3784" s="8">
        <v>1362.8775524599555</v>
      </c>
      <c r="F3784" s="7"/>
      <c r="G3784" s="7"/>
      <c r="M3784" s="10"/>
      <c r="P3784" s="11"/>
      <c r="Q3784" s="12"/>
    </row>
    <row r="3785" spans="1:17">
      <c r="A3785" s="14">
        <v>44125</v>
      </c>
      <c r="B3785" s="8">
        <v>1344.2055215013238</v>
      </c>
      <c r="F3785" s="7"/>
      <c r="G3785" s="7"/>
      <c r="M3785" s="10"/>
      <c r="P3785" s="11"/>
      <c r="Q3785" s="12"/>
    </row>
    <row r="3786" spans="1:17">
      <c r="A3786" s="14">
        <v>44126</v>
      </c>
      <c r="B3786" s="8">
        <v>1349.8179413487485</v>
      </c>
      <c r="F3786" s="7"/>
      <c r="G3786" s="7"/>
      <c r="M3786" s="10"/>
      <c r="P3786" s="11"/>
      <c r="Q3786" s="12"/>
    </row>
    <row r="3787" spans="1:17">
      <c r="A3787" s="14">
        <v>44127</v>
      </c>
      <c r="B3787" s="8">
        <v>1358.6532446627984</v>
      </c>
      <c r="F3787" s="7"/>
      <c r="G3787" s="7"/>
      <c r="M3787" s="10"/>
      <c r="P3787" s="11"/>
      <c r="Q3787" s="12"/>
    </row>
    <row r="3788" spans="1:17">
      <c r="A3788" s="14">
        <v>44130</v>
      </c>
      <c r="B3788" s="8">
        <v>1330.6457191821498</v>
      </c>
      <c r="F3788" s="7"/>
      <c r="G3788" s="7"/>
      <c r="M3788" s="10"/>
      <c r="P3788" s="11"/>
      <c r="Q3788" s="12"/>
    </row>
    <row r="3789" spans="1:17">
      <c r="A3789" s="14">
        <v>44131</v>
      </c>
      <c r="B3789" s="8">
        <v>1312.7106731172105</v>
      </c>
      <c r="F3789" s="7"/>
      <c r="G3789" s="7"/>
      <c r="M3789" s="10"/>
      <c r="P3789" s="11"/>
      <c r="Q3789" s="12"/>
    </row>
    <row r="3790" spans="1:17">
      <c r="A3790" s="14">
        <v>44132</v>
      </c>
      <c r="B3790" s="8">
        <v>1271.4012851343111</v>
      </c>
      <c r="F3790" s="7"/>
      <c r="G3790" s="7"/>
      <c r="M3790" s="10"/>
      <c r="P3790" s="11"/>
      <c r="Q3790" s="12"/>
    </row>
    <row r="3791" spans="1:17">
      <c r="A3791" s="14">
        <v>44133</v>
      </c>
      <c r="B3791" s="8">
        <v>1281.0004717995419</v>
      </c>
      <c r="F3791" s="7"/>
      <c r="G3791" s="7"/>
      <c r="M3791" s="10"/>
      <c r="P3791" s="11"/>
      <c r="Q3791" s="12"/>
    </row>
    <row r="3792" spans="1:17">
      <c r="A3792" s="14">
        <v>44134</v>
      </c>
      <c r="B3792" s="8">
        <v>1280.5736666026376</v>
      </c>
      <c r="F3792" s="7"/>
      <c r="G3792" s="7"/>
      <c r="M3792" s="10"/>
      <c r="P3792" s="11"/>
      <c r="Q3792" s="12"/>
    </row>
    <row r="3793" spans="1:17">
      <c r="A3793" s="14">
        <v>44137</v>
      </c>
      <c r="B3793" s="8">
        <v>1303.4813661889173</v>
      </c>
      <c r="F3793" s="7"/>
      <c r="G3793" s="7"/>
      <c r="M3793" s="10"/>
      <c r="P3793" s="11"/>
      <c r="Q3793" s="12"/>
    </row>
    <row r="3794" spans="1:17">
      <c r="A3794" s="14">
        <v>44138</v>
      </c>
      <c r="B3794" s="8">
        <v>1342.5562624296658</v>
      </c>
      <c r="F3794" s="7"/>
      <c r="G3794" s="7"/>
      <c r="M3794" s="10"/>
      <c r="P3794" s="11"/>
      <c r="Q3794" s="12"/>
    </row>
    <row r="3795" spans="1:17">
      <c r="A3795" s="14">
        <v>44139</v>
      </c>
      <c r="B3795" s="8">
        <v>1361.0122265711755</v>
      </c>
      <c r="F3795" s="7"/>
      <c r="G3795" s="7"/>
      <c r="M3795" s="10"/>
      <c r="P3795" s="11"/>
      <c r="Q3795" s="12"/>
    </row>
    <row r="3796" spans="1:17">
      <c r="A3796" s="14">
        <v>44140</v>
      </c>
      <c r="B3796" s="8">
        <v>1394.2371226734754</v>
      </c>
      <c r="F3796" s="7"/>
      <c r="G3796" s="7"/>
      <c r="M3796" s="10"/>
      <c r="P3796" s="11"/>
      <c r="Q3796" s="12"/>
    </row>
    <row r="3797" spans="1:17">
      <c r="A3797" s="14">
        <v>44141</v>
      </c>
      <c r="B3797" s="8">
        <v>1391.8499856430556</v>
      </c>
      <c r="F3797" s="7"/>
      <c r="G3797" s="7"/>
      <c r="M3797" s="10"/>
      <c r="P3797" s="11"/>
      <c r="Q3797" s="12"/>
    </row>
    <row r="3798" spans="1:17">
      <c r="A3798" s="14">
        <v>44144</v>
      </c>
      <c r="B3798" s="8">
        <v>1460.4734890179859</v>
      </c>
      <c r="F3798" s="7"/>
      <c r="G3798" s="7"/>
      <c r="M3798" s="10"/>
      <c r="P3798" s="11"/>
      <c r="Q3798" s="12"/>
    </row>
    <row r="3799" spans="1:17">
      <c r="A3799" s="14">
        <v>44145</v>
      </c>
      <c r="B3799" s="8">
        <v>1462.7317091943253</v>
      </c>
      <c r="F3799" s="7"/>
      <c r="G3799" s="7"/>
      <c r="M3799" s="10"/>
      <c r="P3799" s="11"/>
      <c r="Q3799" s="12"/>
    </row>
    <row r="3800" spans="1:17">
      <c r="A3800" s="14">
        <v>44146</v>
      </c>
      <c r="B3800" s="8">
        <v>1476.5881711789862</v>
      </c>
      <c r="F3800" s="7"/>
      <c r="G3800" s="7"/>
      <c r="M3800" s="10"/>
      <c r="P3800" s="11"/>
      <c r="Q3800" s="12"/>
    </row>
    <row r="3801" spans="1:17">
      <c r="A3801" s="14">
        <v>44147</v>
      </c>
      <c r="B3801" s="8">
        <v>1461.7388971888092</v>
      </c>
      <c r="F3801" s="7"/>
      <c r="G3801" s="7"/>
      <c r="M3801" s="10"/>
      <c r="P3801" s="11"/>
      <c r="Q3801" s="12"/>
    </row>
    <row r="3802" spans="1:17">
      <c r="A3802" s="14">
        <v>44148</v>
      </c>
      <c r="B3802" s="8">
        <v>1474.0281918263256</v>
      </c>
      <c r="F3802" s="7"/>
      <c r="G3802" s="7"/>
      <c r="M3802" s="10"/>
      <c r="P3802" s="11"/>
      <c r="Q3802" s="12"/>
    </row>
    <row r="3803" spans="1:17">
      <c r="A3803" s="14">
        <v>44151</v>
      </c>
      <c r="B3803" s="8">
        <v>1499.4864749533588</v>
      </c>
      <c r="F3803" s="7"/>
      <c r="G3803" s="7"/>
      <c r="M3803" s="10"/>
      <c r="P3803" s="11"/>
      <c r="Q3803" s="12"/>
    </row>
    <row r="3804" spans="1:17">
      <c r="A3804" s="14">
        <v>44152</v>
      </c>
      <c r="B3804" s="8">
        <v>1500.1088488299968</v>
      </c>
      <c r="F3804" s="7"/>
      <c r="G3804" s="7"/>
      <c r="M3804" s="10"/>
      <c r="P3804" s="11"/>
      <c r="Q3804" s="12"/>
    </row>
    <row r="3805" spans="1:17">
      <c r="A3805" s="14">
        <v>44153</v>
      </c>
      <c r="B3805" s="8">
        <v>1499.1400928565731</v>
      </c>
      <c r="F3805" s="7"/>
      <c r="G3805" s="7"/>
      <c r="M3805" s="10"/>
      <c r="P3805" s="11"/>
      <c r="Q3805" s="12"/>
    </row>
    <row r="3806" spans="1:17">
      <c r="A3806" s="14">
        <v>44154</v>
      </c>
      <c r="B3806" s="8">
        <v>1503.8024410754438</v>
      </c>
      <c r="F3806" s="7"/>
      <c r="G3806" s="7"/>
      <c r="M3806" s="10"/>
      <c r="P3806" s="11"/>
      <c r="Q3806" s="12"/>
    </row>
    <row r="3807" spans="1:17">
      <c r="A3807" s="14">
        <v>44155</v>
      </c>
      <c r="B3807" s="8">
        <v>1502.5265257653268</v>
      </c>
      <c r="F3807" s="7"/>
      <c r="G3807" s="7"/>
      <c r="M3807" s="10"/>
      <c r="P3807" s="11"/>
      <c r="Q3807" s="12"/>
    </row>
    <row r="3808" spans="1:17">
      <c r="A3808" s="14">
        <v>44158</v>
      </c>
      <c r="B3808" s="8">
        <v>1512.4509774741537</v>
      </c>
      <c r="F3808" s="7"/>
      <c r="G3808" s="7"/>
      <c r="M3808" s="10"/>
      <c r="P3808" s="11"/>
      <c r="Q3808" s="12"/>
    </row>
    <row r="3809" spans="1:17">
      <c r="A3809" s="14">
        <v>44159</v>
      </c>
      <c r="B3809" s="8">
        <v>1549.8648394727677</v>
      </c>
      <c r="F3809" s="7"/>
      <c r="G3809" s="7"/>
      <c r="M3809" s="10"/>
      <c r="P3809" s="11"/>
      <c r="Q3809" s="12"/>
    </row>
    <row r="3810" spans="1:17">
      <c r="A3810" s="14">
        <v>44160</v>
      </c>
      <c r="B3810" s="8">
        <v>1550.0595632357856</v>
      </c>
      <c r="F3810" s="7"/>
      <c r="G3810" s="7"/>
      <c r="M3810" s="10"/>
      <c r="P3810" s="11"/>
      <c r="Q3810" s="12"/>
    </row>
    <row r="3811" spans="1:17">
      <c r="A3811" s="14">
        <v>44161</v>
      </c>
      <c r="B3811" s="8">
        <v>1545.7570624952996</v>
      </c>
      <c r="F3811" s="7"/>
      <c r="G3811" s="7"/>
      <c r="M3811" s="10"/>
      <c r="P3811" s="11"/>
      <c r="Q3811" s="12"/>
    </row>
    <row r="3812" spans="1:17">
      <c r="A3812" s="14">
        <v>44162</v>
      </c>
      <c r="B3812" s="8">
        <v>1558.3868517996893</v>
      </c>
      <c r="F3812" s="7"/>
      <c r="G3812" s="7"/>
      <c r="M3812" s="10"/>
      <c r="P3812" s="11"/>
      <c r="Q3812" s="12"/>
    </row>
    <row r="3813" spans="1:17">
      <c r="A3813" s="14">
        <v>44165</v>
      </c>
      <c r="B3813" s="8">
        <v>1540.6919998135834</v>
      </c>
      <c r="F3813" s="7"/>
      <c r="G3813" s="7"/>
      <c r="M3813" s="10"/>
      <c r="P3813" s="11"/>
      <c r="Q3813" s="12"/>
    </row>
    <row r="3814" spans="1:17">
      <c r="A3814" s="14">
        <v>44166</v>
      </c>
      <c r="B3814" s="8">
        <v>1558.171362998635</v>
      </c>
      <c r="F3814" s="7"/>
      <c r="G3814" s="7"/>
      <c r="M3814" s="10"/>
      <c r="P3814" s="11"/>
      <c r="Q3814" s="12"/>
    </row>
    <row r="3815" spans="1:17">
      <c r="A3815" s="14">
        <v>44167</v>
      </c>
      <c r="B3815" s="8">
        <v>1559.8106939441313</v>
      </c>
      <c r="F3815" s="7"/>
      <c r="G3815" s="7"/>
      <c r="M3815" s="10"/>
      <c r="P3815" s="11"/>
      <c r="Q3815" s="12"/>
    </row>
    <row r="3816" spans="1:17">
      <c r="A3816" s="14">
        <v>44168</v>
      </c>
      <c r="B3816" s="8">
        <v>1560.5520713774065</v>
      </c>
      <c r="F3816" s="7"/>
      <c r="G3816" s="7"/>
      <c r="M3816" s="10"/>
      <c r="P3816" s="11"/>
      <c r="Q3816" s="12"/>
    </row>
    <row r="3817" spans="1:17">
      <c r="A3817" s="14">
        <v>44169</v>
      </c>
      <c r="B3817" s="8">
        <v>1582.9824809651716</v>
      </c>
      <c r="F3817" s="7"/>
      <c r="G3817" s="7"/>
      <c r="M3817" s="10"/>
      <c r="P3817" s="11"/>
      <c r="Q3817" s="12"/>
    </row>
    <row r="3818" spans="1:17">
      <c r="A3818" s="14">
        <v>44172</v>
      </c>
      <c r="B3818" s="8">
        <v>1579.8540165499392</v>
      </c>
      <c r="F3818" s="7"/>
      <c r="G3818" s="7"/>
      <c r="M3818" s="10"/>
      <c r="P3818" s="11"/>
      <c r="Q3818" s="12"/>
    </row>
    <row r="3819" spans="1:17">
      <c r="A3819" s="14">
        <v>44173</v>
      </c>
      <c r="B3819" s="8">
        <v>1579.4803581927204</v>
      </c>
      <c r="F3819" s="7"/>
      <c r="G3819" s="7"/>
      <c r="M3819" s="10"/>
      <c r="P3819" s="11"/>
      <c r="Q3819" s="12"/>
    </row>
    <row r="3820" spans="1:17">
      <c r="A3820" s="14">
        <v>44174</v>
      </c>
      <c r="B3820" s="8">
        <v>1570.2918594423818</v>
      </c>
      <c r="F3820" s="7"/>
      <c r="G3820" s="7"/>
      <c r="M3820" s="10"/>
      <c r="P3820" s="11"/>
      <c r="Q3820" s="12"/>
    </row>
    <row r="3821" spans="1:17">
      <c r="A3821" s="14">
        <v>44175</v>
      </c>
      <c r="B3821" s="8">
        <v>1560.2017950344327</v>
      </c>
      <c r="F3821" s="7"/>
      <c r="G3821" s="7"/>
      <c r="M3821" s="10"/>
      <c r="P3821" s="11"/>
      <c r="Q3821" s="12"/>
    </row>
    <row r="3822" spans="1:17">
      <c r="A3822" s="14">
        <v>44176</v>
      </c>
      <c r="B3822" s="8">
        <v>1544.716151031854</v>
      </c>
      <c r="F3822" s="7"/>
      <c r="G3822" s="7"/>
      <c r="M3822" s="10"/>
      <c r="P3822" s="11"/>
      <c r="Q3822" s="12"/>
    </row>
    <row r="3823" spans="1:17">
      <c r="A3823" s="14">
        <v>44179</v>
      </c>
      <c r="B3823" s="8">
        <v>1553.2937024236908</v>
      </c>
      <c r="F3823" s="7"/>
      <c r="G3823" s="7"/>
      <c r="M3823" s="10"/>
      <c r="P3823" s="11"/>
      <c r="Q3823" s="12"/>
    </row>
    <row r="3824" spans="1:17">
      <c r="A3824" s="14">
        <v>44180</v>
      </c>
      <c r="B3824" s="8">
        <v>1570.4014398381407</v>
      </c>
      <c r="F3824" s="7"/>
      <c r="G3824" s="7"/>
      <c r="M3824" s="10"/>
      <c r="P3824" s="11"/>
      <c r="Q3824" s="12"/>
    </row>
    <row r="3825" spans="1:17">
      <c r="A3825" s="14">
        <v>44181</v>
      </c>
      <c r="B3825" s="8">
        <v>1569.5637023745001</v>
      </c>
      <c r="F3825" s="7"/>
      <c r="G3825" s="7"/>
      <c r="M3825" s="10"/>
      <c r="P3825" s="11"/>
      <c r="Q3825" s="12"/>
    </row>
    <row r="3826" spans="1:17">
      <c r="A3826" s="14">
        <v>44182</v>
      </c>
      <c r="B3826" s="8">
        <v>1577.6212281986495</v>
      </c>
      <c r="F3826" s="7"/>
      <c r="G3826" s="7"/>
      <c r="M3826" s="10"/>
      <c r="P3826" s="11"/>
      <c r="Q3826" s="12"/>
    </row>
    <row r="3827" spans="1:17">
      <c r="A3827" s="14">
        <v>44183</v>
      </c>
      <c r="B3827" s="8">
        <v>1573.4927435684981</v>
      </c>
      <c r="F3827" s="7"/>
      <c r="G3827" s="7"/>
      <c r="M3827" s="10"/>
      <c r="P3827" s="11"/>
      <c r="Q3827" s="12"/>
    </row>
    <row r="3828" spans="1:17">
      <c r="A3828" s="14">
        <v>44186</v>
      </c>
      <c r="B3828" s="8">
        <v>1543.4984016472017</v>
      </c>
      <c r="F3828" s="7"/>
      <c r="G3828" s="7"/>
      <c r="M3828" s="10"/>
      <c r="P3828" s="11"/>
      <c r="Q3828" s="12"/>
    </row>
    <row r="3829" spans="1:17">
      <c r="A3829" s="14">
        <v>44187</v>
      </c>
      <c r="B3829" s="8">
        <v>1551.3363939108624</v>
      </c>
      <c r="F3829" s="7"/>
      <c r="G3829" s="7"/>
      <c r="M3829" s="10"/>
      <c r="P3829" s="11"/>
      <c r="Q3829" s="12"/>
    </row>
    <row r="3830" spans="1:17">
      <c r="A3830" s="14">
        <v>44188</v>
      </c>
      <c r="B3830" s="8">
        <v>1565.6168533244477</v>
      </c>
      <c r="F3830" s="7"/>
      <c r="G3830" s="7"/>
      <c r="M3830" s="10"/>
      <c r="P3830" s="11"/>
      <c r="Q3830" s="12"/>
    </row>
    <row r="3831" spans="1:17">
      <c r="A3831" s="14">
        <v>44189</v>
      </c>
      <c r="B3831" s="8">
        <v>1569.5468962125556</v>
      </c>
      <c r="F3831" s="7"/>
      <c r="G3831" s="7"/>
      <c r="M3831" s="10"/>
      <c r="P3831" s="11"/>
      <c r="Q3831" s="12"/>
    </row>
    <row r="3832" spans="1:17">
      <c r="A3832" s="14">
        <v>44190</v>
      </c>
      <c r="B3832" s="8">
        <v>1569.1652035351215</v>
      </c>
      <c r="F3832" s="7"/>
      <c r="G3832" s="7"/>
      <c r="M3832" s="10"/>
      <c r="P3832" s="11"/>
      <c r="Q3832" s="12"/>
    </row>
    <row r="3833" spans="1:17">
      <c r="A3833" s="14">
        <v>44193</v>
      </c>
      <c r="B3833" s="8">
        <v>1572.3050162823292</v>
      </c>
      <c r="F3833" s="7"/>
      <c r="G3833" s="7"/>
      <c r="M3833" s="10"/>
      <c r="P3833" s="11"/>
      <c r="Q3833" s="12"/>
    </row>
    <row r="3834" spans="1:17">
      <c r="A3834" s="14">
        <v>44194</v>
      </c>
      <c r="B3834" s="8">
        <v>1570.7321473356965</v>
      </c>
      <c r="F3834" s="7"/>
      <c r="G3834" s="7"/>
      <c r="M3834" s="10"/>
      <c r="P3834" s="11"/>
      <c r="Q3834" s="12"/>
    </row>
    <row r="3835" spans="1:17">
      <c r="A3835" s="14">
        <v>44195</v>
      </c>
      <c r="B3835" s="8">
        <v>1572.3990712293526</v>
      </c>
      <c r="F3835" s="7"/>
      <c r="G3835" s="7"/>
      <c r="M3835" s="10"/>
      <c r="P3835" s="11"/>
      <c r="Q3835" s="12"/>
    </row>
    <row r="3836" spans="1:17">
      <c r="A3836" s="14">
        <v>44196</v>
      </c>
      <c r="B3836" s="8">
        <v>1575.4622430652712</v>
      </c>
      <c r="F3836" s="7"/>
      <c r="G3836" s="7"/>
      <c r="M3836" s="10"/>
      <c r="P3836" s="11"/>
      <c r="Q3836" s="12"/>
    </row>
    <row r="3837" spans="1:17">
      <c r="A3837" s="14">
        <v>44197</v>
      </c>
      <c r="B3837" s="8">
        <v>1575.0805503878371</v>
      </c>
      <c r="F3837" s="7"/>
      <c r="G3837" s="7"/>
      <c r="M3837" s="10"/>
      <c r="P3837" s="11"/>
      <c r="Q3837" s="12"/>
    </row>
    <row r="3838" spans="1:17">
      <c r="A3838" s="14">
        <v>44200</v>
      </c>
      <c r="B3838" s="8">
        <v>1568.5784278713768</v>
      </c>
      <c r="F3838" s="7"/>
      <c r="G3838" s="7"/>
      <c r="M3838" s="10"/>
      <c r="P3838" s="11"/>
      <c r="Q3838" s="12"/>
    </row>
    <row r="3839" spans="1:17">
      <c r="A3839" s="14">
        <v>44201</v>
      </c>
      <c r="B3839" s="8">
        <v>1571.2902113747903</v>
      </c>
      <c r="F3839" s="7"/>
      <c r="G3839" s="7"/>
      <c r="M3839" s="10"/>
      <c r="P3839" s="11"/>
      <c r="Q3839" s="12"/>
    </row>
    <row r="3840" spans="1:17">
      <c r="A3840" s="14">
        <v>44202</v>
      </c>
      <c r="B3840" s="8">
        <v>1596.5093624218669</v>
      </c>
      <c r="F3840" s="7"/>
      <c r="G3840" s="7"/>
      <c r="M3840" s="10"/>
      <c r="P3840" s="11"/>
      <c r="Q3840" s="12"/>
    </row>
    <row r="3841" spans="1:17">
      <c r="A3841" s="14">
        <v>44203</v>
      </c>
      <c r="B3841" s="8">
        <v>1622.0656528590364</v>
      </c>
      <c r="F3841" s="7"/>
      <c r="G3841" s="7"/>
      <c r="M3841" s="10"/>
      <c r="P3841" s="11"/>
      <c r="Q3841" s="12"/>
    </row>
    <row r="3842" spans="1:17">
      <c r="A3842" s="14">
        <v>44204</v>
      </c>
      <c r="B3842" s="8">
        <v>1640.6741181673333</v>
      </c>
      <c r="F3842" s="7"/>
      <c r="G3842" s="7"/>
      <c r="M3842" s="10"/>
      <c r="P3842" s="11"/>
      <c r="Q3842" s="12"/>
    </row>
    <row r="3843" spans="1:17">
      <c r="A3843" s="14">
        <v>44207</v>
      </c>
      <c r="B3843" s="8">
        <v>1624.9247506046122</v>
      </c>
      <c r="F3843" s="7"/>
      <c r="G3843" s="7"/>
      <c r="M3843" s="10"/>
      <c r="P3843" s="11"/>
      <c r="Q3843" s="12"/>
    </row>
    <row r="3844" spans="1:17">
      <c r="A3844" s="14">
        <v>44208</v>
      </c>
      <c r="B3844" s="8">
        <v>1627.3505381702123</v>
      </c>
      <c r="F3844" s="7"/>
      <c r="G3844" s="7"/>
      <c r="M3844" s="10"/>
      <c r="P3844" s="11"/>
      <c r="Q3844" s="12"/>
    </row>
    <row r="3845" spans="1:17">
      <c r="A3845" s="14">
        <v>44209</v>
      </c>
      <c r="B3845" s="8">
        <v>1625.9779099263326</v>
      </c>
      <c r="F3845" s="7"/>
      <c r="G3845" s="7"/>
      <c r="M3845" s="10"/>
      <c r="P3845" s="11"/>
      <c r="Q3845" s="12"/>
    </row>
    <row r="3846" spans="1:17">
      <c r="A3846" s="14">
        <v>44210</v>
      </c>
      <c r="B3846" s="8">
        <v>1625.7425740752167</v>
      </c>
      <c r="F3846" s="7"/>
      <c r="G3846" s="7"/>
      <c r="M3846" s="10"/>
      <c r="P3846" s="11"/>
      <c r="Q3846" s="12"/>
    </row>
    <row r="3847" spans="1:17">
      <c r="A3847" s="14">
        <v>44211</v>
      </c>
      <c r="B3847" s="8">
        <v>1600.3296099947245</v>
      </c>
      <c r="F3847" s="7"/>
      <c r="G3847" s="7"/>
      <c r="M3847" s="10"/>
      <c r="P3847" s="11"/>
      <c r="Q3847" s="12"/>
    </row>
    <row r="3848" spans="1:17">
      <c r="A3848" s="14">
        <v>44214</v>
      </c>
      <c r="B3848" s="8">
        <v>1604.0498364733717</v>
      </c>
      <c r="F3848" s="7"/>
      <c r="G3848" s="7"/>
      <c r="M3848" s="10"/>
      <c r="P3848" s="11"/>
      <c r="Q3848" s="12"/>
    </row>
    <row r="3849" spans="1:17">
      <c r="A3849" s="14">
        <v>44215</v>
      </c>
      <c r="B3849" s="8">
        <v>1606.7811184028787</v>
      </c>
      <c r="F3849" s="7"/>
      <c r="G3849" s="7"/>
      <c r="M3849" s="10"/>
      <c r="P3849" s="11"/>
      <c r="Q3849" s="12"/>
    </row>
    <row r="3850" spans="1:17">
      <c r="A3850" s="14">
        <v>44216</v>
      </c>
      <c r="B3850" s="8">
        <v>1629.7155817617024</v>
      </c>
      <c r="F3850" s="7"/>
      <c r="G3850" s="7"/>
      <c r="M3850" s="10"/>
      <c r="P3850" s="11"/>
      <c r="Q3850" s="12"/>
    </row>
    <row r="3851" spans="1:17">
      <c r="A3851" s="14">
        <v>44217</v>
      </c>
      <c r="B3851" s="8">
        <v>1629.3412414507154</v>
      </c>
      <c r="F3851" s="7"/>
      <c r="G3851" s="7"/>
      <c r="M3851" s="10"/>
      <c r="P3851" s="11"/>
      <c r="Q3851" s="12"/>
    </row>
    <row r="3852" spans="1:17">
      <c r="A3852" s="14">
        <v>44218</v>
      </c>
      <c r="B3852" s="8">
        <v>1617.8044420647691</v>
      </c>
      <c r="F3852" s="7"/>
      <c r="G3852" s="7"/>
      <c r="M3852" s="10"/>
      <c r="P3852" s="11"/>
      <c r="Q3852" s="12"/>
    </row>
    <row r="3853" spans="1:17">
      <c r="A3853" s="14">
        <v>44221</v>
      </c>
      <c r="B3853" s="8">
        <v>1603.30534891415</v>
      </c>
      <c r="F3853" s="7"/>
      <c r="G3853" s="7"/>
      <c r="M3853" s="10"/>
      <c r="P3853" s="11"/>
      <c r="Q3853" s="12"/>
    </row>
    <row r="3854" spans="1:17">
      <c r="A3854" s="14">
        <v>44222</v>
      </c>
      <c r="B3854" s="8">
        <v>1608.3545021143525</v>
      </c>
      <c r="F3854" s="7"/>
      <c r="G3854" s="7"/>
      <c r="M3854" s="10"/>
      <c r="P3854" s="11"/>
      <c r="Q3854" s="12"/>
    </row>
    <row r="3855" spans="1:17">
      <c r="A3855" s="14">
        <v>44223</v>
      </c>
      <c r="B3855" s="8">
        <v>1563.3210573993572</v>
      </c>
      <c r="F3855" s="7"/>
      <c r="G3855" s="7"/>
      <c r="M3855" s="10"/>
      <c r="P3855" s="11"/>
      <c r="Q3855" s="12"/>
    </row>
    <row r="3856" spans="1:17">
      <c r="A3856" s="14">
        <v>44224</v>
      </c>
      <c r="B3856" s="8">
        <v>1587.1028160909748</v>
      </c>
      <c r="F3856" s="7"/>
      <c r="G3856" s="7"/>
      <c r="M3856" s="10"/>
      <c r="P3856" s="11"/>
      <c r="Q3856" s="12"/>
    </row>
    <row r="3857" spans="1:17">
      <c r="A3857" s="14">
        <v>44225</v>
      </c>
      <c r="B3857" s="8">
        <v>1553.754015099764</v>
      </c>
      <c r="F3857" s="7"/>
      <c r="G3857" s="7"/>
      <c r="M3857" s="10"/>
      <c r="P3857" s="11"/>
      <c r="Q3857" s="12"/>
    </row>
    <row r="3858" spans="1:17">
      <c r="A3858" s="14">
        <v>44228</v>
      </c>
      <c r="B3858" s="8">
        <v>1578.0916174471938</v>
      </c>
      <c r="F3858" s="7"/>
      <c r="G3858" s="7"/>
      <c r="M3858" s="10"/>
      <c r="P3858" s="11"/>
      <c r="Q3858" s="12"/>
    </row>
    <row r="3859" spans="1:17">
      <c r="A3859" s="14">
        <v>44229</v>
      </c>
      <c r="B3859" s="8">
        <v>1613.108745919086</v>
      </c>
      <c r="F3859" s="7"/>
      <c r="G3859" s="7"/>
      <c r="M3859" s="10"/>
      <c r="P3859" s="11"/>
      <c r="Q3859" s="12"/>
    </row>
    <row r="3860" spans="1:17">
      <c r="A3860" s="14">
        <v>44230</v>
      </c>
      <c r="B3860" s="8">
        <v>1615.9533399359752</v>
      </c>
      <c r="F3860" s="7"/>
      <c r="G3860" s="7"/>
      <c r="M3860" s="10"/>
      <c r="P3860" s="11"/>
      <c r="Q3860" s="12"/>
    </row>
    <row r="3861" spans="1:17">
      <c r="A3861" s="14">
        <v>44231</v>
      </c>
      <c r="B3861" s="8">
        <v>1639.63469845486</v>
      </c>
      <c r="F3861" s="7"/>
      <c r="G3861" s="7"/>
      <c r="M3861" s="10"/>
      <c r="P3861" s="11"/>
      <c r="Q3861" s="12"/>
    </row>
    <row r="3862" spans="1:17">
      <c r="A3862" s="14">
        <v>44232</v>
      </c>
      <c r="B3862" s="8">
        <v>1643.7396496441147</v>
      </c>
      <c r="F3862" s="7"/>
      <c r="G3862" s="7"/>
      <c r="M3862" s="10"/>
      <c r="P3862" s="11"/>
      <c r="Q3862" s="12"/>
    </row>
    <row r="3863" spans="1:17">
      <c r="A3863" s="14">
        <v>44235</v>
      </c>
      <c r="B3863" s="8">
        <v>1661.764612534447</v>
      </c>
      <c r="F3863" s="7"/>
      <c r="G3863" s="7"/>
      <c r="M3863" s="10"/>
      <c r="P3863" s="11"/>
      <c r="Q3863" s="12"/>
    </row>
    <row r="3864" spans="1:17">
      <c r="A3864" s="14">
        <v>44236</v>
      </c>
      <c r="B3864" s="8">
        <v>1655.149228904771</v>
      </c>
      <c r="F3864" s="7"/>
      <c r="G3864" s="7"/>
      <c r="M3864" s="10"/>
      <c r="P3864" s="11"/>
      <c r="Q3864" s="12"/>
    </row>
    <row r="3865" spans="1:17">
      <c r="A3865" s="14">
        <v>44237</v>
      </c>
      <c r="B3865" s="8">
        <v>1655.9723469912003</v>
      </c>
      <c r="F3865" s="7"/>
      <c r="G3865" s="7"/>
      <c r="M3865" s="10"/>
      <c r="P3865" s="11"/>
      <c r="Q3865" s="12"/>
    </row>
    <row r="3866" spans="1:17">
      <c r="A3866" s="14">
        <v>44238</v>
      </c>
      <c r="B3866" s="8">
        <v>1662.3612185881764</v>
      </c>
      <c r="F3866" s="7"/>
      <c r="G3866" s="7"/>
      <c r="M3866" s="10"/>
      <c r="P3866" s="11"/>
      <c r="Q3866" s="12"/>
    </row>
    <row r="3867" spans="1:17">
      <c r="A3867" s="14">
        <v>44239</v>
      </c>
      <c r="B3867" s="8">
        <v>1673.2412466754886</v>
      </c>
      <c r="F3867" s="7"/>
      <c r="G3867" s="7"/>
      <c r="M3867" s="10"/>
      <c r="P3867" s="11"/>
      <c r="Q3867" s="12"/>
    </row>
    <row r="3868" spans="1:17">
      <c r="A3868" s="14">
        <v>44242</v>
      </c>
      <c r="B3868" s="8">
        <v>1685.3878549094695</v>
      </c>
      <c r="F3868" s="7"/>
      <c r="G3868" s="7"/>
      <c r="M3868" s="10"/>
      <c r="P3868" s="11"/>
      <c r="Q3868" s="12"/>
    </row>
    <row r="3869" spans="1:17">
      <c r="A3869" s="14">
        <v>44243</v>
      </c>
      <c r="B3869" s="8">
        <v>1689.7154746646017</v>
      </c>
      <c r="F3869" s="7"/>
      <c r="G3869" s="7"/>
      <c r="M3869" s="10"/>
      <c r="P3869" s="11"/>
      <c r="Q3869" s="12"/>
    </row>
    <row r="3870" spans="1:17">
      <c r="A3870" s="14">
        <v>44244</v>
      </c>
      <c r="B3870" s="8">
        <v>1685.7742799699872</v>
      </c>
      <c r="F3870" s="7"/>
      <c r="G3870" s="7"/>
      <c r="M3870" s="10"/>
      <c r="P3870" s="11"/>
      <c r="Q3870" s="12"/>
    </row>
    <row r="3871" spans="1:17">
      <c r="A3871" s="14">
        <v>44245</v>
      </c>
      <c r="B3871" s="8">
        <v>1678.5765636510653</v>
      </c>
      <c r="F3871" s="7"/>
      <c r="G3871" s="7"/>
      <c r="M3871" s="10"/>
      <c r="P3871" s="11"/>
      <c r="Q3871" s="12"/>
    </row>
    <row r="3872" spans="1:17">
      <c r="A3872" s="14">
        <v>44246</v>
      </c>
      <c r="B3872" s="8">
        <v>1694.435879773936</v>
      </c>
      <c r="F3872" s="7"/>
      <c r="G3872" s="7"/>
      <c r="M3872" s="10"/>
      <c r="P3872" s="11"/>
      <c r="Q3872" s="12"/>
    </row>
    <row r="3873" spans="1:17">
      <c r="A3873" s="14">
        <v>44249</v>
      </c>
      <c r="B3873" s="8">
        <v>1668.0092114823155</v>
      </c>
      <c r="F3873" s="7"/>
      <c r="G3873" s="7"/>
      <c r="M3873" s="10"/>
      <c r="P3873" s="11"/>
      <c r="Q3873" s="12"/>
    </row>
    <row r="3874" spans="1:17">
      <c r="A3874" s="14">
        <v>44250</v>
      </c>
      <c r="B3874" s="8">
        <v>1660.9789139772402</v>
      </c>
      <c r="F3874" s="7"/>
      <c r="G3874" s="7"/>
      <c r="M3874" s="10"/>
      <c r="P3874" s="11"/>
      <c r="Q3874" s="12"/>
    </row>
    <row r="3875" spans="1:17">
      <c r="A3875" s="14">
        <v>44251</v>
      </c>
      <c r="B3875" s="8">
        <v>1679.923728510618</v>
      </c>
      <c r="F3875" s="7"/>
      <c r="G3875" s="7"/>
      <c r="M3875" s="10"/>
      <c r="P3875" s="11"/>
      <c r="Q3875" s="12"/>
    </row>
    <row r="3876" spans="1:17">
      <c r="A3876" s="14">
        <v>44252</v>
      </c>
      <c r="B3876" s="8">
        <v>1654.8216238137695</v>
      </c>
      <c r="F3876" s="7"/>
      <c r="G3876" s="7"/>
      <c r="M3876" s="10"/>
      <c r="P3876" s="11"/>
      <c r="Q3876" s="12"/>
    </row>
    <row r="3877" spans="1:17">
      <c r="A3877" s="14">
        <v>44253</v>
      </c>
      <c r="B3877" s="8">
        <v>1644.3016147544358</v>
      </c>
      <c r="F3877" s="7"/>
      <c r="G3877" s="7"/>
      <c r="M3877" s="10"/>
      <c r="P3877" s="11"/>
      <c r="Q3877" s="12"/>
    </row>
    <row r="3878" spans="1:17">
      <c r="A3878" s="14">
        <v>44256</v>
      </c>
      <c r="B3878" s="8">
        <v>1674.3970746183936</v>
      </c>
      <c r="F3878" s="7"/>
      <c r="G3878" s="7"/>
      <c r="M3878" s="10"/>
      <c r="P3878" s="11"/>
      <c r="Q3878" s="12"/>
    </row>
    <row r="3879" spans="1:17">
      <c r="A3879" s="14">
        <v>44257</v>
      </c>
      <c r="B3879" s="8">
        <v>1663.6178233236983</v>
      </c>
      <c r="F3879" s="7"/>
      <c r="G3879" s="7"/>
      <c r="M3879" s="10"/>
      <c r="P3879" s="11"/>
      <c r="Q3879" s="12"/>
    </row>
    <row r="3880" spans="1:17">
      <c r="A3880" s="14">
        <v>44258</v>
      </c>
      <c r="B3880" s="8">
        <v>1661.0327360911604</v>
      </c>
      <c r="F3880" s="7"/>
      <c r="G3880" s="7"/>
      <c r="M3880" s="10"/>
      <c r="P3880" s="11"/>
      <c r="Q3880" s="12"/>
    </row>
    <row r="3881" spans="1:17">
      <c r="A3881" s="14">
        <v>44259</v>
      </c>
      <c r="B3881" s="8">
        <v>1629.3500560356031</v>
      </c>
      <c r="F3881" s="7"/>
      <c r="G3881" s="7"/>
      <c r="M3881" s="10"/>
      <c r="P3881" s="11"/>
      <c r="Q3881" s="12"/>
    </row>
    <row r="3882" spans="1:17">
      <c r="A3882" s="14">
        <v>44260</v>
      </c>
      <c r="B3882" s="8">
        <v>1636.3837401702365</v>
      </c>
      <c r="F3882" s="7"/>
      <c r="G3882" s="7"/>
      <c r="M3882" s="10"/>
      <c r="P3882" s="11"/>
      <c r="Q3882" s="12"/>
    </row>
    <row r="3883" spans="1:17">
      <c r="A3883" s="14">
        <v>44263</v>
      </c>
      <c r="B3883" s="8">
        <v>1654.2212394018156</v>
      </c>
      <c r="F3883" s="7"/>
      <c r="G3883" s="7"/>
      <c r="M3883" s="10"/>
      <c r="P3883" s="11"/>
      <c r="Q3883" s="12"/>
    </row>
    <row r="3884" spans="1:17">
      <c r="A3884" s="14">
        <v>44264</v>
      </c>
      <c r="B3884" s="8">
        <v>1678.6824862132362</v>
      </c>
      <c r="F3884" s="7"/>
      <c r="G3884" s="7"/>
      <c r="M3884" s="10"/>
      <c r="P3884" s="11"/>
      <c r="Q3884" s="12"/>
    </row>
    <row r="3885" spans="1:17">
      <c r="A3885" s="14">
        <v>44265</v>
      </c>
      <c r="B3885" s="8">
        <v>1684.7489767731104</v>
      </c>
      <c r="F3885" s="7"/>
      <c r="G3885" s="7"/>
      <c r="M3885" s="10"/>
      <c r="P3885" s="11"/>
      <c r="Q3885" s="12"/>
    </row>
    <row r="3886" spans="1:17">
      <c r="A3886" s="14">
        <v>44266</v>
      </c>
      <c r="B3886" s="8">
        <v>1700.5125589799036</v>
      </c>
      <c r="F3886" s="7"/>
      <c r="G3886" s="7"/>
      <c r="M3886" s="10"/>
      <c r="P3886" s="11"/>
      <c r="Q3886" s="12"/>
    </row>
    <row r="3887" spans="1:17">
      <c r="A3887" s="14">
        <v>44267</v>
      </c>
      <c r="B3887" s="8">
        <v>1699.9523852553848</v>
      </c>
      <c r="F3887" s="7"/>
      <c r="G3887" s="7"/>
      <c r="M3887" s="10"/>
      <c r="P3887" s="11"/>
      <c r="Q3887" s="12"/>
    </row>
    <row r="3888" spans="1:17">
      <c r="A3888" s="14">
        <v>44270</v>
      </c>
      <c r="B3888" s="8">
        <v>1704.2478392312855</v>
      </c>
      <c r="F3888" s="7"/>
      <c r="G3888" s="7"/>
      <c r="M3888" s="10"/>
      <c r="P3888" s="11"/>
      <c r="Q3888" s="12"/>
    </row>
    <row r="3889" spans="1:17">
      <c r="A3889" s="14">
        <v>44271</v>
      </c>
      <c r="B3889" s="8">
        <v>1704.6945770157854</v>
      </c>
      <c r="F3889" s="7"/>
      <c r="G3889" s="7"/>
      <c r="M3889" s="10"/>
      <c r="P3889" s="11"/>
      <c r="Q3889" s="12"/>
    </row>
    <row r="3890" spans="1:17">
      <c r="A3890" s="14">
        <v>44272</v>
      </c>
      <c r="B3890" s="8">
        <v>1711.6765853665504</v>
      </c>
      <c r="F3890" s="7"/>
      <c r="G3890" s="7"/>
      <c r="M3890" s="10"/>
      <c r="P3890" s="11"/>
      <c r="Q3890" s="12"/>
    </row>
    <row r="3891" spans="1:17">
      <c r="A3891" s="14">
        <v>44273</v>
      </c>
      <c r="B3891" s="8">
        <v>1705.8752899471033</v>
      </c>
      <c r="F3891" s="7"/>
      <c r="G3891" s="7"/>
      <c r="M3891" s="10"/>
      <c r="P3891" s="11"/>
      <c r="Q3891" s="12"/>
    </row>
    <row r="3892" spans="1:17">
      <c r="A3892" s="14">
        <v>44274</v>
      </c>
      <c r="B3892" s="8">
        <v>1688.9262970617717</v>
      </c>
      <c r="F3892" s="7"/>
      <c r="G3892" s="7"/>
      <c r="M3892" s="10"/>
      <c r="P3892" s="11"/>
      <c r="Q3892" s="12"/>
    </row>
    <row r="3893" spans="1:17">
      <c r="A3893" s="14">
        <v>44277</v>
      </c>
      <c r="B3893" s="8">
        <v>1688.9891295236689</v>
      </c>
      <c r="F3893" s="7"/>
      <c r="G3893" s="7"/>
      <c r="M3893" s="10"/>
      <c r="P3893" s="11"/>
      <c r="Q3893" s="12"/>
    </row>
    <row r="3894" spans="1:17">
      <c r="A3894" s="14">
        <v>44278</v>
      </c>
      <c r="B3894" s="8">
        <v>1683.9640642903514</v>
      </c>
      <c r="F3894" s="7"/>
      <c r="G3894" s="7"/>
      <c r="M3894" s="10"/>
      <c r="P3894" s="11"/>
      <c r="Q3894" s="12"/>
    </row>
    <row r="3895" spans="1:17">
      <c r="A3895" s="14">
        <v>44279</v>
      </c>
      <c r="B3895" s="8">
        <v>1678.8401974652793</v>
      </c>
      <c r="F3895" s="7"/>
      <c r="G3895" s="7"/>
      <c r="M3895" s="10"/>
      <c r="P3895" s="11"/>
      <c r="Q3895" s="12"/>
    </row>
    <row r="3896" spans="1:17">
      <c r="A3896" s="14">
        <v>44280</v>
      </c>
      <c r="B3896" s="8">
        <v>1683.3229369872076</v>
      </c>
      <c r="F3896" s="7"/>
      <c r="G3896" s="7"/>
      <c r="M3896" s="10"/>
      <c r="P3896" s="11"/>
      <c r="Q3896" s="12"/>
    </row>
    <row r="3897" spans="1:17">
      <c r="A3897" s="14">
        <v>44281</v>
      </c>
      <c r="B3897" s="8">
        <v>1716.0225052564974</v>
      </c>
      <c r="F3897" s="7"/>
      <c r="G3897" s="7"/>
      <c r="M3897" s="10"/>
      <c r="P3897" s="11"/>
      <c r="Q3897" s="12"/>
    </row>
    <row r="3898" spans="1:17">
      <c r="A3898" s="14">
        <v>44284</v>
      </c>
      <c r="B3898" s="8">
        <v>1704.900634492418</v>
      </c>
      <c r="F3898" s="7"/>
      <c r="G3898" s="7"/>
      <c r="M3898" s="10"/>
      <c r="P3898" s="11"/>
      <c r="Q3898" s="12"/>
    </row>
    <row r="3899" spans="1:17">
      <c r="A3899" s="14">
        <v>44285</v>
      </c>
      <c r="B3899" s="8">
        <v>1721.6644212893611</v>
      </c>
      <c r="F3899" s="7"/>
      <c r="G3899" s="7"/>
      <c r="M3899" s="10"/>
      <c r="P3899" s="11"/>
      <c r="Q3899" s="12"/>
    </row>
    <row r="3900" spans="1:17">
      <c r="A3900" s="14">
        <v>44286</v>
      </c>
      <c r="B3900" s="8">
        <v>1725.309666613894</v>
      </c>
      <c r="F3900" s="7"/>
      <c r="G3900" s="7"/>
      <c r="M3900" s="10"/>
      <c r="P3900" s="11"/>
      <c r="Q3900" s="12"/>
    </row>
    <row r="3901" spans="1:17">
      <c r="A3901" s="14">
        <v>44287</v>
      </c>
      <c r="B3901" s="8">
        <v>1748.8276878796726</v>
      </c>
      <c r="F3901" s="7"/>
      <c r="G3901" s="7"/>
      <c r="M3901" s="10"/>
      <c r="P3901" s="11"/>
      <c r="Q3901" s="12"/>
    </row>
    <row r="3902" spans="1:17">
      <c r="A3902" s="14">
        <v>44288</v>
      </c>
      <c r="B3902" s="8">
        <v>1748.4459952022387</v>
      </c>
      <c r="F3902" s="7"/>
      <c r="G3902" s="7"/>
      <c r="M3902" s="10"/>
      <c r="P3902" s="11"/>
      <c r="Q3902" s="12"/>
    </row>
    <row r="3903" spans="1:17">
      <c r="A3903" s="14">
        <v>44291</v>
      </c>
      <c r="B3903" s="8">
        <v>1758.6133714019636</v>
      </c>
      <c r="F3903" s="7"/>
      <c r="G3903" s="7"/>
      <c r="M3903" s="10"/>
      <c r="P3903" s="11"/>
      <c r="Q3903" s="12"/>
    </row>
    <row r="3904" spans="1:17">
      <c r="A3904" s="14">
        <v>44292</v>
      </c>
      <c r="B3904" s="8">
        <v>1756.6536872147349</v>
      </c>
      <c r="F3904" s="7"/>
      <c r="G3904" s="7"/>
      <c r="M3904" s="10"/>
      <c r="P3904" s="11"/>
      <c r="Q3904" s="12"/>
    </row>
    <row r="3905" spans="1:17">
      <c r="A3905" s="14">
        <v>44293</v>
      </c>
      <c r="B3905" s="8">
        <v>1750.292825857133</v>
      </c>
      <c r="F3905" s="7"/>
      <c r="G3905" s="7"/>
      <c r="M3905" s="10"/>
      <c r="P3905" s="11"/>
      <c r="Q3905" s="12"/>
    </row>
    <row r="3906" spans="1:17">
      <c r="A3906" s="14">
        <v>44294</v>
      </c>
      <c r="B3906" s="8">
        <v>1757.8048076288892</v>
      </c>
      <c r="F3906" s="7"/>
      <c r="G3906" s="7"/>
      <c r="M3906" s="10"/>
      <c r="P3906" s="11"/>
      <c r="Q3906" s="12"/>
    </row>
    <row r="3907" spans="1:17">
      <c r="A3907" s="14">
        <v>44295</v>
      </c>
      <c r="B3907" s="8">
        <v>1761.9578210947936</v>
      </c>
      <c r="F3907" s="7"/>
      <c r="G3907" s="7"/>
      <c r="M3907" s="10"/>
      <c r="P3907" s="11"/>
      <c r="Q3907" s="12"/>
    </row>
    <row r="3908" spans="1:17">
      <c r="A3908" s="14">
        <v>44298</v>
      </c>
      <c r="B3908" s="8">
        <v>1760.0167902074647</v>
      </c>
      <c r="F3908" s="7"/>
      <c r="G3908" s="7"/>
      <c r="M3908" s="10"/>
      <c r="P3908" s="11"/>
      <c r="Q3908" s="12"/>
    </row>
    <row r="3909" spans="1:17">
      <c r="A3909" s="14">
        <v>44299</v>
      </c>
      <c r="B3909" s="8">
        <v>1767.2112757286968</v>
      </c>
      <c r="F3909" s="7"/>
      <c r="G3909" s="7"/>
      <c r="M3909" s="10"/>
      <c r="P3909" s="11"/>
      <c r="Q3909" s="12"/>
    </row>
    <row r="3910" spans="1:17">
      <c r="A3910" s="14">
        <v>44300</v>
      </c>
      <c r="B3910" s="8">
        <v>1766.7759306848823</v>
      </c>
      <c r="F3910" s="7"/>
      <c r="G3910" s="7"/>
      <c r="M3910" s="10"/>
      <c r="P3910" s="11"/>
      <c r="Q3910" s="12"/>
    </row>
    <row r="3911" spans="1:17">
      <c r="A3911" s="14">
        <v>44301</v>
      </c>
      <c r="B3911" s="8">
        <v>1776.3048934822814</v>
      </c>
      <c r="F3911" s="7"/>
      <c r="G3911" s="7"/>
      <c r="M3911" s="10"/>
      <c r="P3911" s="11"/>
      <c r="Q3911" s="12"/>
    </row>
    <row r="3912" spans="1:17">
      <c r="A3912" s="14">
        <v>44302</v>
      </c>
      <c r="B3912" s="8">
        <v>1790.5497470283735</v>
      </c>
      <c r="F3912" s="7"/>
      <c r="G3912" s="7"/>
      <c r="M3912" s="10"/>
      <c r="P3912" s="11"/>
      <c r="Q3912" s="12"/>
    </row>
    <row r="3913" spans="1:17">
      <c r="A3913" s="14">
        <v>44305</v>
      </c>
      <c r="B3913" s="8">
        <v>1778.6923766951988</v>
      </c>
      <c r="F3913" s="7"/>
      <c r="G3913" s="7"/>
      <c r="M3913" s="10"/>
      <c r="P3913" s="11"/>
      <c r="Q3913" s="12"/>
    </row>
    <row r="3914" spans="1:17">
      <c r="A3914" s="14">
        <v>44306</v>
      </c>
      <c r="B3914" s="8">
        <v>1743.7384643428593</v>
      </c>
      <c r="F3914" s="7"/>
      <c r="G3914" s="7"/>
      <c r="M3914" s="10"/>
      <c r="P3914" s="11"/>
      <c r="Q3914" s="12"/>
    </row>
    <row r="3915" spans="1:17">
      <c r="A3915" s="14">
        <v>44307</v>
      </c>
      <c r="B3915" s="8">
        <v>1751.7500704411414</v>
      </c>
      <c r="F3915" s="7"/>
      <c r="G3915" s="7"/>
      <c r="M3915" s="10"/>
      <c r="P3915" s="11"/>
      <c r="Q3915" s="12"/>
    </row>
    <row r="3916" spans="1:17">
      <c r="A3916" s="14">
        <v>44308</v>
      </c>
      <c r="B3916" s="8">
        <v>1753.8364852328102</v>
      </c>
      <c r="F3916" s="7"/>
      <c r="G3916" s="7"/>
      <c r="M3916" s="10"/>
      <c r="P3916" s="11"/>
      <c r="Q3916" s="12"/>
    </row>
    <row r="3917" spans="1:17">
      <c r="A3917" s="14">
        <v>44309</v>
      </c>
      <c r="B3917" s="8">
        <v>1767.4190503600778</v>
      </c>
      <c r="F3917" s="7"/>
      <c r="G3917" s="7"/>
      <c r="M3917" s="10"/>
      <c r="P3917" s="11"/>
      <c r="Q3917" s="12"/>
    </row>
    <row r="3918" spans="1:17">
      <c r="A3918" s="14">
        <v>44312</v>
      </c>
      <c r="B3918" s="8">
        <v>1778.500223468435</v>
      </c>
      <c r="F3918" s="7"/>
      <c r="G3918" s="7"/>
      <c r="M3918" s="10"/>
      <c r="P3918" s="11"/>
      <c r="Q3918" s="12"/>
    </row>
    <row r="3919" spans="1:17">
      <c r="A3919" s="14">
        <v>44313</v>
      </c>
      <c r="B3919" s="8">
        <v>1780.8250151986235</v>
      </c>
      <c r="F3919" s="7"/>
      <c r="G3919" s="7"/>
      <c r="M3919" s="10"/>
      <c r="P3919" s="11"/>
      <c r="Q3919" s="12"/>
    </row>
    <row r="3920" spans="1:17">
      <c r="A3920" s="14">
        <v>44314</v>
      </c>
      <c r="B3920" s="8">
        <v>1778.2794825729259</v>
      </c>
      <c r="F3920" s="7"/>
      <c r="G3920" s="7"/>
      <c r="M3920" s="10"/>
      <c r="P3920" s="11"/>
      <c r="Q3920" s="12"/>
    </row>
    <row r="3921" spans="1:17">
      <c r="A3921" s="14">
        <v>44315</v>
      </c>
      <c r="B3921" s="8">
        <v>1779.8595502625699</v>
      </c>
      <c r="F3921" s="7"/>
      <c r="G3921" s="7"/>
      <c r="M3921" s="10"/>
      <c r="P3921" s="11"/>
      <c r="Q3921" s="12"/>
    </row>
    <row r="3922" spans="1:17">
      <c r="A3922" s="14">
        <v>44316</v>
      </c>
      <c r="B3922" s="8">
        <v>1767.0865626490397</v>
      </c>
      <c r="F3922" s="7"/>
      <c r="G3922" s="7"/>
      <c r="M3922" s="10"/>
      <c r="P3922" s="11"/>
      <c r="Q3922" s="12"/>
    </row>
    <row r="3923" spans="1:17">
      <c r="A3923" s="14">
        <v>44319</v>
      </c>
      <c r="B3923" s="8">
        <v>1768.8363719874403</v>
      </c>
      <c r="F3923" s="7"/>
      <c r="G3923" s="7"/>
      <c r="M3923" s="10"/>
      <c r="P3923" s="11"/>
      <c r="Q3923" s="12"/>
    </row>
    <row r="3924" spans="1:17">
      <c r="A3924" s="14">
        <v>44320</v>
      </c>
      <c r="B3924" s="8">
        <v>1743.9363664798188</v>
      </c>
      <c r="F3924" s="7"/>
      <c r="G3924" s="7"/>
      <c r="M3924" s="10"/>
      <c r="P3924" s="11"/>
      <c r="Q3924" s="12"/>
    </row>
    <row r="3925" spans="1:17">
      <c r="A3925" s="14">
        <v>44321</v>
      </c>
      <c r="B3925" s="8">
        <v>1763.8902272944756</v>
      </c>
      <c r="F3925" s="7"/>
      <c r="G3925" s="7"/>
      <c r="M3925" s="10"/>
      <c r="P3925" s="11"/>
      <c r="Q3925" s="12"/>
    </row>
    <row r="3926" spans="1:17">
      <c r="A3926" s="14">
        <v>44322</v>
      </c>
      <c r="B3926" s="8">
        <v>1774.8191354902119</v>
      </c>
      <c r="F3926" s="7"/>
      <c r="G3926" s="7"/>
      <c r="M3926" s="10"/>
      <c r="P3926" s="11"/>
      <c r="Q3926" s="12"/>
    </row>
    <row r="3927" spans="1:17">
      <c r="A3927" s="14">
        <v>44323</v>
      </c>
      <c r="B3927" s="8">
        <v>1787.0779181174451</v>
      </c>
      <c r="F3927" s="7"/>
      <c r="G3927" s="7"/>
      <c r="M3927" s="10"/>
      <c r="P3927" s="11"/>
      <c r="Q3927" s="12"/>
    </row>
    <row r="3928" spans="1:17">
      <c r="A3928" s="14">
        <v>44326</v>
      </c>
      <c r="B3928" s="8">
        <v>1774.4633521243477</v>
      </c>
      <c r="F3928" s="7"/>
      <c r="G3928" s="7"/>
      <c r="M3928" s="10"/>
      <c r="P3928" s="11"/>
      <c r="Q3928" s="12"/>
    </row>
    <row r="3929" spans="1:17">
      <c r="A3929" s="14">
        <v>44327</v>
      </c>
      <c r="B3929" s="8">
        <v>1756.7414427405763</v>
      </c>
      <c r="F3929" s="7"/>
      <c r="G3929" s="7"/>
      <c r="M3929" s="10"/>
      <c r="P3929" s="11"/>
      <c r="Q3929" s="12"/>
    </row>
    <row r="3930" spans="1:17">
      <c r="A3930" s="14">
        <v>44328</v>
      </c>
      <c r="B3930" s="8">
        <v>1735.480285725504</v>
      </c>
      <c r="F3930" s="7"/>
      <c r="G3930" s="7"/>
      <c r="M3930" s="10"/>
      <c r="P3930" s="11"/>
      <c r="Q3930" s="12"/>
    </row>
    <row r="3931" spans="1:17">
      <c r="A3931" s="14">
        <v>44329</v>
      </c>
      <c r="B3931" s="8">
        <v>1740.701154507881</v>
      </c>
      <c r="F3931" s="7"/>
      <c r="G3931" s="7"/>
      <c r="M3931" s="10"/>
      <c r="P3931" s="11"/>
      <c r="Q3931" s="12"/>
    </row>
    <row r="3932" spans="1:17">
      <c r="A3932" s="14">
        <v>44330</v>
      </c>
      <c r="B3932" s="8">
        <v>1773.471866193252</v>
      </c>
      <c r="F3932" s="7"/>
      <c r="G3932" s="7"/>
      <c r="M3932" s="10"/>
      <c r="P3932" s="11"/>
      <c r="Q3932" s="12"/>
    </row>
    <row r="3933" spans="1:17">
      <c r="A3933" s="14">
        <v>44333</v>
      </c>
      <c r="B3933" s="8">
        <v>1762.9618346888303</v>
      </c>
      <c r="F3933" s="7"/>
      <c r="G3933" s="7"/>
      <c r="M3933" s="10"/>
      <c r="P3933" s="11"/>
      <c r="Q3933" s="12"/>
    </row>
    <row r="3934" spans="1:17">
      <c r="A3934" s="14">
        <v>44334</v>
      </c>
      <c r="B3934" s="8">
        <v>1757.3894802658447</v>
      </c>
      <c r="F3934" s="7"/>
      <c r="G3934" s="7"/>
      <c r="M3934" s="10"/>
      <c r="P3934" s="11"/>
      <c r="Q3934" s="12"/>
    </row>
    <row r="3935" spans="1:17">
      <c r="A3935" s="14">
        <v>44335</v>
      </c>
      <c r="B3935" s="8">
        <v>1740.1117864445266</v>
      </c>
      <c r="F3935" s="7"/>
      <c r="G3935" s="7"/>
      <c r="M3935" s="10"/>
      <c r="P3935" s="11"/>
      <c r="Q3935" s="12"/>
    </row>
    <row r="3936" spans="1:17">
      <c r="A3936" s="14">
        <v>44336</v>
      </c>
      <c r="B3936" s="8">
        <v>1765.9801598968079</v>
      </c>
      <c r="F3936" s="7"/>
      <c r="G3936" s="7"/>
      <c r="M3936" s="10"/>
      <c r="P3936" s="11"/>
      <c r="Q3936" s="12"/>
    </row>
    <row r="3937" spans="1:17">
      <c r="A3937" s="14">
        <v>44337</v>
      </c>
      <c r="B3937" s="8">
        <v>1772.6539712024671</v>
      </c>
      <c r="F3937" s="7"/>
      <c r="G3937" s="7"/>
      <c r="M3937" s="10"/>
      <c r="P3937" s="11"/>
      <c r="Q3937" s="12"/>
    </row>
    <row r="3938" spans="1:17">
      <c r="A3938" s="14">
        <v>44340</v>
      </c>
      <c r="B3938" s="8">
        <v>1785.1315089194604</v>
      </c>
      <c r="F3938" s="7"/>
      <c r="G3938" s="7"/>
      <c r="M3938" s="10"/>
      <c r="P3938" s="11"/>
      <c r="Q3938" s="12"/>
    </row>
    <row r="3939" spans="1:17">
      <c r="A3939" s="14">
        <v>44341</v>
      </c>
      <c r="B3939" s="8">
        <v>1787.598946606545</v>
      </c>
      <c r="F3939" s="7"/>
      <c r="G3939" s="7"/>
      <c r="M3939" s="10"/>
      <c r="P3939" s="11"/>
      <c r="Q3939" s="12"/>
    </row>
    <row r="3940" spans="1:17">
      <c r="A3940" s="14">
        <v>44342</v>
      </c>
      <c r="B3940" s="8">
        <v>1785.0180400853747</v>
      </c>
      <c r="F3940" s="7"/>
      <c r="G3940" s="7"/>
      <c r="M3940" s="10"/>
      <c r="P3940" s="11"/>
      <c r="Q3940" s="12"/>
    </row>
    <row r="3941" spans="1:17">
      <c r="A3941" s="14">
        <v>44343</v>
      </c>
      <c r="B3941" s="8">
        <v>1791.792777870053</v>
      </c>
      <c r="F3941" s="7"/>
      <c r="G3941" s="7"/>
      <c r="M3941" s="10"/>
      <c r="P3941" s="11"/>
      <c r="Q3941" s="12"/>
    </row>
    <row r="3942" spans="1:17">
      <c r="A3942" s="14">
        <v>44344</v>
      </c>
      <c r="B3942" s="8">
        <v>1803.5808469328151</v>
      </c>
      <c r="F3942" s="7"/>
      <c r="G3942" s="7"/>
      <c r="M3942" s="10"/>
      <c r="P3942" s="11"/>
      <c r="Q3942" s="12"/>
    </row>
    <row r="3943" spans="1:17">
      <c r="A3943" s="14">
        <v>44347</v>
      </c>
      <c r="B3943" s="8">
        <v>1798.0715212835403</v>
      </c>
      <c r="F3943" s="7"/>
      <c r="G3943" s="7"/>
      <c r="M3943" s="10"/>
      <c r="P3943" s="11"/>
      <c r="Q3943" s="12"/>
    </row>
    <row r="3944" spans="1:17">
      <c r="A3944" s="14">
        <v>44348</v>
      </c>
      <c r="B3944" s="8">
        <v>1804.4401050771739</v>
      </c>
      <c r="F3944" s="7"/>
      <c r="G3944" s="7"/>
      <c r="M3944" s="10"/>
      <c r="P3944" s="11"/>
      <c r="Q3944" s="12"/>
    </row>
    <row r="3945" spans="1:17">
      <c r="A3945" s="14">
        <v>44349</v>
      </c>
      <c r="B3945" s="8">
        <v>1807.4849841082114</v>
      </c>
      <c r="F3945" s="7"/>
      <c r="G3945" s="7"/>
      <c r="M3945" s="10"/>
      <c r="P3945" s="11"/>
      <c r="Q3945" s="12"/>
    </row>
    <row r="3946" spans="1:17">
      <c r="A3946" s="14">
        <v>44350</v>
      </c>
      <c r="B3946" s="8">
        <v>1804.3364831027222</v>
      </c>
      <c r="F3946" s="7"/>
      <c r="G3946" s="7"/>
      <c r="M3946" s="10"/>
      <c r="P3946" s="11"/>
      <c r="Q3946" s="12"/>
    </row>
    <row r="3947" spans="1:17">
      <c r="A3947" s="14">
        <v>44351</v>
      </c>
      <c r="B3947" s="8">
        <v>1814.6561467168017</v>
      </c>
      <c r="F3947" s="7"/>
      <c r="G3947" s="7"/>
      <c r="M3947" s="10"/>
      <c r="P3947" s="11"/>
      <c r="Q3947" s="12"/>
    </row>
    <row r="3948" spans="1:17">
      <c r="A3948" s="14">
        <v>44354</v>
      </c>
      <c r="B3948" s="8">
        <v>1815.6361283717974</v>
      </c>
      <c r="F3948" s="7"/>
      <c r="G3948" s="7"/>
      <c r="M3948" s="10"/>
      <c r="P3948" s="11"/>
      <c r="Q3948" s="12"/>
    </row>
    <row r="3949" spans="1:17">
      <c r="A3949" s="14">
        <v>44355</v>
      </c>
      <c r="B3949" s="8">
        <v>1813.675235854593</v>
      </c>
      <c r="F3949" s="7"/>
      <c r="G3949" s="7"/>
      <c r="M3949" s="10"/>
      <c r="P3949" s="11"/>
      <c r="Q3949" s="12"/>
    </row>
    <row r="3950" spans="1:17">
      <c r="A3950" s="14">
        <v>44356</v>
      </c>
      <c r="B3950" s="8">
        <v>1807.3293585645768</v>
      </c>
      <c r="F3950" s="7"/>
      <c r="G3950" s="7"/>
      <c r="M3950" s="10"/>
      <c r="P3950" s="11"/>
      <c r="Q3950" s="12"/>
    </row>
    <row r="3951" spans="1:17">
      <c r="A3951" s="14">
        <v>44357</v>
      </c>
      <c r="B3951" s="8">
        <v>1811.7983130039768</v>
      </c>
      <c r="F3951" s="7"/>
      <c r="G3951" s="7"/>
      <c r="M3951" s="10"/>
      <c r="P3951" s="11"/>
      <c r="Q3951" s="12"/>
    </row>
    <row r="3952" spans="1:17">
      <c r="A3952" s="14">
        <v>44358</v>
      </c>
      <c r="B3952" s="8">
        <v>1819.2943545152161</v>
      </c>
      <c r="F3952" s="7"/>
      <c r="G3952" s="7"/>
      <c r="M3952" s="10"/>
      <c r="P3952" s="11"/>
      <c r="Q3952" s="12"/>
    </row>
    <row r="3953" spans="1:17">
      <c r="A3953" s="14">
        <v>44361</v>
      </c>
      <c r="B3953" s="8">
        <v>1826.8514865329721</v>
      </c>
      <c r="F3953" s="7"/>
      <c r="G3953" s="7"/>
      <c r="M3953" s="10"/>
      <c r="P3953" s="11"/>
      <c r="Q3953" s="12"/>
    </row>
    <row r="3954" spans="1:17">
      <c r="A3954" s="14">
        <v>44362</v>
      </c>
      <c r="B3954" s="8">
        <v>1819.6135200026711</v>
      </c>
      <c r="F3954" s="7"/>
      <c r="G3954" s="7"/>
      <c r="M3954" s="10"/>
      <c r="P3954" s="11"/>
      <c r="Q3954" s="12"/>
    </row>
    <row r="3955" spans="1:17">
      <c r="A3955" s="14">
        <v>44363</v>
      </c>
      <c r="B3955" s="8">
        <v>1812.0812502104618</v>
      </c>
      <c r="F3955" s="7"/>
      <c r="G3955" s="7"/>
      <c r="M3955" s="10"/>
      <c r="P3955" s="11"/>
      <c r="Q3955" s="12"/>
    </row>
    <row r="3956" spans="1:17">
      <c r="A3956" s="14">
        <v>44364</v>
      </c>
      <c r="B3956" s="8">
        <v>1817.053458740427</v>
      </c>
      <c r="F3956" s="7"/>
      <c r="G3956" s="7"/>
      <c r="M3956" s="10"/>
      <c r="P3956" s="11"/>
      <c r="Q3956" s="12"/>
    </row>
    <row r="3957" spans="1:17">
      <c r="A3957" s="14">
        <v>44365</v>
      </c>
      <c r="B3957" s="8">
        <v>1786.1199059205946</v>
      </c>
      <c r="F3957" s="7"/>
      <c r="G3957" s="7"/>
      <c r="M3957" s="10"/>
      <c r="P3957" s="11"/>
      <c r="Q3957" s="12"/>
    </row>
    <row r="3958" spans="1:17">
      <c r="A3958" s="14">
        <v>44368</v>
      </c>
      <c r="B3958" s="8">
        <v>1800.8456788668971</v>
      </c>
      <c r="F3958" s="7"/>
      <c r="G3958" s="7"/>
      <c r="M3958" s="10"/>
      <c r="P3958" s="11"/>
      <c r="Q3958" s="12"/>
    </row>
    <row r="3959" spans="1:17">
      <c r="A3959" s="14">
        <v>44369</v>
      </c>
      <c r="B3959" s="8">
        <v>1807.8404814969765</v>
      </c>
      <c r="F3959" s="7"/>
      <c r="G3959" s="7"/>
      <c r="M3959" s="10"/>
      <c r="P3959" s="11"/>
      <c r="Q3959" s="12"/>
    </row>
    <row r="3960" spans="1:17">
      <c r="A3960" s="14">
        <v>44370</v>
      </c>
      <c r="B3960" s="8">
        <v>1804.0218315811871</v>
      </c>
      <c r="F3960" s="7"/>
      <c r="G3960" s="7"/>
      <c r="M3960" s="10"/>
      <c r="P3960" s="11"/>
      <c r="Q3960" s="12"/>
    </row>
    <row r="3961" spans="1:17">
      <c r="A3961" s="14">
        <v>44371</v>
      </c>
      <c r="B3961" s="8">
        <v>1826.1597235066047</v>
      </c>
      <c r="F3961" s="7"/>
      <c r="G3961" s="7"/>
      <c r="M3961" s="10"/>
      <c r="P3961" s="11"/>
      <c r="Q3961" s="12"/>
    </row>
    <row r="3962" spans="1:17">
      <c r="A3962" s="14">
        <v>44372</v>
      </c>
      <c r="B3962" s="8">
        <v>1831.1336690642408</v>
      </c>
      <c r="F3962" s="7"/>
      <c r="G3962" s="7"/>
      <c r="M3962" s="10"/>
      <c r="P3962" s="11"/>
      <c r="Q3962" s="12"/>
    </row>
    <row r="3963" spans="1:17">
      <c r="A3963" s="14">
        <v>44375</v>
      </c>
      <c r="B3963" s="8">
        <v>1822.8942620821636</v>
      </c>
      <c r="F3963" s="7"/>
      <c r="G3963" s="7"/>
      <c r="M3963" s="10"/>
      <c r="P3963" s="11"/>
      <c r="Q3963" s="12"/>
    </row>
    <row r="3964" spans="1:17">
      <c r="A3964" s="14">
        <v>44376</v>
      </c>
      <c r="B3964" s="8">
        <v>1830.2951488316692</v>
      </c>
      <c r="F3964" s="7"/>
      <c r="G3964" s="7"/>
      <c r="M3964" s="10"/>
      <c r="P3964" s="11"/>
      <c r="Q3964" s="12"/>
    </row>
    <row r="3965" spans="1:17">
      <c r="A3965" s="14">
        <v>44377</v>
      </c>
      <c r="B3965" s="8">
        <v>1817.9983606076266</v>
      </c>
      <c r="F3965" s="7"/>
      <c r="G3965" s="7"/>
      <c r="M3965" s="10"/>
      <c r="P3965" s="11"/>
      <c r="Q3965" s="12"/>
    </row>
    <row r="3966" spans="1:17">
      <c r="A3966" s="14">
        <v>44378</v>
      </c>
      <c r="B3966" s="8">
        <v>1829.3935097258682</v>
      </c>
      <c r="F3966" s="7"/>
      <c r="G3966" s="7"/>
      <c r="M3966" s="10"/>
      <c r="P3966" s="11"/>
      <c r="Q3966" s="12"/>
    </row>
    <row r="3967" spans="1:17">
      <c r="A3967" s="14">
        <v>44379</v>
      </c>
      <c r="B3967" s="8">
        <v>1829.7201116612171</v>
      </c>
      <c r="F3967" s="7"/>
      <c r="G3967" s="7"/>
      <c r="M3967" s="10"/>
      <c r="P3967" s="11"/>
      <c r="Q3967" s="12"/>
    </row>
    <row r="3968" spans="1:17">
      <c r="A3968" s="14">
        <v>44382</v>
      </c>
      <c r="B3968" s="8">
        <v>1833.8665315501264</v>
      </c>
      <c r="F3968" s="7"/>
      <c r="G3968" s="7"/>
      <c r="M3968" s="10"/>
      <c r="P3968" s="11"/>
      <c r="Q3968" s="12"/>
    </row>
    <row r="3969" spans="1:17">
      <c r="A3969" s="14">
        <v>44383</v>
      </c>
      <c r="B3969" s="8">
        <v>1819.078622037506</v>
      </c>
      <c r="F3969" s="7"/>
      <c r="G3969" s="7"/>
      <c r="M3969" s="10"/>
      <c r="P3969" s="11"/>
      <c r="Q3969" s="12"/>
    </row>
    <row r="3970" spans="1:17">
      <c r="A3970" s="14">
        <v>44384</v>
      </c>
      <c r="B3970" s="8">
        <v>1818.3732066901346</v>
      </c>
      <c r="F3970" s="7"/>
      <c r="G3970" s="7"/>
      <c r="M3970" s="10"/>
      <c r="P3970" s="11"/>
      <c r="Q3970" s="12"/>
    </row>
    <row r="3971" spans="1:17">
      <c r="A3971" s="14">
        <v>44385</v>
      </c>
      <c r="B3971" s="8">
        <v>1786.0726260848603</v>
      </c>
      <c r="F3971" s="7"/>
      <c r="G3971" s="7"/>
      <c r="M3971" s="10"/>
      <c r="P3971" s="11"/>
      <c r="Q3971" s="12"/>
    </row>
    <row r="3972" spans="1:17">
      <c r="A3972" s="14">
        <v>44386</v>
      </c>
      <c r="B3972" s="8">
        <v>1816.0387588832527</v>
      </c>
      <c r="F3972" s="7"/>
      <c r="G3972" s="7"/>
      <c r="M3972" s="10"/>
      <c r="P3972" s="11"/>
      <c r="Q3972" s="12"/>
    </row>
    <row r="3973" spans="1:17">
      <c r="A3973" s="14">
        <v>44389</v>
      </c>
      <c r="B3973" s="8">
        <v>1823.5707395246918</v>
      </c>
      <c r="F3973" s="7"/>
      <c r="G3973" s="7"/>
      <c r="M3973" s="10"/>
      <c r="P3973" s="11"/>
      <c r="Q3973" s="12"/>
    </row>
    <row r="3974" spans="1:17">
      <c r="A3974" s="14">
        <v>44390</v>
      </c>
      <c r="B3974" s="8">
        <v>1815.7126086290273</v>
      </c>
      <c r="F3974" s="7"/>
      <c r="G3974" s="7"/>
      <c r="M3974" s="10"/>
      <c r="P3974" s="11"/>
      <c r="Q3974" s="12"/>
    </row>
    <row r="3975" spans="1:17">
      <c r="A3975" s="14">
        <v>44391</v>
      </c>
      <c r="B3975" s="8">
        <v>1818.4318060839948</v>
      </c>
      <c r="F3975" s="7"/>
      <c r="G3975" s="7"/>
      <c r="M3975" s="10"/>
      <c r="P3975" s="11"/>
      <c r="Q3975" s="12"/>
    </row>
    <row r="3976" spans="1:17">
      <c r="A3976" s="14">
        <v>44392</v>
      </c>
      <c r="B3976" s="8">
        <v>1801.765731373976</v>
      </c>
      <c r="F3976" s="7"/>
      <c r="G3976" s="7"/>
      <c r="M3976" s="10"/>
      <c r="P3976" s="11"/>
      <c r="Q3976" s="12"/>
    </row>
    <row r="3977" spans="1:17">
      <c r="A3977" s="14">
        <v>44393</v>
      </c>
      <c r="B3977" s="8">
        <v>1781.1150503039289</v>
      </c>
      <c r="F3977" s="7"/>
      <c r="G3977" s="7"/>
      <c r="M3977" s="10"/>
      <c r="P3977" s="11"/>
      <c r="Q3977" s="12"/>
    </row>
    <row r="3978" spans="1:17">
      <c r="A3978" s="14">
        <v>44396</v>
      </c>
      <c r="B3978" s="8">
        <v>1744.3315999798053</v>
      </c>
      <c r="F3978" s="7"/>
      <c r="G3978" s="7"/>
      <c r="M3978" s="10"/>
      <c r="P3978" s="11"/>
      <c r="Q3978" s="12"/>
    </row>
    <row r="3979" spans="1:17">
      <c r="A3979" s="14">
        <v>44397</v>
      </c>
      <c r="B3979" s="8">
        <v>1763.5789902768875</v>
      </c>
      <c r="F3979" s="7"/>
      <c r="G3979" s="7"/>
      <c r="M3979" s="10"/>
      <c r="P3979" s="11"/>
      <c r="Q3979" s="12"/>
    </row>
    <row r="3980" spans="1:17">
      <c r="A3980" s="14">
        <v>44398</v>
      </c>
      <c r="B3980" s="8">
        <v>1795.0556403737824</v>
      </c>
      <c r="F3980" s="7"/>
      <c r="G3980" s="7"/>
      <c r="M3980" s="10"/>
      <c r="P3980" s="11"/>
      <c r="Q3980" s="12"/>
    </row>
    <row r="3981" spans="1:17">
      <c r="A3981" s="14">
        <v>44399</v>
      </c>
      <c r="B3981" s="8">
        <v>1800.1768659226911</v>
      </c>
      <c r="F3981" s="7"/>
      <c r="G3981" s="7"/>
      <c r="M3981" s="10"/>
      <c r="P3981" s="11"/>
      <c r="Q3981" s="12"/>
    </row>
    <row r="3982" spans="1:17">
      <c r="A3982" s="14">
        <v>44400</v>
      </c>
      <c r="B3982" s="8">
        <v>1817.6298157375104</v>
      </c>
      <c r="F3982" s="7"/>
      <c r="G3982" s="7"/>
      <c r="M3982" s="10"/>
      <c r="P3982" s="11"/>
      <c r="Q3982" s="12"/>
    </row>
    <row r="3983" spans="1:17">
      <c r="A3983" s="14">
        <v>44403</v>
      </c>
      <c r="B3983" s="8">
        <v>1819.3165080001402</v>
      </c>
      <c r="F3983" s="7"/>
      <c r="G3983" s="7"/>
      <c r="M3983" s="10"/>
      <c r="P3983" s="11"/>
      <c r="Q3983" s="12"/>
    </row>
    <row r="3984" spans="1:17">
      <c r="A3984" s="14">
        <v>44404</v>
      </c>
      <c r="B3984" s="8">
        <v>1802.2885159656666</v>
      </c>
      <c r="F3984" s="7"/>
      <c r="G3984" s="7"/>
      <c r="M3984" s="10"/>
      <c r="P3984" s="11"/>
      <c r="Q3984" s="12"/>
    </row>
    <row r="3985" spans="1:17">
      <c r="A3985" s="14">
        <v>44405</v>
      </c>
      <c r="B3985" s="8">
        <v>1811.319977525498</v>
      </c>
      <c r="F3985" s="7"/>
      <c r="G3985" s="7"/>
      <c r="M3985" s="10"/>
      <c r="P3985" s="11"/>
      <c r="Q3985" s="12"/>
    </row>
    <row r="3986" spans="1:17">
      <c r="A3986" s="14">
        <v>44406</v>
      </c>
      <c r="B3986" s="8">
        <v>1831.2069983458739</v>
      </c>
      <c r="F3986" s="7"/>
      <c r="G3986" s="7"/>
      <c r="M3986" s="10"/>
      <c r="P3986" s="11"/>
      <c r="Q3986" s="12"/>
    </row>
    <row r="3987" spans="1:17">
      <c r="A3987" s="14">
        <v>44407</v>
      </c>
      <c r="B3987" s="8">
        <v>1828.1754840270521</v>
      </c>
      <c r="F3987" s="7"/>
      <c r="G3987" s="7"/>
      <c r="M3987" s="10"/>
      <c r="P3987" s="11"/>
      <c r="Q3987" s="12"/>
    </row>
    <row r="3988" spans="1:17">
      <c r="A3988" s="14">
        <v>44410</v>
      </c>
      <c r="B3988" s="8">
        <v>1831.867778971395</v>
      </c>
      <c r="F3988" s="7"/>
      <c r="G3988" s="7"/>
      <c r="M3988" s="10"/>
      <c r="P3988" s="11"/>
      <c r="Q3988" s="12"/>
    </row>
    <row r="3989" spans="1:17">
      <c r="A3989" s="14">
        <v>44411</v>
      </c>
      <c r="B3989" s="8">
        <v>1838.1428736700645</v>
      </c>
      <c r="F3989" s="7"/>
      <c r="G3989" s="7"/>
      <c r="M3989" s="10"/>
      <c r="P3989" s="11"/>
      <c r="Q3989" s="12"/>
    </row>
    <row r="3990" spans="1:17">
      <c r="A3990" s="14">
        <v>44412</v>
      </c>
      <c r="B3990" s="8">
        <v>1851.1434779470264</v>
      </c>
      <c r="F3990" s="7"/>
      <c r="G3990" s="7"/>
      <c r="M3990" s="10"/>
      <c r="P3990" s="11"/>
      <c r="Q3990" s="12"/>
    </row>
    <row r="3991" spans="1:17">
      <c r="A3991" s="14">
        <v>44413</v>
      </c>
      <c r="B3991" s="8">
        <v>1864.7361920665776</v>
      </c>
      <c r="F3991" s="7"/>
      <c r="G3991" s="7"/>
      <c r="M3991" s="10"/>
      <c r="P3991" s="11"/>
      <c r="Q3991" s="12"/>
    </row>
    <row r="3992" spans="1:17">
      <c r="A3992" s="14">
        <v>44414</v>
      </c>
      <c r="B3992" s="8">
        <v>1872.8591865993913</v>
      </c>
      <c r="F3992" s="7"/>
      <c r="G3992" s="7"/>
      <c r="M3992" s="10"/>
      <c r="P3992" s="11"/>
      <c r="Q3992" s="12"/>
    </row>
    <row r="3993" spans="1:17">
      <c r="A3993" s="14">
        <v>44417</v>
      </c>
      <c r="B3993" s="8">
        <v>1872.1381162071098</v>
      </c>
      <c r="F3993" s="7"/>
      <c r="G3993" s="7"/>
      <c r="M3993" s="10"/>
      <c r="P3993" s="11"/>
      <c r="Q3993" s="12"/>
    </row>
    <row r="3994" spans="1:17">
      <c r="A3994" s="14">
        <v>44418</v>
      </c>
      <c r="B3994" s="8">
        <v>1877.1468582262282</v>
      </c>
      <c r="F3994" s="7"/>
      <c r="G3994" s="7"/>
      <c r="M3994" s="10"/>
      <c r="P3994" s="11"/>
      <c r="Q3994" s="12"/>
    </row>
    <row r="3995" spans="1:17">
      <c r="A3995" s="14">
        <v>44419</v>
      </c>
      <c r="B3995" s="8">
        <v>1887.767672926002</v>
      </c>
      <c r="F3995" s="7"/>
      <c r="G3995" s="7"/>
      <c r="M3995" s="10"/>
      <c r="P3995" s="11"/>
      <c r="Q3995" s="12"/>
    </row>
    <row r="3996" spans="1:17">
      <c r="A3996" s="14">
        <v>44420</v>
      </c>
      <c r="B3996" s="8">
        <v>1889.2903258211259</v>
      </c>
      <c r="F3996" s="7"/>
      <c r="G3996" s="7"/>
      <c r="M3996" s="10"/>
      <c r="P3996" s="11"/>
      <c r="Q3996" s="12"/>
    </row>
    <row r="3997" spans="1:17">
      <c r="A3997" s="14">
        <v>44421</v>
      </c>
      <c r="B3997" s="8">
        <v>1888.8131477493225</v>
      </c>
      <c r="F3997" s="7"/>
      <c r="G3997" s="7"/>
      <c r="M3997" s="10"/>
      <c r="P3997" s="11"/>
      <c r="Q3997" s="12"/>
    </row>
    <row r="3998" spans="1:17">
      <c r="A3998" s="14">
        <v>44424</v>
      </c>
      <c r="B3998" s="8">
        <v>1873.8970755075027</v>
      </c>
      <c r="F3998" s="7"/>
      <c r="G3998" s="7"/>
      <c r="M3998" s="10"/>
      <c r="P3998" s="11"/>
      <c r="Q3998" s="12"/>
    </row>
    <row r="3999" spans="1:17">
      <c r="A3999" s="14">
        <v>44425</v>
      </c>
      <c r="B3999" s="8">
        <v>1851.1061053230173</v>
      </c>
      <c r="F3999" s="7"/>
      <c r="G3999" s="7"/>
      <c r="M3999" s="10"/>
      <c r="P3999" s="11"/>
      <c r="Q3999" s="12"/>
    </row>
    <row r="4000" spans="1:17">
      <c r="A4000" s="14">
        <v>44426</v>
      </c>
      <c r="B4000" s="8">
        <v>1850.7154978667863</v>
      </c>
      <c r="F4000" s="7"/>
      <c r="G4000" s="7"/>
      <c r="M4000" s="10"/>
      <c r="P4000" s="11"/>
      <c r="Q4000" s="12"/>
    </row>
    <row r="4001" spans="1:17">
      <c r="A4001" s="14">
        <v>44427</v>
      </c>
      <c r="B4001" s="8">
        <v>1835.280240707501</v>
      </c>
      <c r="F4001" s="7"/>
      <c r="G4001" s="7"/>
      <c r="M4001" s="10"/>
      <c r="P4001" s="11"/>
      <c r="Q4001" s="12"/>
    </row>
    <row r="4002" spans="1:17">
      <c r="A4002" s="14">
        <v>44428</v>
      </c>
      <c r="B4002" s="8">
        <v>1847.7020695545536</v>
      </c>
      <c r="F4002" s="7"/>
      <c r="G4002" s="7"/>
      <c r="M4002" s="10"/>
      <c r="P4002" s="11"/>
      <c r="Q4002" s="12"/>
    </row>
    <row r="4003" spans="1:17">
      <c r="A4003" s="14">
        <v>44431</v>
      </c>
      <c r="B4003" s="8">
        <v>1866.3507365385415</v>
      </c>
      <c r="F4003" s="7"/>
      <c r="G4003" s="7"/>
      <c r="M4003" s="10"/>
      <c r="P4003" s="11"/>
      <c r="Q4003" s="12"/>
    </row>
    <row r="4004" spans="1:17">
      <c r="A4004" s="14">
        <v>44432</v>
      </c>
      <c r="B4004" s="8">
        <v>1872.3629580276115</v>
      </c>
      <c r="F4004" s="7"/>
      <c r="G4004" s="7"/>
      <c r="M4004" s="10"/>
      <c r="P4004" s="11"/>
      <c r="Q4004" s="12"/>
    </row>
    <row r="4005" spans="1:17">
      <c r="A4005" s="14">
        <v>44433</v>
      </c>
      <c r="B4005" s="8">
        <v>1883.6409223362</v>
      </c>
      <c r="F4005" s="7"/>
      <c r="G4005" s="7"/>
      <c r="M4005" s="10"/>
      <c r="P4005" s="11"/>
      <c r="Q4005" s="12"/>
    </row>
    <row r="4006" spans="1:17">
      <c r="A4006" s="14">
        <v>44434</v>
      </c>
      <c r="B4006" s="8">
        <v>1874.2681041325898</v>
      </c>
      <c r="F4006" s="7"/>
      <c r="G4006" s="7"/>
      <c r="M4006" s="10"/>
      <c r="P4006" s="11"/>
      <c r="Q4006" s="12"/>
    </row>
    <row r="4007" spans="1:17">
      <c r="A4007" s="14">
        <v>44435</v>
      </c>
      <c r="B4007" s="8">
        <v>1889.0065652341573</v>
      </c>
      <c r="F4007" s="7"/>
      <c r="G4007" s="7"/>
      <c r="M4007" s="10"/>
      <c r="P4007" s="11"/>
      <c r="Q4007" s="12"/>
    </row>
    <row r="4008" spans="1:17">
      <c r="A4008" s="14">
        <v>44438</v>
      </c>
      <c r="B4008" s="8">
        <v>1886.8714784442705</v>
      </c>
      <c r="F4008" s="7"/>
      <c r="G4008" s="7"/>
      <c r="M4008" s="10"/>
      <c r="P4008" s="11"/>
      <c r="Q4008" s="12"/>
    </row>
    <row r="4009" spans="1:17">
      <c r="A4009" s="14">
        <v>44439</v>
      </c>
      <c r="B4009" s="8">
        <v>1887.2454988286072</v>
      </c>
      <c r="F4009" s="7"/>
      <c r="G4009" s="7"/>
      <c r="M4009" s="10"/>
      <c r="P4009" s="11"/>
      <c r="Q4009" s="12"/>
    </row>
    <row r="4010" spans="1:17">
      <c r="A4010" s="14">
        <v>44440</v>
      </c>
      <c r="B4010" s="8">
        <v>1895.5944757027244</v>
      </c>
      <c r="F4010" s="7"/>
      <c r="G4010" s="7"/>
      <c r="M4010" s="10"/>
      <c r="P4010" s="11"/>
      <c r="Q4010" s="12"/>
    </row>
    <row r="4011" spans="1:17">
      <c r="A4011" s="14">
        <v>44441</v>
      </c>
      <c r="B4011" s="8">
        <v>1901.6726620390671</v>
      </c>
      <c r="F4011" s="7"/>
      <c r="G4011" s="7"/>
      <c r="M4011" s="10"/>
      <c r="P4011" s="11"/>
      <c r="Q4011" s="12"/>
    </row>
    <row r="4012" spans="1:17">
      <c r="A4012" s="14">
        <v>44442</v>
      </c>
      <c r="B4012" s="8">
        <v>1898.5476062964922</v>
      </c>
      <c r="F4012" s="7"/>
      <c r="G4012" s="7"/>
      <c r="M4012" s="10"/>
      <c r="P4012" s="11"/>
      <c r="Q4012" s="12"/>
    </row>
    <row r="4013" spans="1:17">
      <c r="A4013" s="14">
        <v>44445</v>
      </c>
      <c r="B4013" s="8">
        <v>1905.3900290084471</v>
      </c>
      <c r="F4013" s="7"/>
      <c r="G4013" s="7"/>
      <c r="M4013" s="10"/>
      <c r="P4013" s="11"/>
      <c r="Q4013" s="12"/>
    </row>
    <row r="4014" spans="1:17">
      <c r="A4014" s="14">
        <v>44446</v>
      </c>
      <c r="B4014" s="8">
        <v>1902.2859593050944</v>
      </c>
      <c r="F4014" s="7"/>
      <c r="G4014" s="7"/>
      <c r="M4014" s="10"/>
      <c r="P4014" s="11"/>
      <c r="Q4014" s="12"/>
    </row>
    <row r="4015" spans="1:17">
      <c r="A4015" s="14">
        <v>44447</v>
      </c>
      <c r="B4015" s="8">
        <v>1884.0409886619473</v>
      </c>
      <c r="F4015" s="7"/>
      <c r="G4015" s="7"/>
      <c r="M4015" s="10"/>
      <c r="P4015" s="11"/>
      <c r="Q4015" s="12"/>
    </row>
    <row r="4016" spans="1:17">
      <c r="A4016" s="14">
        <v>44448</v>
      </c>
      <c r="B4016" s="8">
        <v>1883.0671145913814</v>
      </c>
      <c r="F4016" s="7"/>
      <c r="G4016" s="7"/>
      <c r="M4016" s="10"/>
      <c r="P4016" s="11"/>
      <c r="Q4016" s="12"/>
    </row>
    <row r="4017" spans="1:17">
      <c r="A4017" s="14">
        <v>44449</v>
      </c>
      <c r="B4017" s="8">
        <v>1877.7897795183985</v>
      </c>
      <c r="F4017" s="7"/>
      <c r="G4017" s="7"/>
      <c r="M4017" s="10"/>
      <c r="P4017" s="11"/>
      <c r="Q4017" s="12"/>
    </row>
    <row r="4018" spans="1:17">
      <c r="A4018" s="14">
        <v>44452</v>
      </c>
      <c r="B4018" s="8">
        <v>1885.1045864493833</v>
      </c>
      <c r="F4018" s="7"/>
      <c r="G4018" s="7"/>
      <c r="M4018" s="10"/>
      <c r="P4018" s="11"/>
      <c r="Q4018" s="12"/>
    </row>
    <row r="4019" spans="1:17">
      <c r="A4019" s="14">
        <v>44453</v>
      </c>
      <c r="B4019" s="8">
        <v>1882.9047401985772</v>
      </c>
      <c r="F4019" s="7"/>
      <c r="G4019" s="7"/>
      <c r="M4019" s="10"/>
      <c r="P4019" s="11"/>
      <c r="Q4019" s="12"/>
    </row>
    <row r="4020" spans="1:17">
      <c r="A4020" s="14">
        <v>44454</v>
      </c>
      <c r="B4020" s="8">
        <v>1883.4969154097696</v>
      </c>
      <c r="F4020" s="7"/>
      <c r="G4020" s="7"/>
      <c r="M4020" s="10"/>
      <c r="P4020" s="11"/>
      <c r="Q4020" s="12"/>
    </row>
    <row r="4021" spans="1:17">
      <c r="A4021" s="14">
        <v>44455</v>
      </c>
      <c r="B4021" s="8">
        <v>1896.2289693933669</v>
      </c>
      <c r="F4021" s="7"/>
      <c r="G4021" s="7"/>
      <c r="M4021" s="10"/>
      <c r="P4021" s="11"/>
      <c r="Q4021" s="12"/>
    </row>
    <row r="4022" spans="1:17">
      <c r="A4022" s="14">
        <v>44456</v>
      </c>
      <c r="B4022" s="8">
        <v>1879.1332214517349</v>
      </c>
      <c r="F4022" s="7"/>
      <c r="G4022" s="7"/>
      <c r="M4022" s="10"/>
      <c r="P4022" s="11"/>
      <c r="Q4022" s="12"/>
    </row>
    <row r="4023" spans="1:17">
      <c r="A4023" s="14">
        <v>44459</v>
      </c>
      <c r="B4023" s="8">
        <v>1832.1275088917503</v>
      </c>
      <c r="F4023" s="7"/>
      <c r="G4023" s="7"/>
      <c r="M4023" s="10"/>
      <c r="P4023" s="11"/>
      <c r="Q4023" s="12"/>
    </row>
    <row r="4024" spans="1:17">
      <c r="A4024" s="14">
        <v>44460</v>
      </c>
      <c r="B4024" s="8">
        <v>1843.9656922196627</v>
      </c>
      <c r="F4024" s="7"/>
      <c r="G4024" s="7"/>
      <c r="M4024" s="10"/>
      <c r="P4024" s="11"/>
      <c r="Q4024" s="12"/>
    </row>
    <row r="4025" spans="1:17">
      <c r="A4025" s="14">
        <v>44461</v>
      </c>
      <c r="B4025" s="8">
        <v>1872.7456742087013</v>
      </c>
      <c r="F4025" s="7"/>
      <c r="G4025" s="7"/>
      <c r="M4025" s="10"/>
      <c r="P4025" s="11"/>
      <c r="Q4025" s="12"/>
    </row>
    <row r="4026" spans="1:17">
      <c r="A4026" s="14">
        <v>44462</v>
      </c>
      <c r="B4026" s="8">
        <v>1900.2297026592637</v>
      </c>
      <c r="F4026" s="7"/>
      <c r="G4026" s="7"/>
      <c r="M4026" s="10"/>
      <c r="P4026" s="11"/>
      <c r="Q4026" s="12"/>
    </row>
    <row r="4027" spans="1:17">
      <c r="A4027" s="14">
        <v>44463</v>
      </c>
      <c r="B4027" s="8">
        <v>1896.0611106342321</v>
      </c>
      <c r="F4027" s="7"/>
      <c r="G4027" s="7"/>
      <c r="M4027" s="10"/>
      <c r="P4027" s="11"/>
      <c r="Q4027" s="12"/>
    </row>
    <row r="4028" spans="1:17">
      <c r="A4028" s="14">
        <v>44466</v>
      </c>
      <c r="B4028" s="8">
        <v>1900.7687122865352</v>
      </c>
      <c r="F4028" s="7"/>
      <c r="G4028" s="7"/>
      <c r="M4028" s="10"/>
      <c r="P4028" s="11"/>
      <c r="Q4028" s="12"/>
    </row>
    <row r="4029" spans="1:17">
      <c r="A4029" s="14">
        <v>44467</v>
      </c>
      <c r="B4029" s="8">
        <v>1851.4000332337714</v>
      </c>
      <c r="F4029" s="7"/>
      <c r="G4029" s="7"/>
      <c r="M4029" s="10"/>
      <c r="P4029" s="11"/>
      <c r="Q4029" s="12"/>
    </row>
    <row r="4030" spans="1:17">
      <c r="A4030" s="14">
        <v>44468</v>
      </c>
      <c r="B4030" s="8">
        <v>1863.7576026208139</v>
      </c>
      <c r="F4030" s="7"/>
      <c r="G4030" s="7"/>
      <c r="M4030" s="10"/>
      <c r="P4030" s="11"/>
      <c r="Q4030" s="12"/>
    </row>
    <row r="4031" spans="1:17">
      <c r="A4031" s="14">
        <v>44469</v>
      </c>
      <c r="B4031" s="8">
        <v>1851.0124352582018</v>
      </c>
      <c r="F4031" s="7"/>
      <c r="G4031" s="7"/>
      <c r="M4031" s="10"/>
      <c r="P4031" s="11"/>
      <c r="Q4031" s="12"/>
    </row>
    <row r="4032" spans="1:17">
      <c r="A4032" s="14">
        <v>44470</v>
      </c>
      <c r="B4032" s="8">
        <v>1850.5689300000449</v>
      </c>
      <c r="F4032" s="7"/>
      <c r="G4032" s="7"/>
      <c r="M4032" s="10"/>
      <c r="P4032" s="11"/>
      <c r="Q4032" s="12"/>
    </row>
    <row r="4033" spans="1:17">
      <c r="A4033" s="14">
        <v>44473</v>
      </c>
      <c r="B4033" s="8">
        <v>1826.1438650708099</v>
      </c>
      <c r="F4033" s="7"/>
      <c r="G4033" s="7"/>
      <c r="M4033" s="10"/>
      <c r="P4033" s="11"/>
      <c r="Q4033" s="12"/>
    </row>
    <row r="4034" spans="1:17">
      <c r="A4034" s="14">
        <v>44474</v>
      </c>
      <c r="B4034" s="8">
        <v>1864.610332418931</v>
      </c>
      <c r="F4034" s="7"/>
      <c r="G4034" s="7"/>
      <c r="M4034" s="10"/>
      <c r="P4034" s="11"/>
      <c r="Q4034" s="12"/>
    </row>
    <row r="4035" spans="1:17">
      <c r="A4035" s="14">
        <v>44475</v>
      </c>
      <c r="B4035" s="8">
        <v>1854.6451647149527</v>
      </c>
      <c r="F4035" s="7"/>
      <c r="G4035" s="7"/>
      <c r="M4035" s="10"/>
      <c r="P4035" s="11"/>
      <c r="Q4035" s="12"/>
    </row>
    <row r="4036" spans="1:17">
      <c r="A4036" s="14">
        <v>44476</v>
      </c>
      <c r="B4036" s="8">
        <v>1883.3207900366624</v>
      </c>
      <c r="F4036" s="7"/>
      <c r="G4036" s="7"/>
      <c r="M4036" s="10"/>
      <c r="P4036" s="11"/>
      <c r="Q4036" s="12"/>
    </row>
    <row r="4037" spans="1:17">
      <c r="A4037" s="14">
        <v>44477</v>
      </c>
      <c r="B4037" s="8">
        <v>1874.6239624849341</v>
      </c>
      <c r="F4037" s="7"/>
      <c r="G4037" s="7"/>
      <c r="M4037" s="10"/>
      <c r="P4037" s="11"/>
      <c r="Q4037" s="12"/>
    </row>
    <row r="4038" spans="1:17">
      <c r="A4038" s="14">
        <v>44480</v>
      </c>
      <c r="B4038" s="8">
        <v>1866.5344033695146</v>
      </c>
      <c r="F4038" s="7"/>
      <c r="G4038" s="7"/>
      <c r="M4038" s="10"/>
      <c r="P4038" s="11"/>
      <c r="Q4038" s="12"/>
    </row>
    <row r="4039" spans="1:17">
      <c r="A4039" s="14">
        <v>44481</v>
      </c>
      <c r="B4039" s="8">
        <v>1863.2034154688702</v>
      </c>
      <c r="F4039" s="7"/>
      <c r="G4039" s="7"/>
      <c r="M4039" s="10"/>
      <c r="P4039" s="11"/>
      <c r="Q4039" s="12"/>
    </row>
    <row r="4040" spans="1:17">
      <c r="A4040" s="14">
        <v>44482</v>
      </c>
      <c r="B4040" s="8">
        <v>1866.9990000126475</v>
      </c>
      <c r="F4040" s="7"/>
      <c r="G4040" s="7"/>
      <c r="M4040" s="10"/>
      <c r="P4040" s="11"/>
      <c r="Q4040" s="12"/>
    </row>
    <row r="4041" spans="1:17">
      <c r="A4041" s="14">
        <v>44483</v>
      </c>
      <c r="B4041" s="8">
        <v>1896.3677987917588</v>
      </c>
      <c r="F4041" s="7"/>
      <c r="G4041" s="7"/>
      <c r="M4041" s="10"/>
      <c r="P4041" s="11"/>
      <c r="Q4041" s="12"/>
    </row>
    <row r="4042" spans="1:17">
      <c r="A4042" s="14">
        <v>44484</v>
      </c>
      <c r="B4042" s="8">
        <v>1921.5934749053131</v>
      </c>
      <c r="F4042" s="7"/>
      <c r="G4042" s="7"/>
      <c r="M4042" s="10"/>
      <c r="P4042" s="11"/>
      <c r="Q4042" s="12"/>
    </row>
    <row r="4043" spans="1:17">
      <c r="A4043" s="14">
        <v>44487</v>
      </c>
      <c r="B4043" s="8">
        <v>1923.0737327456281</v>
      </c>
      <c r="F4043" s="7"/>
      <c r="G4043" s="7"/>
      <c r="M4043" s="10"/>
      <c r="P4043" s="11"/>
      <c r="Q4043" s="12"/>
    </row>
    <row r="4044" spans="1:17">
      <c r="A4044" s="14">
        <v>44488</v>
      </c>
      <c r="B4044" s="8">
        <v>1934.982785211457</v>
      </c>
      <c r="F4044" s="7"/>
      <c r="G4044" s="7"/>
      <c r="M4044" s="10"/>
      <c r="P4044" s="11"/>
      <c r="Q4044" s="12"/>
    </row>
    <row r="4045" spans="1:17">
      <c r="A4045" s="14">
        <v>44489</v>
      </c>
      <c r="B4045" s="8">
        <v>1934.2408010008751</v>
      </c>
      <c r="F4045" s="7"/>
      <c r="G4045" s="7"/>
      <c r="M4045" s="10"/>
      <c r="P4045" s="11"/>
      <c r="Q4045" s="12"/>
    </row>
    <row r="4046" spans="1:17">
      <c r="A4046" s="14">
        <v>44490</v>
      </c>
      <c r="B4046" s="8">
        <v>1935.7293402314813</v>
      </c>
      <c r="F4046" s="7"/>
      <c r="G4046" s="7"/>
      <c r="M4046" s="10"/>
      <c r="P4046" s="11"/>
      <c r="Q4046" s="12"/>
    </row>
    <row r="4047" spans="1:17">
      <c r="A4047" s="14">
        <v>44491</v>
      </c>
      <c r="B4047" s="8">
        <v>1944.0052401695359</v>
      </c>
      <c r="F4047" s="7"/>
      <c r="G4047" s="7"/>
      <c r="M4047" s="10"/>
      <c r="P4047" s="11"/>
      <c r="Q4047" s="12"/>
    </row>
    <row r="4048" spans="1:17">
      <c r="A4048" s="14">
        <v>44494</v>
      </c>
      <c r="B4048" s="8">
        <v>1953.6270933339695</v>
      </c>
      <c r="F4048" s="7"/>
      <c r="G4048" s="7"/>
      <c r="M4048" s="10"/>
      <c r="P4048" s="11"/>
      <c r="Q4048" s="12"/>
    </row>
    <row r="4049" spans="1:17">
      <c r="A4049" s="14">
        <v>44495</v>
      </c>
      <c r="B4049" s="8">
        <v>1966.0463774391867</v>
      </c>
      <c r="F4049" s="7"/>
      <c r="G4049" s="7"/>
      <c r="M4049" s="10"/>
      <c r="P4049" s="11"/>
      <c r="Q4049" s="12"/>
    </row>
    <row r="4050" spans="1:17">
      <c r="A4050" s="14">
        <v>44496</v>
      </c>
      <c r="B4050" s="8">
        <v>1953.576085249907</v>
      </c>
      <c r="F4050" s="7"/>
      <c r="G4050" s="7"/>
      <c r="M4050" s="10"/>
      <c r="P4050" s="11"/>
      <c r="Q4050" s="12"/>
    </row>
    <row r="4051" spans="1:17">
      <c r="A4051" s="14">
        <v>44497</v>
      </c>
      <c r="B4051" s="8">
        <v>1972.3487134452782</v>
      </c>
      <c r="F4051" s="7"/>
      <c r="G4051" s="7"/>
      <c r="M4051" s="10"/>
      <c r="P4051" s="11"/>
      <c r="Q4051" s="12"/>
    </row>
    <row r="4052" spans="1:17">
      <c r="A4052" s="14">
        <v>44498</v>
      </c>
      <c r="B4052" s="8">
        <v>1984.4428752512854</v>
      </c>
      <c r="F4052" s="7"/>
      <c r="G4052" s="7"/>
      <c r="M4052" s="10"/>
      <c r="P4052" s="11"/>
      <c r="Q4052" s="12"/>
    </row>
    <row r="4053" spans="1:17">
      <c r="A4053" s="14">
        <v>44501</v>
      </c>
      <c r="B4053" s="8">
        <v>1999.6508000763654</v>
      </c>
      <c r="F4053" s="7"/>
      <c r="G4053" s="7"/>
      <c r="M4053" s="10"/>
      <c r="P4053" s="11"/>
      <c r="Q4053" s="12"/>
    </row>
    <row r="4054" spans="1:17">
      <c r="A4054" s="14">
        <v>44502</v>
      </c>
      <c r="B4054" s="8">
        <v>2009.7656295370903</v>
      </c>
      <c r="F4054" s="7"/>
      <c r="G4054" s="7"/>
      <c r="M4054" s="10"/>
      <c r="P4054" s="11"/>
      <c r="Q4054" s="12"/>
    </row>
    <row r="4055" spans="1:17">
      <c r="A4055" s="14">
        <v>44503</v>
      </c>
      <c r="B4055" s="8">
        <v>2023.9841841924172</v>
      </c>
      <c r="F4055" s="7"/>
      <c r="G4055" s="7"/>
      <c r="M4055" s="10"/>
      <c r="P4055" s="11"/>
      <c r="Q4055" s="12"/>
    </row>
    <row r="4056" spans="1:17">
      <c r="A4056" s="14">
        <v>44504</v>
      </c>
      <c r="B4056" s="8">
        <v>2040.8198150694843</v>
      </c>
      <c r="F4056" s="7"/>
      <c r="G4056" s="7"/>
      <c r="M4056" s="10"/>
      <c r="P4056" s="11"/>
      <c r="Q4056" s="12"/>
    </row>
    <row r="4057" spans="1:17">
      <c r="A4057" s="14">
        <v>44505</v>
      </c>
      <c r="B4057" s="8">
        <v>2044.8593277336695</v>
      </c>
      <c r="F4057" s="7"/>
      <c r="G4057" s="7"/>
      <c r="M4057" s="10"/>
      <c r="P4057" s="11"/>
      <c r="Q4057" s="12"/>
    </row>
    <row r="4058" spans="1:17">
      <c r="A4058" s="14">
        <v>44508</v>
      </c>
      <c r="B4058" s="8">
        <v>2044.3562596462896</v>
      </c>
      <c r="F4058" s="7"/>
      <c r="G4058" s="7"/>
      <c r="M4058" s="10"/>
      <c r="P4058" s="11"/>
      <c r="Q4058" s="12"/>
    </row>
    <row r="4059" spans="1:17">
      <c r="A4059" s="14">
        <v>44509</v>
      </c>
      <c r="B4059" s="8">
        <v>2030.2924983520666</v>
      </c>
      <c r="F4059" s="7"/>
      <c r="G4059" s="7"/>
      <c r="M4059" s="10"/>
      <c r="P4059" s="11"/>
      <c r="Q4059" s="12"/>
    </row>
    <row r="4060" spans="1:17">
      <c r="A4060" s="14">
        <v>44510</v>
      </c>
      <c r="B4060" s="8">
        <v>2021.0893482481017</v>
      </c>
      <c r="F4060" s="7"/>
      <c r="G4060" s="7"/>
      <c r="M4060" s="10"/>
      <c r="P4060" s="11"/>
      <c r="Q4060" s="12"/>
    </row>
    <row r="4061" spans="1:17">
      <c r="A4061" s="14">
        <v>44511</v>
      </c>
      <c r="B4061" s="8">
        <v>2028.152078388624</v>
      </c>
      <c r="F4061" s="7"/>
      <c r="G4061" s="7"/>
      <c r="M4061" s="10"/>
      <c r="P4061" s="11"/>
      <c r="Q4061" s="12"/>
    </row>
    <row r="4062" spans="1:17">
      <c r="A4062" s="14">
        <v>44512</v>
      </c>
      <c r="B4062" s="8">
        <v>2039.1389841411262</v>
      </c>
      <c r="F4062" s="7"/>
      <c r="G4062" s="7"/>
      <c r="M4062" s="10"/>
      <c r="P4062" s="11"/>
      <c r="Q4062" s="12"/>
    </row>
    <row r="4063" spans="1:17">
      <c r="A4063" s="14">
        <v>44515</v>
      </c>
      <c r="B4063" s="8">
        <v>2040.2530284105944</v>
      </c>
      <c r="F4063" s="7"/>
      <c r="G4063" s="7"/>
      <c r="M4063" s="10"/>
      <c r="P4063" s="11"/>
      <c r="Q4063" s="12"/>
    </row>
    <row r="4064" spans="1:17">
      <c r="A4064" s="14">
        <v>44516</v>
      </c>
      <c r="B4064" s="8">
        <v>2057.419106044194</v>
      </c>
      <c r="F4064" s="7"/>
      <c r="G4064" s="7"/>
      <c r="M4064" s="10"/>
      <c r="P4064" s="11"/>
      <c r="Q4064" s="12"/>
    </row>
    <row r="4065" spans="1:17">
      <c r="A4065" s="14">
        <v>44517</v>
      </c>
      <c r="B4065" s="8">
        <v>2057.3694541789905</v>
      </c>
      <c r="F4065" s="7"/>
      <c r="G4065" s="7"/>
      <c r="M4065" s="10"/>
      <c r="P4065" s="11"/>
      <c r="Q4065" s="12"/>
    </row>
    <row r="4066" spans="1:17">
      <c r="A4066" s="14">
        <v>44518</v>
      </c>
      <c r="B4066" s="8">
        <v>2062.5231526577004</v>
      </c>
      <c r="F4066" s="7"/>
      <c r="G4066" s="7"/>
      <c r="M4066" s="10"/>
      <c r="P4066" s="11"/>
      <c r="Q4066" s="12"/>
    </row>
    <row r="4067" spans="1:17">
      <c r="A4067" s="14">
        <v>44519</v>
      </c>
      <c r="B4067" s="8">
        <v>2056.1883277167408</v>
      </c>
      <c r="F4067" s="7"/>
      <c r="G4067" s="7"/>
      <c r="M4067" s="10"/>
      <c r="P4067" s="11"/>
      <c r="Q4067" s="12"/>
    </row>
    <row r="4068" spans="1:17">
      <c r="A4068" s="14">
        <v>44522</v>
      </c>
      <c r="B4068" s="8">
        <v>2048.6545104710581</v>
      </c>
      <c r="F4068" s="7"/>
      <c r="G4068" s="7"/>
      <c r="M4068" s="10"/>
      <c r="P4068" s="11"/>
      <c r="Q4068" s="12"/>
    </row>
    <row r="4069" spans="1:17">
      <c r="A4069" s="14">
        <v>44523</v>
      </c>
      <c r="B4069" s="8">
        <v>2032.3876678922734</v>
      </c>
      <c r="F4069" s="7"/>
      <c r="G4069" s="7"/>
      <c r="M4069" s="10"/>
      <c r="P4069" s="11"/>
      <c r="Q4069" s="12"/>
    </row>
    <row r="4070" spans="1:17">
      <c r="A4070" s="14">
        <v>44524</v>
      </c>
      <c r="B4070" s="8">
        <v>2032.4963935273765</v>
      </c>
      <c r="F4070" s="7"/>
      <c r="G4070" s="7"/>
      <c r="M4070" s="10"/>
      <c r="P4070" s="11"/>
      <c r="Q4070" s="12"/>
    </row>
    <row r="4071" spans="1:17">
      <c r="A4071" s="14">
        <v>44525</v>
      </c>
      <c r="B4071" s="8">
        <v>2035.5001302217697</v>
      </c>
      <c r="F4071" s="7"/>
      <c r="G4071" s="7"/>
      <c r="M4071" s="10"/>
      <c r="P4071" s="11"/>
      <c r="Q4071" s="12"/>
    </row>
    <row r="4072" spans="1:17">
      <c r="A4072" s="14">
        <v>44526</v>
      </c>
      <c r="B4072" s="8">
        <v>1960.3233936257532</v>
      </c>
      <c r="F4072" s="7"/>
      <c r="G4072" s="7"/>
      <c r="M4072" s="10"/>
      <c r="P4072" s="11"/>
      <c r="Q4072" s="12"/>
    </row>
    <row r="4073" spans="1:17">
      <c r="A4073" s="14">
        <v>44529</v>
      </c>
      <c r="B4073" s="8">
        <v>1984.6701854922931</v>
      </c>
      <c r="F4073" s="7"/>
      <c r="G4073" s="7"/>
      <c r="M4073" s="10"/>
      <c r="P4073" s="11"/>
      <c r="Q4073" s="12"/>
    </row>
    <row r="4074" spans="1:17">
      <c r="A4074" s="14">
        <v>44530</v>
      </c>
      <c r="B4074" s="8">
        <v>1953.9009177808857</v>
      </c>
      <c r="F4074" s="7"/>
      <c r="G4074" s="7"/>
      <c r="M4074" s="10"/>
      <c r="P4074" s="11"/>
      <c r="Q4074" s="12"/>
    </row>
    <row r="4075" spans="1:17">
      <c r="A4075" s="14">
        <v>44531</v>
      </c>
      <c r="B4075" s="8">
        <v>1965.9931889063325</v>
      </c>
      <c r="F4075" s="7"/>
      <c r="G4075" s="7"/>
      <c r="M4075" s="10"/>
      <c r="P4075" s="11"/>
      <c r="Q4075" s="12"/>
    </row>
    <row r="4076" spans="1:17">
      <c r="A4076" s="14">
        <v>44532</v>
      </c>
      <c r="B4076" s="8">
        <v>1970.4382439084404</v>
      </c>
      <c r="F4076" s="7"/>
      <c r="G4076" s="7"/>
      <c r="M4076" s="10"/>
      <c r="P4076" s="11"/>
      <c r="Q4076" s="12"/>
    </row>
    <row r="4077" spans="1:17">
      <c r="A4077" s="14">
        <v>44533</v>
      </c>
      <c r="B4077" s="8">
        <v>1941.3935381243725</v>
      </c>
      <c r="F4077" s="7"/>
      <c r="G4077" s="7"/>
      <c r="M4077" s="10"/>
      <c r="P4077" s="11"/>
      <c r="Q4077" s="12"/>
    </row>
    <row r="4078" spans="1:17">
      <c r="A4078" s="14">
        <v>44536</v>
      </c>
      <c r="B4078" s="8">
        <v>1959.6317243485589</v>
      </c>
      <c r="F4078" s="7"/>
      <c r="G4078" s="7"/>
      <c r="M4078" s="10"/>
      <c r="P4078" s="11"/>
      <c r="Q4078" s="12"/>
    </row>
    <row r="4079" spans="1:17">
      <c r="A4079" s="14">
        <v>44537</v>
      </c>
      <c r="B4079" s="8">
        <v>2019.9541729206198</v>
      </c>
      <c r="F4079" s="7"/>
      <c r="G4079" s="7"/>
      <c r="M4079" s="10"/>
      <c r="P4079" s="11"/>
      <c r="Q4079" s="12"/>
    </row>
    <row r="4080" spans="1:17">
      <c r="A4080" s="14">
        <v>44538</v>
      </c>
      <c r="B4080" s="8">
        <v>2007.0608891148017</v>
      </c>
      <c r="F4080" s="7"/>
      <c r="G4080" s="7"/>
      <c r="M4080" s="10"/>
      <c r="P4080" s="11"/>
      <c r="Q4080" s="12"/>
    </row>
    <row r="4081" spans="1:17">
      <c r="A4081" s="14">
        <v>44539</v>
      </c>
      <c r="B4081" s="8">
        <v>1994.6626140500118</v>
      </c>
      <c r="F4081" s="7"/>
      <c r="G4081" s="7"/>
      <c r="M4081" s="10"/>
      <c r="P4081" s="11"/>
      <c r="Q4081" s="12"/>
    </row>
    <row r="4082" spans="1:17">
      <c r="A4082" s="14">
        <v>44540</v>
      </c>
      <c r="B4082" s="8">
        <v>1993.5830319303996</v>
      </c>
      <c r="F4082" s="7"/>
      <c r="G4082" s="7"/>
      <c r="M4082" s="10"/>
      <c r="P4082" s="11"/>
      <c r="Q4082" s="12"/>
    </row>
    <row r="4083" spans="1:17">
      <c r="A4083" s="14">
        <v>44543</v>
      </c>
      <c r="B4083" s="8">
        <v>1971.1282525247698</v>
      </c>
      <c r="F4083" s="7"/>
      <c r="G4083" s="7"/>
      <c r="M4083" s="10"/>
      <c r="P4083" s="11"/>
      <c r="Q4083" s="12"/>
    </row>
    <row r="4084" spans="1:17">
      <c r="A4084" s="14">
        <v>44544</v>
      </c>
      <c r="B4084" s="8">
        <v>1950.3074977442545</v>
      </c>
      <c r="F4084" s="7"/>
      <c r="G4084" s="7"/>
      <c r="M4084" s="10"/>
      <c r="P4084" s="11"/>
      <c r="Q4084" s="12"/>
    </row>
    <row r="4085" spans="1:17">
      <c r="A4085" s="14">
        <v>44545</v>
      </c>
      <c r="B4085" s="8">
        <v>1969.8969523167252</v>
      </c>
      <c r="F4085" s="7"/>
      <c r="G4085" s="7"/>
      <c r="M4085" s="10"/>
      <c r="P4085" s="11"/>
      <c r="Q4085" s="12"/>
    </row>
    <row r="4086" spans="1:17">
      <c r="A4086" s="14">
        <v>44546</v>
      </c>
      <c r="B4086" s="8">
        <v>1956.8532266785639</v>
      </c>
      <c r="F4086" s="7"/>
      <c r="G4086" s="7"/>
      <c r="M4086" s="10"/>
      <c r="P4086" s="11"/>
      <c r="Q4086" s="12"/>
    </row>
    <row r="4087" spans="1:17">
      <c r="A4087" s="14">
        <v>44547</v>
      </c>
      <c r="B4087" s="8">
        <v>1934.9443881313762</v>
      </c>
      <c r="F4087" s="7"/>
      <c r="G4087" s="7"/>
      <c r="M4087" s="10"/>
      <c r="P4087" s="11"/>
      <c r="Q4087" s="12"/>
    </row>
    <row r="4088" spans="1:17">
      <c r="A4088" s="14">
        <v>44550</v>
      </c>
      <c r="B4088" s="8">
        <v>1914.4371101840457</v>
      </c>
      <c r="F4088" s="7"/>
      <c r="G4088" s="7"/>
      <c r="M4088" s="10"/>
      <c r="P4088" s="11"/>
      <c r="Q4088" s="12"/>
    </row>
    <row r="4089" spans="1:17">
      <c r="A4089" s="14">
        <v>44551</v>
      </c>
      <c r="B4089" s="8">
        <v>1955.9980086209953</v>
      </c>
      <c r="F4089" s="7"/>
      <c r="G4089" s="7"/>
      <c r="M4089" s="10"/>
      <c r="P4089" s="11"/>
      <c r="Q4089" s="12"/>
    </row>
    <row r="4090" spans="1:17">
      <c r="A4090" s="14">
        <v>44552</v>
      </c>
      <c r="B4090" s="8">
        <v>1979.2363404934549</v>
      </c>
      <c r="F4090" s="7"/>
      <c r="G4090" s="7"/>
      <c r="M4090" s="10"/>
      <c r="P4090" s="11"/>
      <c r="Q4090" s="12"/>
    </row>
    <row r="4091" spans="1:17">
      <c r="A4091" s="14">
        <v>44553</v>
      </c>
      <c r="B4091" s="8">
        <v>2002.0681377597689</v>
      </c>
      <c r="F4091" s="7"/>
      <c r="G4091" s="7"/>
      <c r="M4091" s="10"/>
      <c r="P4091" s="11"/>
      <c r="Q4091" s="12"/>
    </row>
    <row r="4092" spans="1:17">
      <c r="A4092" s="14">
        <v>44554</v>
      </c>
      <c r="B4092" s="8">
        <v>1999.9021647728887</v>
      </c>
      <c r="F4092" s="7"/>
      <c r="G4092" s="7"/>
      <c r="M4092" s="10"/>
      <c r="P4092" s="11"/>
      <c r="Q4092" s="12"/>
    </row>
    <row r="4093" spans="1:17">
      <c r="A4093" s="14">
        <v>44557</v>
      </c>
      <c r="B4093" s="8">
        <v>2023.2528260178874</v>
      </c>
      <c r="F4093" s="7"/>
      <c r="G4093" s="7"/>
      <c r="M4093" s="10"/>
      <c r="P4093" s="11"/>
      <c r="Q4093" s="12"/>
    </row>
    <row r="4094" spans="1:17">
      <c r="A4094" s="14">
        <v>44558</v>
      </c>
      <c r="B4094" s="8">
        <v>2020.8668519095443</v>
      </c>
      <c r="F4094" s="7"/>
      <c r="G4094" s="7"/>
      <c r="M4094" s="10"/>
      <c r="P4094" s="11"/>
      <c r="Q4094" s="12"/>
    </row>
    <row r="4095" spans="1:17">
      <c r="A4095" s="14">
        <v>44559</v>
      </c>
      <c r="B4095" s="8">
        <v>2017.989833204859</v>
      </c>
      <c r="F4095" s="7"/>
      <c r="G4095" s="7"/>
      <c r="M4095" s="10"/>
      <c r="P4095" s="11"/>
      <c r="Q4095" s="12"/>
    </row>
    <row r="4096" spans="1:17">
      <c r="A4096" s="14">
        <v>44560</v>
      </c>
      <c r="B4096" s="8">
        <v>2013.6928848505515</v>
      </c>
      <c r="F4096" s="7"/>
      <c r="G4096" s="7"/>
      <c r="M4096" s="10"/>
      <c r="P4096" s="11"/>
      <c r="Q4096" s="12"/>
    </row>
    <row r="4097" spans="1:17">
      <c r="A4097" s="14">
        <v>44561</v>
      </c>
      <c r="B4097" s="8">
        <v>2010.7873998164441</v>
      </c>
      <c r="F4097" s="7"/>
      <c r="G4097" s="7"/>
      <c r="M4097" s="10"/>
      <c r="P4097" s="11"/>
      <c r="Q4097" s="12"/>
    </row>
    <row r="4098" spans="1:17">
      <c r="A4098" s="14">
        <v>44564</v>
      </c>
      <c r="B4098" s="8">
        <v>2031.5263248284884</v>
      </c>
      <c r="F4098" s="7"/>
      <c r="G4098" s="7"/>
      <c r="M4098" s="10"/>
      <c r="P4098" s="11"/>
      <c r="Q4098" s="12"/>
    </row>
    <row r="4099" spans="1:17">
      <c r="A4099" s="14">
        <v>44565</v>
      </c>
      <c r="B4099" s="8">
        <v>2041.6051296963187</v>
      </c>
      <c r="F4099" s="7"/>
      <c r="G4099" s="7"/>
      <c r="M4099" s="10"/>
      <c r="P4099" s="11"/>
      <c r="Q4099" s="12"/>
    </row>
    <row r="4100" spans="1:17">
      <c r="A4100" s="14">
        <v>44566</v>
      </c>
      <c r="B4100" s="8">
        <v>2020.0085985826186</v>
      </c>
      <c r="F4100" s="7"/>
      <c r="G4100" s="7"/>
      <c r="M4100" s="10"/>
      <c r="P4100" s="11"/>
      <c r="Q4100" s="12"/>
    </row>
    <row r="4101" spans="1:17">
      <c r="A4101" s="14">
        <v>44567</v>
      </c>
      <c r="B4101" s="8">
        <v>2013.8754059094986</v>
      </c>
      <c r="F4101" s="7"/>
      <c r="G4101" s="7"/>
      <c r="M4101" s="10"/>
      <c r="P4101" s="11"/>
      <c r="Q4101" s="12"/>
    </row>
    <row r="4102" spans="1:17">
      <c r="A4102" s="14">
        <v>44568</v>
      </c>
      <c r="B4102" s="8">
        <v>2001.6676827168635</v>
      </c>
      <c r="F4102" s="7"/>
      <c r="G4102" s="7"/>
      <c r="M4102" s="10"/>
      <c r="P4102" s="11"/>
      <c r="Q4102" s="12"/>
    </row>
    <row r="4103" spans="1:17">
      <c r="A4103" s="14">
        <v>44571</v>
      </c>
      <c r="B4103" s="8">
        <v>1986.1826914194612</v>
      </c>
      <c r="F4103" s="7"/>
      <c r="G4103" s="7"/>
      <c r="M4103" s="10"/>
      <c r="P4103" s="11"/>
      <c r="Q4103" s="12"/>
    </row>
    <row r="4104" spans="1:17">
      <c r="A4104" s="14">
        <v>44572</v>
      </c>
      <c r="B4104" s="8">
        <v>2007.6007218129023</v>
      </c>
      <c r="F4104" s="7"/>
      <c r="G4104" s="7"/>
      <c r="M4104" s="10"/>
      <c r="P4104" s="11"/>
      <c r="Q4104" s="12"/>
    </row>
    <row r="4105" spans="1:17">
      <c r="A4105" s="14">
        <v>44573</v>
      </c>
      <c r="B4105" s="8">
        <v>2021.1603839589282</v>
      </c>
      <c r="F4105" s="7"/>
      <c r="G4105" s="7"/>
      <c r="M4105" s="10"/>
      <c r="P4105" s="11"/>
      <c r="Q4105" s="12"/>
    </row>
    <row r="4106" spans="1:17">
      <c r="A4106" s="14">
        <v>44574</v>
      </c>
      <c r="B4106" s="8">
        <v>2005.3756699512737</v>
      </c>
      <c r="F4106" s="7"/>
      <c r="G4106" s="7"/>
      <c r="M4106" s="10"/>
      <c r="P4106" s="11"/>
      <c r="Q4106" s="12"/>
    </row>
    <row r="4107" spans="1:17">
      <c r="A4107" s="14">
        <v>44575</v>
      </c>
      <c r="B4107" s="8">
        <v>1993.6837168081604</v>
      </c>
      <c r="F4107" s="7"/>
      <c r="G4107" s="7"/>
      <c r="M4107" s="10"/>
      <c r="P4107" s="11"/>
      <c r="Q4107" s="12"/>
    </row>
    <row r="4108" spans="1:17">
      <c r="A4108" s="14">
        <v>44578</v>
      </c>
      <c r="B4108" s="8">
        <v>1995.5713788126423</v>
      </c>
      <c r="F4108" s="7"/>
      <c r="G4108" s="7"/>
      <c r="M4108" s="10"/>
      <c r="P4108" s="11"/>
      <c r="Q4108" s="12"/>
    </row>
    <row r="4109" spans="1:17">
      <c r="A4109" s="14">
        <v>44579</v>
      </c>
      <c r="B4109" s="8">
        <v>1963.260984806114</v>
      </c>
      <c r="F4109" s="7"/>
      <c r="G4109" s="7"/>
      <c r="M4109" s="10"/>
      <c r="P4109" s="11"/>
      <c r="Q4109" s="12"/>
    </row>
    <row r="4110" spans="1:17">
      <c r="A4110" s="14">
        <v>44580</v>
      </c>
      <c r="B4110" s="8">
        <v>1949.938630298557</v>
      </c>
      <c r="F4110" s="7"/>
      <c r="G4110" s="7"/>
      <c r="M4110" s="10"/>
      <c r="P4110" s="11"/>
      <c r="Q4110" s="12"/>
    </row>
    <row r="4111" spans="1:17">
      <c r="A4111" s="14">
        <v>44581</v>
      </c>
      <c r="B4111" s="8">
        <v>1942.4473383301327</v>
      </c>
      <c r="F4111" s="7"/>
      <c r="G4111" s="7"/>
      <c r="M4111" s="10"/>
      <c r="P4111" s="11"/>
      <c r="Q4111" s="12"/>
    </row>
    <row r="4112" spans="1:17">
      <c r="A4112" s="14">
        <v>44582</v>
      </c>
      <c r="B4112" s="8">
        <v>1888.2064573473815</v>
      </c>
      <c r="F4112" s="7"/>
      <c r="G4112" s="7"/>
      <c r="M4112" s="10"/>
      <c r="P4112" s="11"/>
      <c r="Q4112" s="12"/>
    </row>
    <row r="4113" spans="1:17">
      <c r="A4113" s="14">
        <v>44585</v>
      </c>
      <c r="B4113" s="8">
        <v>1850.5452946532853</v>
      </c>
      <c r="F4113" s="7"/>
      <c r="G4113" s="7"/>
      <c r="M4113" s="10"/>
      <c r="P4113" s="11"/>
      <c r="Q4113" s="12"/>
    </row>
    <row r="4114" spans="1:17">
      <c r="A4114" s="14">
        <v>44586</v>
      </c>
      <c r="B4114" s="8">
        <v>1839.8638869804508</v>
      </c>
      <c r="F4114" s="7"/>
      <c r="G4114" s="7"/>
      <c r="M4114" s="10"/>
      <c r="P4114" s="11"/>
      <c r="Q4114" s="12"/>
    </row>
    <row r="4115" spans="1:17">
      <c r="A4115" s="14">
        <v>44587</v>
      </c>
      <c r="B4115" s="8">
        <v>1855.4621082991694</v>
      </c>
      <c r="F4115" s="7"/>
      <c r="G4115" s="7"/>
      <c r="M4115" s="10"/>
      <c r="P4115" s="11"/>
      <c r="Q4115" s="12"/>
    </row>
    <row r="4116" spans="1:17">
      <c r="A4116" s="14">
        <v>44588</v>
      </c>
      <c r="B4116" s="8">
        <v>1851.9921988033032</v>
      </c>
      <c r="F4116" s="7"/>
      <c r="G4116" s="7"/>
      <c r="M4116" s="10"/>
      <c r="P4116" s="11"/>
      <c r="Q4116" s="12"/>
    </row>
    <row r="4117" spans="1:17">
      <c r="A4117" s="14">
        <v>44589</v>
      </c>
      <c r="B4117" s="8">
        <v>1866.3296975020808</v>
      </c>
      <c r="F4117" s="7"/>
      <c r="G4117" s="7"/>
      <c r="M4117" s="10"/>
      <c r="P4117" s="11"/>
      <c r="Q4117" s="12"/>
    </row>
    <row r="4118" spans="1:17">
      <c r="A4118" s="14">
        <v>44592</v>
      </c>
      <c r="B4118" s="8">
        <v>1904.6114830993308</v>
      </c>
      <c r="F4118" s="7"/>
      <c r="G4118" s="7"/>
      <c r="M4118" s="10"/>
      <c r="P4118" s="11"/>
      <c r="Q4118" s="12"/>
    </row>
    <row r="4119" spans="1:17">
      <c r="A4119" s="14">
        <v>44593</v>
      </c>
      <c r="B4119" s="8">
        <v>1925.5156784331755</v>
      </c>
      <c r="F4119" s="7"/>
      <c r="G4119" s="7"/>
      <c r="M4119" s="10"/>
      <c r="P4119" s="11"/>
      <c r="Q4119" s="12"/>
    </row>
    <row r="4120" spans="1:17">
      <c r="A4120" s="14">
        <v>44594</v>
      </c>
      <c r="B4120" s="8">
        <v>1930.3501857061187</v>
      </c>
      <c r="F4120" s="7"/>
      <c r="G4120" s="7"/>
      <c r="M4120" s="10"/>
      <c r="P4120" s="11"/>
      <c r="Q4120" s="12"/>
    </row>
    <row r="4121" spans="1:17">
      <c r="A4121" s="14">
        <v>44595</v>
      </c>
      <c r="B4121" s="8">
        <v>1894.870102465434</v>
      </c>
      <c r="F4121" s="7"/>
      <c r="G4121" s="7"/>
      <c r="M4121" s="10"/>
      <c r="P4121" s="11"/>
      <c r="Q4121" s="12"/>
    </row>
    <row r="4122" spans="1:17">
      <c r="A4122" s="14">
        <v>44596</v>
      </c>
      <c r="B4122" s="8">
        <v>1888.3232506587083</v>
      </c>
      <c r="F4122" s="7"/>
      <c r="G4122" s="7"/>
      <c r="M4122" s="10"/>
      <c r="P4122" s="11"/>
      <c r="Q4122" s="12"/>
    </row>
    <row r="4123" spans="1:17">
      <c r="A4123" s="14">
        <v>44599</v>
      </c>
      <c r="B4123" s="8">
        <v>1890.4777137857131</v>
      </c>
      <c r="F4123" s="7"/>
      <c r="G4123" s="7"/>
      <c r="M4123" s="10"/>
      <c r="P4123" s="11"/>
      <c r="Q4123" s="12"/>
    </row>
    <row r="4124" spans="1:17">
      <c r="A4124" s="14">
        <v>44600</v>
      </c>
      <c r="B4124" s="8">
        <v>1906.219130604916</v>
      </c>
      <c r="F4124" s="7"/>
      <c r="G4124" s="7"/>
      <c r="M4124" s="10"/>
      <c r="P4124" s="11"/>
      <c r="Q4124" s="12"/>
    </row>
    <row r="4125" spans="1:17">
      <c r="A4125" s="14">
        <v>44601</v>
      </c>
      <c r="B4125" s="8">
        <v>1949.8310851373803</v>
      </c>
      <c r="F4125" s="7"/>
      <c r="G4125" s="7"/>
      <c r="M4125" s="10"/>
      <c r="P4125" s="11"/>
      <c r="Q4125" s="12"/>
    </row>
    <row r="4126" spans="1:17">
      <c r="A4126" s="14">
        <v>44602</v>
      </c>
      <c r="B4126" s="8">
        <v>1932.9249716907325</v>
      </c>
      <c r="F4126" s="7"/>
      <c r="G4126" s="7"/>
      <c r="M4126" s="10"/>
      <c r="P4126" s="11"/>
      <c r="Q4126" s="12"/>
    </row>
    <row r="4127" spans="1:17">
      <c r="A4127" s="14">
        <v>44603</v>
      </c>
      <c r="B4127" s="8">
        <v>1888.6779557053464</v>
      </c>
      <c r="F4127" s="7"/>
      <c r="G4127" s="7"/>
      <c r="M4127" s="10"/>
      <c r="P4127" s="11"/>
      <c r="Q4127" s="12"/>
    </row>
    <row r="4128" spans="1:17">
      <c r="A4128" s="14">
        <v>44606</v>
      </c>
      <c r="B4128" s="8">
        <v>1859.4015214597875</v>
      </c>
      <c r="F4128" s="7"/>
      <c r="G4128" s="7"/>
      <c r="M4128" s="10"/>
      <c r="P4128" s="11"/>
      <c r="Q4128" s="12"/>
    </row>
    <row r="4129" spans="1:17">
      <c r="A4129" s="14">
        <v>44607</v>
      </c>
      <c r="B4129" s="8">
        <v>1899.5760173528311</v>
      </c>
      <c r="F4129" s="7"/>
      <c r="G4129" s="7"/>
      <c r="M4129" s="10"/>
      <c r="P4129" s="11"/>
      <c r="Q4129" s="12"/>
    </row>
    <row r="4130" spans="1:17">
      <c r="A4130" s="14">
        <v>44608</v>
      </c>
      <c r="B4130" s="8">
        <v>1891.8212999163475</v>
      </c>
      <c r="F4130" s="7"/>
      <c r="G4130" s="7"/>
      <c r="M4130" s="10"/>
      <c r="P4130" s="11"/>
      <c r="Q4130" s="12"/>
    </row>
    <row r="4131" spans="1:17">
      <c r="A4131" s="14">
        <v>44609</v>
      </c>
      <c r="B4131" s="8">
        <v>1853.2415589845909</v>
      </c>
      <c r="F4131" s="7"/>
      <c r="G4131" s="7"/>
      <c r="M4131" s="10"/>
      <c r="P4131" s="11"/>
      <c r="Q4131" s="12"/>
    </row>
    <row r="4132" spans="1:17">
      <c r="A4132" s="14">
        <v>44610</v>
      </c>
      <c r="B4132" s="8">
        <v>1833.8383854344945</v>
      </c>
      <c r="F4132" s="7"/>
      <c r="G4132" s="7"/>
      <c r="M4132" s="10"/>
      <c r="P4132" s="11"/>
      <c r="Q4132" s="12"/>
    </row>
    <row r="4133" spans="1:17">
      <c r="A4133" s="14">
        <v>44613</v>
      </c>
      <c r="B4133" s="8">
        <v>1812.1161046016005</v>
      </c>
      <c r="F4133" s="7"/>
      <c r="G4133" s="7"/>
      <c r="M4133" s="10"/>
      <c r="P4133" s="11"/>
      <c r="Q4133" s="12"/>
    </row>
    <row r="4134" spans="1:17">
      <c r="A4134" s="14">
        <v>44614</v>
      </c>
      <c r="B4134" s="8">
        <v>1791.9237637485276</v>
      </c>
      <c r="F4134" s="7"/>
      <c r="G4134" s="7"/>
      <c r="M4134" s="10"/>
      <c r="P4134" s="11"/>
      <c r="Q4134" s="12"/>
    </row>
    <row r="4135" spans="1:17">
      <c r="A4135" s="14">
        <v>44615</v>
      </c>
      <c r="B4135" s="8">
        <v>1765.0105257847829</v>
      </c>
      <c r="F4135" s="7"/>
      <c r="G4135" s="7"/>
      <c r="M4135" s="10"/>
      <c r="P4135" s="11"/>
      <c r="Q4135" s="12"/>
    </row>
    <row r="4136" spans="1:17">
      <c r="A4136" s="14">
        <v>44616</v>
      </c>
      <c r="B4136" s="8">
        <v>1735.217122266439</v>
      </c>
      <c r="F4136" s="7"/>
      <c r="G4136" s="7"/>
      <c r="M4136" s="10"/>
      <c r="P4136" s="11"/>
      <c r="Q4136" s="12"/>
    </row>
    <row r="4137" spans="1:17">
      <c r="A4137" s="14">
        <v>44617</v>
      </c>
      <c r="B4137" s="8">
        <v>1777.9145897335502</v>
      </c>
      <c r="F4137" s="7"/>
      <c r="G4137" s="7"/>
      <c r="M4137" s="10"/>
      <c r="P4137" s="11"/>
      <c r="Q4137" s="12"/>
    </row>
    <row r="4138" spans="1:17">
      <c r="A4138" s="14">
        <v>44620</v>
      </c>
      <c r="B4138" s="8">
        <v>1750.5828133202817</v>
      </c>
      <c r="F4138" s="7"/>
      <c r="G4138" s="7"/>
      <c r="M4138" s="10"/>
      <c r="P4138" s="11"/>
      <c r="Q4138" s="12"/>
    </row>
    <row r="4139" spans="1:17">
      <c r="A4139" s="14">
        <v>44621</v>
      </c>
      <c r="B4139" s="8">
        <v>1691.9531974831634</v>
      </c>
      <c r="F4139" s="7"/>
      <c r="G4139" s="7"/>
      <c r="M4139" s="10"/>
      <c r="P4139" s="11"/>
      <c r="Q4139" s="12"/>
    </row>
    <row r="4140" spans="1:17">
      <c r="A4140" s="14">
        <v>44622</v>
      </c>
      <c r="B4140" s="8">
        <v>1720.4624962682699</v>
      </c>
      <c r="F4140" s="7"/>
      <c r="G4140" s="7"/>
      <c r="M4140" s="10"/>
      <c r="P4140" s="11"/>
      <c r="Q4140" s="12"/>
    </row>
    <row r="4141" spans="1:17">
      <c r="A4141" s="14">
        <v>44623</v>
      </c>
      <c r="B4141" s="8">
        <v>1687.5225096218041</v>
      </c>
      <c r="F4141" s="7"/>
      <c r="G4141" s="7"/>
      <c r="M4141" s="10"/>
      <c r="P4141" s="11"/>
      <c r="Q4141" s="12"/>
    </row>
    <row r="4142" spans="1:17">
      <c r="A4142" s="14">
        <v>44624</v>
      </c>
      <c r="B4142" s="8">
        <v>1618.906273132181</v>
      </c>
      <c r="F4142" s="7"/>
      <c r="G4142" s="7"/>
      <c r="M4142" s="10"/>
      <c r="P4142" s="11"/>
      <c r="Q4142" s="12"/>
    </row>
    <row r="4143" spans="1:17">
      <c r="A4143" s="14">
        <v>44627</v>
      </c>
      <c r="B4143" s="8">
        <v>1571.2033925554656</v>
      </c>
      <c r="F4143" s="7"/>
      <c r="G4143" s="7"/>
      <c r="M4143" s="10"/>
      <c r="P4143" s="11"/>
      <c r="Q4143" s="12"/>
    </row>
    <row r="4144" spans="1:17">
      <c r="A4144" s="14">
        <v>44628</v>
      </c>
      <c r="B4144" s="8">
        <v>1582.1873817889179</v>
      </c>
      <c r="F4144" s="7"/>
      <c r="G4144" s="7"/>
      <c r="M4144" s="10"/>
      <c r="P4144" s="11"/>
      <c r="Q4144" s="12"/>
    </row>
    <row r="4145" spans="1:17">
      <c r="A4145" s="14">
        <v>44629</v>
      </c>
      <c r="B4145" s="8">
        <v>1675.3270641530255</v>
      </c>
      <c r="F4145" s="7"/>
      <c r="G4145" s="7"/>
      <c r="M4145" s="10"/>
      <c r="P4145" s="11"/>
      <c r="Q4145" s="12"/>
    </row>
    <row r="4146" spans="1:17">
      <c r="A4146" s="14">
        <v>44630</v>
      </c>
      <c r="B4146" s="8">
        <v>1635.2165425350956</v>
      </c>
      <c r="F4146" s="7"/>
      <c r="G4146" s="7"/>
      <c r="M4146" s="10"/>
      <c r="P4146" s="11"/>
      <c r="Q4146" s="12"/>
    </row>
    <row r="4147" spans="1:17">
      <c r="A4147" s="14">
        <v>44631</v>
      </c>
      <c r="B4147" s="8">
        <v>1624.9730916758413</v>
      </c>
      <c r="F4147" s="7"/>
      <c r="G4147" s="7"/>
      <c r="M4147" s="10"/>
      <c r="P4147" s="11"/>
      <c r="Q4147" s="12"/>
    </row>
    <row r="4148" spans="1:17">
      <c r="A4148" s="14">
        <v>44634</v>
      </c>
      <c r="B4148" s="8">
        <v>1625.620088879383</v>
      </c>
      <c r="F4148" s="7"/>
      <c r="G4148" s="7"/>
      <c r="M4148" s="10"/>
      <c r="P4148" s="11"/>
      <c r="Q4148" s="12"/>
    </row>
    <row r="4149" spans="1:17">
      <c r="A4149" s="14">
        <v>44635</v>
      </c>
      <c r="B4149" s="8">
        <v>1647.0167423605305</v>
      </c>
      <c r="F4149" s="7"/>
      <c r="G4149" s="7"/>
      <c r="M4149" s="10"/>
      <c r="P4149" s="11"/>
      <c r="Q4149" s="12"/>
    </row>
    <row r="4150" spans="1:17">
      <c r="A4150" s="14">
        <v>44636</v>
      </c>
      <c r="B4150" s="8">
        <v>1720.1702244847165</v>
      </c>
      <c r="F4150" s="7"/>
      <c r="G4150" s="7"/>
      <c r="M4150" s="10"/>
      <c r="P4150" s="11"/>
      <c r="Q4150" s="12"/>
    </row>
    <row r="4151" spans="1:17">
      <c r="A4151" s="14">
        <v>44637</v>
      </c>
      <c r="B4151" s="8">
        <v>1720.9494403086503</v>
      </c>
      <c r="F4151" s="7"/>
      <c r="G4151" s="7"/>
      <c r="M4151" s="10"/>
      <c r="P4151" s="11"/>
      <c r="Q4151" s="12"/>
    </row>
    <row r="4152" spans="1:17">
      <c r="A4152" s="14">
        <v>44638</v>
      </c>
      <c r="B4152" s="8">
        <v>1740.1470195877016</v>
      </c>
      <c r="F4152" s="7"/>
      <c r="G4152" s="7"/>
      <c r="M4152" s="10"/>
      <c r="P4152" s="11"/>
      <c r="Q4152" s="12"/>
    </row>
    <row r="4153" spans="1:17">
      <c r="A4153" s="14">
        <v>44641</v>
      </c>
      <c r="B4153" s="8">
        <v>1726.8694701487825</v>
      </c>
      <c r="F4153" s="7"/>
      <c r="G4153" s="7"/>
      <c r="M4153" s="10"/>
      <c r="P4153" s="11"/>
      <c r="Q4153" s="12"/>
    </row>
    <row r="4154" spans="1:17">
      <c r="A4154" s="14">
        <v>44642</v>
      </c>
      <c r="B4154" s="8">
        <v>1756.8444204985635</v>
      </c>
      <c r="F4154" s="7"/>
      <c r="G4154" s="7"/>
      <c r="M4154" s="10"/>
      <c r="P4154" s="11"/>
      <c r="Q4154" s="12"/>
    </row>
    <row r="4155" spans="1:17">
      <c r="A4155" s="14">
        <v>44643</v>
      </c>
      <c r="B4155" s="8">
        <v>1718.4223077835125</v>
      </c>
      <c r="F4155" s="7"/>
      <c r="G4155" s="7"/>
      <c r="M4155" s="10"/>
      <c r="P4155" s="11"/>
      <c r="Q4155" s="12"/>
    </row>
    <row r="4156" spans="1:17">
      <c r="A4156" s="14">
        <v>44644</v>
      </c>
      <c r="B4156" s="8">
        <v>1727.707225928031</v>
      </c>
      <c r="F4156" s="7"/>
      <c r="G4156" s="7"/>
      <c r="M4156" s="10"/>
      <c r="P4156" s="11"/>
      <c r="Q4156" s="12"/>
    </row>
    <row r="4157" spans="1:17">
      <c r="A4157" s="14">
        <v>44645</v>
      </c>
      <c r="B4157" s="8">
        <v>1719.8542770119059</v>
      </c>
      <c r="F4157" s="7"/>
      <c r="G4157" s="7"/>
      <c r="M4157" s="10"/>
      <c r="P4157" s="11"/>
      <c r="Q4157" s="12"/>
    </row>
    <row r="4158" spans="1:17">
      <c r="A4158" s="14">
        <v>44648</v>
      </c>
      <c r="B4158" s="8">
        <v>1734.382502122171</v>
      </c>
      <c r="F4158" s="7"/>
      <c r="G4158" s="7"/>
      <c r="M4158" s="10"/>
      <c r="P4158" s="11"/>
      <c r="Q4158" s="12"/>
    </row>
    <row r="4159" spans="1:17">
      <c r="A4159" s="14">
        <v>44649</v>
      </c>
      <c r="B4159" s="8">
        <v>1790.0776405324596</v>
      </c>
      <c r="F4159" s="7"/>
      <c r="G4159" s="7"/>
      <c r="M4159" s="10"/>
      <c r="P4159" s="11"/>
      <c r="Q4159" s="12"/>
    </row>
    <row r="4160" spans="1:17">
      <c r="A4160" s="14">
        <v>44650</v>
      </c>
      <c r="B4160" s="8">
        <v>1753.8159237876464</v>
      </c>
      <c r="F4160" s="7"/>
      <c r="G4160" s="7"/>
      <c r="M4160" s="10"/>
      <c r="P4160" s="11"/>
      <c r="Q4160" s="12"/>
    </row>
    <row r="4161" spans="1:17">
      <c r="A4161" s="14">
        <v>44651</v>
      </c>
      <c r="B4161" s="8">
        <v>1722.515542677824</v>
      </c>
      <c r="F4161" s="7"/>
      <c r="G4161" s="7"/>
      <c r="M4161" s="10"/>
      <c r="P4161" s="11"/>
      <c r="Q4161" s="12"/>
    </row>
    <row r="4162" spans="1:17">
      <c r="A4162" s="14">
        <v>44652</v>
      </c>
      <c r="B4162" s="8">
        <v>1727.8302240809669</v>
      </c>
      <c r="F4162" s="7"/>
      <c r="G4162" s="7"/>
      <c r="M4162" s="10"/>
      <c r="P4162" s="11"/>
      <c r="Q4162" s="12"/>
    </row>
    <row r="4163" spans="1:17">
      <c r="A4163" s="14">
        <v>44655</v>
      </c>
      <c r="B4163" s="8">
        <v>1749.3979318028014</v>
      </c>
      <c r="F4163" s="7"/>
      <c r="G4163" s="7"/>
      <c r="M4163" s="10"/>
      <c r="P4163" s="11"/>
      <c r="Q4163" s="12"/>
    </row>
    <row r="4164" spans="1:17">
      <c r="A4164" s="14">
        <v>44656</v>
      </c>
      <c r="B4164" s="8">
        <v>1712.9480388457089</v>
      </c>
      <c r="F4164" s="7"/>
      <c r="G4164" s="7"/>
      <c r="M4164" s="10"/>
      <c r="P4164" s="11"/>
      <c r="Q4164" s="12"/>
    </row>
    <row r="4165" spans="1:17">
      <c r="A4165" s="14">
        <v>44657</v>
      </c>
      <c r="B4165" s="8">
        <v>1660.7890742778691</v>
      </c>
      <c r="F4165" s="7"/>
      <c r="G4165" s="7"/>
      <c r="M4165" s="10"/>
      <c r="P4165" s="11"/>
      <c r="Q4165" s="12"/>
    </row>
    <row r="4166" spans="1:17">
      <c r="A4166" s="14">
        <v>44658</v>
      </c>
      <c r="B4166" s="8">
        <v>1653.8597629419503</v>
      </c>
      <c r="F4166" s="7"/>
      <c r="G4166" s="7"/>
      <c r="M4166" s="10"/>
      <c r="P4166" s="11"/>
      <c r="Q4166" s="12"/>
    </row>
    <row r="4167" spans="1:17">
      <c r="A4167" s="14">
        <v>44659</v>
      </c>
      <c r="B4167" s="8">
        <v>1658.1858745348663</v>
      </c>
      <c r="F4167" s="7"/>
      <c r="G4167" s="7"/>
      <c r="M4167" s="10"/>
      <c r="P4167" s="11"/>
      <c r="Q4167" s="12"/>
    </row>
    <row r="4168" spans="1:17">
      <c r="A4168" s="14">
        <v>44662</v>
      </c>
      <c r="B4168" s="8">
        <v>1645.7651251557811</v>
      </c>
      <c r="F4168" s="7"/>
      <c r="G4168" s="7"/>
      <c r="M4168" s="10"/>
      <c r="P4168" s="11"/>
      <c r="Q4168" s="12"/>
    </row>
    <row r="4169" spans="1:17">
      <c r="A4169" s="14">
        <v>44663</v>
      </c>
      <c r="B4169" s="8">
        <v>1637.2766754802633</v>
      </c>
      <c r="F4169" s="7"/>
      <c r="G4169" s="7"/>
      <c r="M4169" s="10"/>
      <c r="P4169" s="11"/>
      <c r="Q4169" s="12"/>
    </row>
    <row r="4170" spans="1:17">
      <c r="A4170" s="14">
        <v>44664</v>
      </c>
      <c r="B4170" s="8">
        <v>1649.3769204938178</v>
      </c>
      <c r="F4170" s="7"/>
      <c r="G4170" s="7"/>
      <c r="M4170" s="10"/>
      <c r="P4170" s="11"/>
      <c r="Q4170" s="12"/>
    </row>
    <row r="4171" spans="1:17">
      <c r="A4171" s="14">
        <v>44665</v>
      </c>
      <c r="B4171" s="8">
        <v>1636.3267401753744</v>
      </c>
      <c r="F4171" s="7"/>
      <c r="G4171" s="7"/>
      <c r="M4171" s="10"/>
      <c r="P4171" s="11"/>
      <c r="Q4171" s="12"/>
    </row>
    <row r="4172" spans="1:17">
      <c r="A4172" s="14">
        <v>44666</v>
      </c>
      <c r="B4172" s="8">
        <v>1635.9450474979412</v>
      </c>
      <c r="F4172" s="7"/>
      <c r="G4172" s="7"/>
      <c r="M4172" s="10"/>
      <c r="P4172" s="11"/>
      <c r="Q4172" s="12"/>
    </row>
    <row r="4173" spans="1:17">
      <c r="A4173" s="14">
        <v>44669</v>
      </c>
      <c r="B4173" s="8">
        <v>1637.3315889105725</v>
      </c>
      <c r="F4173" s="7"/>
      <c r="G4173" s="7"/>
      <c r="M4173" s="10"/>
      <c r="P4173" s="11"/>
      <c r="Q4173" s="12"/>
    </row>
    <row r="4174" spans="1:17">
      <c r="A4174" s="14">
        <v>44670</v>
      </c>
      <c r="B4174" s="8">
        <v>1657.1888333733853</v>
      </c>
      <c r="F4174" s="7"/>
      <c r="G4174" s="7"/>
      <c r="M4174" s="10"/>
      <c r="P4174" s="11"/>
      <c r="Q4174" s="12"/>
    </row>
    <row r="4175" spans="1:17">
      <c r="A4175" s="14">
        <v>44671</v>
      </c>
      <c r="B4175" s="8">
        <v>1654.4402495773236</v>
      </c>
      <c r="F4175" s="7"/>
      <c r="G4175" s="7"/>
      <c r="M4175" s="10"/>
      <c r="P4175" s="11"/>
      <c r="Q4175" s="12"/>
    </row>
    <row r="4176" spans="1:17">
      <c r="A4176" s="14">
        <v>44672</v>
      </c>
      <c r="B4176" s="8">
        <v>1649.3190162109761</v>
      </c>
      <c r="F4176" s="7"/>
      <c r="G4176" s="7"/>
      <c r="M4176" s="10"/>
      <c r="P4176" s="11"/>
      <c r="Q4176" s="12"/>
    </row>
    <row r="4177" spans="1:17">
      <c r="A4177" s="14">
        <v>44673</v>
      </c>
      <c r="B4177" s="8">
        <v>1609.1028685858716</v>
      </c>
      <c r="F4177" s="7"/>
      <c r="G4177" s="7"/>
      <c r="M4177" s="10"/>
      <c r="P4177" s="11"/>
      <c r="Q4177" s="12"/>
    </row>
    <row r="4178" spans="1:17">
      <c r="A4178" s="14">
        <v>44676</v>
      </c>
      <c r="B4178" s="8">
        <v>1599.0367490174788</v>
      </c>
      <c r="F4178" s="7"/>
      <c r="G4178" s="7"/>
      <c r="M4178" s="10"/>
      <c r="P4178" s="11"/>
      <c r="Q4178" s="12"/>
    </row>
    <row r="4179" spans="1:17">
      <c r="A4179" s="14">
        <v>44677</v>
      </c>
      <c r="B4179" s="8">
        <v>1556.9989214014213</v>
      </c>
      <c r="F4179" s="7"/>
      <c r="G4179" s="7"/>
      <c r="M4179" s="10"/>
      <c r="P4179" s="11"/>
      <c r="Q4179" s="12"/>
    </row>
    <row r="4180" spans="1:17">
      <c r="A4180" s="14">
        <v>44678</v>
      </c>
      <c r="B4180" s="8">
        <v>1563.3462838876262</v>
      </c>
      <c r="F4180" s="7"/>
      <c r="G4180" s="7"/>
      <c r="M4180" s="10"/>
      <c r="P4180" s="11"/>
      <c r="Q4180" s="12"/>
    </row>
    <row r="4181" spans="1:17">
      <c r="A4181" s="14">
        <v>44679</v>
      </c>
      <c r="B4181" s="8">
        <v>1596.0480110705812</v>
      </c>
      <c r="F4181" s="7"/>
      <c r="G4181" s="7"/>
      <c r="M4181" s="10"/>
      <c r="P4181" s="11"/>
      <c r="Q4181" s="12"/>
    </row>
    <row r="4182" spans="1:17">
      <c r="A4182" s="14">
        <v>44680</v>
      </c>
      <c r="B4182" s="8">
        <v>1575.1335390573802</v>
      </c>
      <c r="F4182" s="7"/>
      <c r="G4182" s="7"/>
      <c r="M4182" s="10"/>
      <c r="P4182" s="11"/>
      <c r="Q4182" s="12"/>
    </row>
    <row r="4183" spans="1:17">
      <c r="A4183" s="14">
        <v>44683</v>
      </c>
      <c r="B4183" s="8">
        <v>1569.1059997889788</v>
      </c>
      <c r="F4183" s="7"/>
      <c r="G4183" s="7"/>
      <c r="M4183" s="10"/>
      <c r="P4183" s="11"/>
      <c r="Q4183" s="12"/>
    </row>
    <row r="4184" spans="1:17">
      <c r="A4184" s="14">
        <v>44684</v>
      </c>
      <c r="B4184" s="8">
        <v>1579.0057984929058</v>
      </c>
      <c r="F4184" s="7"/>
      <c r="G4184" s="7"/>
      <c r="M4184" s="10"/>
      <c r="P4184" s="11"/>
      <c r="Q4184" s="12"/>
    </row>
    <row r="4185" spans="1:17">
      <c r="A4185" s="14">
        <v>44685</v>
      </c>
      <c r="B4185" s="8">
        <v>1591.2058171094225</v>
      </c>
      <c r="F4185" s="7"/>
      <c r="G4185" s="7"/>
      <c r="M4185" s="10"/>
      <c r="P4185" s="11"/>
      <c r="Q4185" s="12"/>
    </row>
    <row r="4186" spans="1:17">
      <c r="A4186" s="14">
        <v>44686</v>
      </c>
      <c r="B4186" s="8">
        <v>1550.6094618454213</v>
      </c>
      <c r="F4186" s="7"/>
      <c r="G4186" s="7"/>
      <c r="M4186" s="10"/>
      <c r="P4186" s="11"/>
      <c r="Q4186" s="12"/>
    </row>
    <row r="4187" spans="1:17">
      <c r="A4187" s="14">
        <v>44687</v>
      </c>
      <c r="B4187" s="8">
        <v>1526.6629886050096</v>
      </c>
      <c r="F4187" s="7"/>
      <c r="G4187" s="7"/>
      <c r="M4187" s="10"/>
      <c r="P4187" s="11"/>
      <c r="Q4187" s="12"/>
    </row>
    <row r="4188" spans="1:17">
      <c r="A4188" s="14">
        <v>44690</v>
      </c>
      <c r="B4188" s="8">
        <v>1471.6238133566962</v>
      </c>
      <c r="F4188" s="7"/>
      <c r="G4188" s="7"/>
      <c r="M4188" s="10"/>
      <c r="P4188" s="11"/>
      <c r="Q4188" s="12"/>
    </row>
    <row r="4189" spans="1:17">
      <c r="A4189" s="14">
        <v>44691</v>
      </c>
      <c r="B4189" s="8">
        <v>1484.8700226973376</v>
      </c>
      <c r="F4189" s="7"/>
      <c r="G4189" s="7"/>
      <c r="M4189" s="10"/>
      <c r="P4189" s="11"/>
      <c r="Q4189" s="12"/>
    </row>
    <row r="4190" spans="1:17">
      <c r="A4190" s="14">
        <v>44692</v>
      </c>
      <c r="B4190" s="8">
        <v>1489.8470545286636</v>
      </c>
      <c r="F4190" s="7"/>
      <c r="G4190" s="7"/>
      <c r="M4190" s="10"/>
      <c r="P4190" s="11"/>
      <c r="Q4190" s="12"/>
    </row>
    <row r="4191" spans="1:17">
      <c r="A4191" s="14">
        <v>44693</v>
      </c>
      <c r="B4191" s="8">
        <v>1490.4782830211464</v>
      </c>
      <c r="F4191" s="7"/>
      <c r="G4191" s="7"/>
      <c r="M4191" s="10"/>
      <c r="P4191" s="11"/>
      <c r="Q4191" s="12"/>
    </row>
    <row r="4192" spans="1:17">
      <c r="A4192" s="14">
        <v>44694</v>
      </c>
      <c r="B4192" s="8">
        <v>1530.5173234647782</v>
      </c>
      <c r="F4192" s="7"/>
      <c r="G4192" s="7"/>
      <c r="M4192" s="10"/>
      <c r="P4192" s="11"/>
      <c r="Q4192" s="12"/>
    </row>
    <row r="4193" spans="1:17">
      <c r="A4193" s="14">
        <v>44697</v>
      </c>
      <c r="B4193" s="8">
        <v>1514.5911969570743</v>
      </c>
      <c r="F4193" s="7"/>
      <c r="G4193" s="7"/>
      <c r="M4193" s="10"/>
      <c r="P4193" s="11"/>
      <c r="Q4193" s="12"/>
    </row>
    <row r="4194" spans="1:17">
      <c r="A4194" s="14">
        <v>44698</v>
      </c>
      <c r="B4194" s="8">
        <v>1551.7737189988609</v>
      </c>
      <c r="F4194" s="7"/>
      <c r="G4194" s="7"/>
      <c r="M4194" s="10"/>
      <c r="P4194" s="11"/>
      <c r="Q4194" s="12"/>
    </row>
    <row r="4195" spans="1:17">
      <c r="A4195" s="14">
        <v>44699</v>
      </c>
      <c r="B4195" s="8">
        <v>1509.4442167251493</v>
      </c>
      <c r="F4195" s="7"/>
      <c r="G4195" s="7"/>
      <c r="M4195" s="10"/>
      <c r="P4195" s="11"/>
      <c r="Q4195" s="12"/>
    </row>
    <row r="4196" spans="1:17">
      <c r="A4196" s="14">
        <v>44700</v>
      </c>
      <c r="B4196" s="8">
        <v>1509.860173889633</v>
      </c>
      <c r="F4196" s="7"/>
      <c r="G4196" s="7"/>
      <c r="M4196" s="10"/>
      <c r="P4196" s="11"/>
      <c r="Q4196" s="12"/>
    </row>
    <row r="4197" spans="1:17">
      <c r="A4197" s="14">
        <v>44701</v>
      </c>
      <c r="B4197" s="8">
        <v>1513.5527939370274</v>
      </c>
      <c r="F4197" s="7"/>
      <c r="G4197" s="7"/>
      <c r="M4197" s="10"/>
      <c r="P4197" s="11"/>
      <c r="Q4197" s="12"/>
    </row>
    <row r="4198" spans="1:17">
      <c r="A4198" s="14">
        <v>44704</v>
      </c>
      <c r="B4198" s="8">
        <v>1543.223319489384</v>
      </c>
      <c r="F4198" s="7"/>
      <c r="G4198" s="7"/>
      <c r="M4198" s="10"/>
      <c r="P4198" s="11"/>
      <c r="Q4198" s="12"/>
    </row>
    <row r="4199" spans="1:17">
      <c r="A4199" s="14">
        <v>44705</v>
      </c>
      <c r="B4199" s="8">
        <v>1521.1373907264995</v>
      </c>
      <c r="F4199" s="7"/>
      <c r="G4199" s="7"/>
      <c r="M4199" s="10"/>
      <c r="P4199" s="11"/>
      <c r="Q4199" s="12"/>
    </row>
    <row r="4200" spans="1:17">
      <c r="A4200" s="14">
        <v>44706</v>
      </c>
      <c r="B4200" s="8">
        <v>1549.0538037253737</v>
      </c>
      <c r="F4200" s="7"/>
      <c r="G4200" s="7"/>
      <c r="M4200" s="10"/>
      <c r="P4200" s="11"/>
      <c r="Q4200" s="12"/>
    </row>
    <row r="4201" spans="1:17">
      <c r="A4201" s="14">
        <v>44707</v>
      </c>
      <c r="B4201" s="8">
        <v>1584.6604146652253</v>
      </c>
      <c r="F4201" s="7"/>
      <c r="G4201" s="7"/>
      <c r="M4201" s="10"/>
      <c r="P4201" s="11"/>
      <c r="Q4201" s="12"/>
    </row>
    <row r="4202" spans="1:17">
      <c r="A4202" s="14">
        <v>44708</v>
      </c>
      <c r="B4202" s="8">
        <v>1616.5824760597475</v>
      </c>
      <c r="F4202" s="7"/>
      <c r="G4202" s="7"/>
      <c r="M4202" s="10"/>
      <c r="P4202" s="11"/>
      <c r="Q4202" s="12"/>
    </row>
    <row r="4203" spans="1:17">
      <c r="A4203" s="14">
        <v>44711</v>
      </c>
      <c r="B4203" s="8">
        <v>1630.2289305682546</v>
      </c>
      <c r="F4203" s="7"/>
      <c r="G4203" s="7"/>
      <c r="M4203" s="10"/>
      <c r="P4203" s="11"/>
      <c r="Q4203" s="12"/>
    </row>
    <row r="4204" spans="1:17">
      <c r="A4204" s="14">
        <v>44712</v>
      </c>
      <c r="B4204" s="8">
        <v>1611.8023269677517</v>
      </c>
      <c r="F4204" s="7"/>
      <c r="G4204" s="7"/>
      <c r="M4204" s="10"/>
      <c r="P4204" s="11"/>
      <c r="Q4204" s="12"/>
    </row>
    <row r="4205" spans="1:17">
      <c r="A4205" s="14">
        <v>44713</v>
      </c>
      <c r="B4205" s="8">
        <v>1594.7426737930602</v>
      </c>
      <c r="F4205" s="7"/>
      <c r="G4205" s="7"/>
      <c r="M4205" s="10"/>
      <c r="P4205" s="11"/>
      <c r="Q4205" s="12"/>
    </row>
    <row r="4206" spans="1:17">
      <c r="A4206" s="14">
        <v>44714</v>
      </c>
      <c r="B4206" s="8">
        <v>1627.8953044984296</v>
      </c>
      <c r="F4206" s="7"/>
      <c r="G4206" s="7"/>
      <c r="M4206" s="10"/>
      <c r="P4206" s="11"/>
      <c r="Q4206" s="12"/>
    </row>
    <row r="4207" spans="1:17">
      <c r="A4207" s="14">
        <v>44715</v>
      </c>
      <c r="B4207" s="8">
        <v>1602.014850902887</v>
      </c>
      <c r="F4207" s="7"/>
      <c r="G4207" s="7"/>
      <c r="M4207" s="10"/>
      <c r="P4207" s="11"/>
      <c r="Q4207" s="12"/>
    </row>
    <row r="4208" spans="1:17">
      <c r="A4208" s="14">
        <v>44718</v>
      </c>
      <c r="B4208" s="8">
        <v>1614.5364747776709</v>
      </c>
      <c r="F4208" s="7"/>
      <c r="G4208" s="7"/>
      <c r="M4208" s="10"/>
      <c r="P4208" s="11"/>
      <c r="Q4208" s="12"/>
    </row>
    <row r="4209" spans="1:17">
      <c r="A4209" s="14">
        <v>44719</v>
      </c>
      <c r="B4209" s="8">
        <v>1614.3321289634407</v>
      </c>
      <c r="F4209" s="7"/>
      <c r="G4209" s="7"/>
      <c r="M4209" s="10"/>
      <c r="P4209" s="11"/>
      <c r="Q4209" s="12"/>
    </row>
    <row r="4210" spans="1:17">
      <c r="A4210" s="14">
        <v>44720</v>
      </c>
      <c r="B4210" s="8">
        <v>1608.0996078445855</v>
      </c>
      <c r="F4210" s="7"/>
      <c r="G4210" s="7"/>
      <c r="M4210" s="10"/>
      <c r="P4210" s="11"/>
      <c r="Q4210" s="12"/>
    </row>
    <row r="4211" spans="1:17">
      <c r="A4211" s="14">
        <v>44721</v>
      </c>
      <c r="B4211" s="8">
        <v>1575.6303204699991</v>
      </c>
      <c r="F4211" s="7"/>
      <c r="G4211" s="7"/>
      <c r="M4211" s="10"/>
      <c r="P4211" s="11"/>
      <c r="Q4211" s="12"/>
    </row>
    <row r="4212" spans="1:17">
      <c r="A4212" s="14">
        <v>44722</v>
      </c>
      <c r="B4212" s="8">
        <v>1506.6920839638624</v>
      </c>
      <c r="F4212" s="7"/>
      <c r="G4212" s="7"/>
      <c r="M4212" s="10"/>
      <c r="P4212" s="11"/>
      <c r="Q4212" s="12"/>
    </row>
    <row r="4213" spans="1:17">
      <c r="A4213" s="14">
        <v>44725</v>
      </c>
      <c r="B4213" s="8">
        <v>1445.5615955877543</v>
      </c>
      <c r="F4213" s="7"/>
      <c r="G4213" s="7"/>
      <c r="M4213" s="10"/>
      <c r="P4213" s="11"/>
      <c r="Q4213" s="12"/>
    </row>
    <row r="4214" spans="1:17">
      <c r="A4214" s="14">
        <v>44726</v>
      </c>
      <c r="B4214" s="8">
        <v>1438.2491739119419</v>
      </c>
      <c r="F4214" s="7"/>
      <c r="G4214" s="7"/>
      <c r="M4214" s="10"/>
      <c r="P4214" s="11"/>
      <c r="Q4214" s="12"/>
    </row>
    <row r="4215" spans="1:17">
      <c r="A4215" s="14">
        <v>44727</v>
      </c>
      <c r="B4215" s="8">
        <v>1468.9282794541843</v>
      </c>
      <c r="F4215" s="7"/>
      <c r="G4215" s="7"/>
      <c r="M4215" s="10"/>
      <c r="P4215" s="11"/>
      <c r="Q4215" s="12"/>
    </row>
    <row r="4216" spans="1:17">
      <c r="A4216" s="14">
        <v>44728</v>
      </c>
      <c r="B4216" s="8">
        <v>1415.2407582913904</v>
      </c>
      <c r="F4216" s="7"/>
      <c r="G4216" s="7"/>
      <c r="M4216" s="10"/>
      <c r="P4216" s="11"/>
      <c r="Q4216" s="12"/>
    </row>
    <row r="4217" spans="1:17">
      <c r="A4217" s="14">
        <v>44729</v>
      </c>
      <c r="B4217" s="8">
        <v>1426.8669689084659</v>
      </c>
      <c r="F4217" s="7"/>
      <c r="G4217" s="7"/>
      <c r="M4217" s="10"/>
      <c r="P4217" s="11"/>
      <c r="Q4217" s="12"/>
    </row>
    <row r="4218" spans="1:17">
      <c r="A4218" s="14">
        <v>44732</v>
      </c>
      <c r="B4218" s="8">
        <v>1433.9906345969555</v>
      </c>
      <c r="F4218" s="7"/>
      <c r="G4218" s="7"/>
      <c r="M4218" s="10"/>
      <c r="P4218" s="11"/>
      <c r="Q4218" s="12"/>
    </row>
    <row r="4219" spans="1:17">
      <c r="A4219" s="14">
        <v>44733</v>
      </c>
      <c r="B4219" s="8">
        <v>1456.0417868393577</v>
      </c>
      <c r="F4219" s="7"/>
      <c r="G4219" s="7"/>
      <c r="M4219" s="10"/>
      <c r="P4219" s="11"/>
      <c r="Q4219" s="12"/>
    </row>
    <row r="4220" spans="1:17">
      <c r="A4220" s="14">
        <v>44734</v>
      </c>
      <c r="B4220" s="8">
        <v>1449.5074700312634</v>
      </c>
      <c r="F4220" s="7"/>
      <c r="G4220" s="7"/>
      <c r="M4220" s="10"/>
      <c r="P4220" s="11"/>
      <c r="Q4220" s="12"/>
    </row>
    <row r="4221" spans="1:17">
      <c r="A4221" s="14">
        <v>44735</v>
      </c>
      <c r="B4221" s="8">
        <v>1440.080657891534</v>
      </c>
      <c r="F4221" s="7"/>
      <c r="G4221" s="7"/>
      <c r="M4221" s="10"/>
      <c r="P4221" s="11"/>
      <c r="Q4221" s="12"/>
    </row>
    <row r="4222" spans="1:17">
      <c r="A4222" s="14">
        <v>44736</v>
      </c>
      <c r="B4222" s="8">
        <v>1486.5319471254754</v>
      </c>
      <c r="F4222" s="7"/>
      <c r="G4222" s="7"/>
      <c r="M4222" s="10"/>
      <c r="P4222" s="11"/>
      <c r="Q4222" s="12"/>
    </row>
    <row r="4223" spans="1:17">
      <c r="A4223" s="14">
        <v>44739</v>
      </c>
      <c r="B4223" s="8">
        <v>1487.5504669556817</v>
      </c>
      <c r="F4223" s="7"/>
      <c r="G4223" s="7"/>
      <c r="M4223" s="10"/>
      <c r="P4223" s="11"/>
      <c r="Q4223" s="12"/>
    </row>
    <row r="4224" spans="1:17">
      <c r="A4224" s="14">
        <v>44740</v>
      </c>
      <c r="B4224" s="8">
        <v>1466.7301837377033</v>
      </c>
      <c r="F4224" s="7"/>
      <c r="G4224" s="7"/>
      <c r="M4224" s="10"/>
      <c r="P4224" s="11"/>
      <c r="Q4224" s="12"/>
    </row>
    <row r="4225" spans="1:17">
      <c r="A4225" s="14">
        <v>44741</v>
      </c>
      <c r="B4225" s="8">
        <v>1453.1929910247127</v>
      </c>
      <c r="F4225" s="7"/>
      <c r="G4225" s="7"/>
      <c r="M4225" s="10"/>
      <c r="P4225" s="11"/>
      <c r="Q4225" s="12"/>
    </row>
    <row r="4226" spans="1:17">
      <c r="A4226" s="14">
        <v>44742</v>
      </c>
      <c r="B4226" s="8">
        <v>1425.3732677286876</v>
      </c>
      <c r="F4226" s="7"/>
      <c r="G4226" s="7"/>
      <c r="M4226" s="10"/>
      <c r="P4226" s="11"/>
      <c r="Q4226" s="12"/>
    </row>
    <row r="4227" spans="1:17">
      <c r="A4227" s="14">
        <v>44743</v>
      </c>
      <c r="B4227" s="8">
        <v>1429.4295002809768</v>
      </c>
      <c r="F4227" s="7"/>
      <c r="G4227" s="7"/>
      <c r="M4227" s="10"/>
      <c r="P4227" s="11"/>
      <c r="Q4227" s="12"/>
    </row>
    <row r="4228" spans="1:17">
      <c r="A4228" s="14">
        <v>44746</v>
      </c>
      <c r="B4228" s="8">
        <v>1426.4112213716858</v>
      </c>
      <c r="F4228" s="7"/>
      <c r="G4228" s="7"/>
      <c r="M4228" s="10"/>
      <c r="P4228" s="11"/>
      <c r="Q4228" s="12"/>
    </row>
    <row r="4229" spans="1:17">
      <c r="A4229" s="14">
        <v>44747</v>
      </c>
      <c r="B4229" s="8">
        <v>1419.6613479265695</v>
      </c>
      <c r="F4229" s="7"/>
      <c r="G4229" s="7"/>
      <c r="M4229" s="10"/>
      <c r="P4229" s="11"/>
      <c r="Q4229" s="12"/>
    </row>
    <row r="4230" spans="1:17">
      <c r="A4230" s="14">
        <v>44748</v>
      </c>
      <c r="B4230" s="8">
        <v>1430.8142285644988</v>
      </c>
      <c r="F4230" s="7"/>
      <c r="G4230" s="7"/>
      <c r="M4230" s="10"/>
      <c r="P4230" s="11"/>
      <c r="Q4230" s="12"/>
    </row>
    <row r="4231" spans="1:17">
      <c r="A4231" s="14">
        <v>44749</v>
      </c>
      <c r="B4231" s="8">
        <v>1468.0614076080219</v>
      </c>
      <c r="F4231" s="7"/>
      <c r="G4231" s="7"/>
      <c r="M4231" s="10"/>
      <c r="P4231" s="11"/>
      <c r="Q4231" s="12"/>
    </row>
    <row r="4232" spans="1:17">
      <c r="A4232" s="14">
        <v>44750</v>
      </c>
      <c r="B4232" s="8">
        <v>1474.575039597559</v>
      </c>
      <c r="F4232" s="7"/>
      <c r="G4232" s="7"/>
      <c r="M4232" s="10"/>
      <c r="P4232" s="11"/>
      <c r="Q4232" s="12"/>
    </row>
    <row r="4233" spans="1:17">
      <c r="A4233" s="14">
        <v>44753</v>
      </c>
      <c r="B4233" s="8">
        <v>1445.8668048995587</v>
      </c>
      <c r="F4233" s="7"/>
      <c r="G4233" s="7"/>
      <c r="M4233" s="10"/>
      <c r="P4233" s="11"/>
      <c r="Q4233" s="12"/>
    </row>
    <row r="4234" spans="1:17">
      <c r="A4234" s="14">
        <v>44754</v>
      </c>
      <c r="B4234" s="8">
        <v>1433.3972700684847</v>
      </c>
      <c r="F4234" s="7"/>
      <c r="G4234" s="7"/>
      <c r="M4234" s="10"/>
      <c r="P4234" s="11"/>
      <c r="Q4234" s="12"/>
    </row>
    <row r="4235" spans="1:17">
      <c r="A4235" s="14">
        <v>44755</v>
      </c>
      <c r="B4235" s="8">
        <v>1423.531766909128</v>
      </c>
      <c r="F4235" s="7"/>
      <c r="G4235" s="7"/>
      <c r="M4235" s="10"/>
      <c r="P4235" s="11"/>
      <c r="Q4235" s="12"/>
    </row>
    <row r="4236" spans="1:17">
      <c r="A4236" s="14">
        <v>44756</v>
      </c>
      <c r="B4236" s="8">
        <v>1409.1976892309067</v>
      </c>
      <c r="F4236" s="7"/>
      <c r="G4236" s="7"/>
      <c r="M4236" s="10"/>
      <c r="P4236" s="11"/>
      <c r="Q4236" s="12"/>
    </row>
    <row r="4237" spans="1:17">
      <c r="A4237" s="14">
        <v>44757</v>
      </c>
      <c r="B4237" s="8">
        <v>1445.7084879748727</v>
      </c>
      <c r="F4237" s="7"/>
      <c r="G4237" s="7"/>
      <c r="M4237" s="10"/>
      <c r="P4237" s="11"/>
      <c r="Q4237" s="12"/>
    </row>
    <row r="4238" spans="1:17">
      <c r="A4238" s="14">
        <v>44760</v>
      </c>
      <c r="B4238" s="8">
        <v>1453.9750323520796</v>
      </c>
      <c r="F4238" s="7"/>
      <c r="G4238" s="7"/>
      <c r="M4238" s="10"/>
      <c r="P4238" s="11"/>
      <c r="Q4238" s="12"/>
    </row>
    <row r="4239" spans="1:17">
      <c r="A4239" s="14">
        <v>44761</v>
      </c>
      <c r="B4239" s="8">
        <v>1499.8021118173972</v>
      </c>
      <c r="F4239" s="7"/>
      <c r="G4239" s="7"/>
      <c r="M4239" s="10"/>
      <c r="P4239" s="11"/>
      <c r="Q4239" s="12"/>
    </row>
    <row r="4240" spans="1:17">
      <c r="A4240" s="14">
        <v>44762</v>
      </c>
      <c r="B4240" s="8">
        <v>1510.803037602235</v>
      </c>
      <c r="F4240" s="7"/>
      <c r="G4240" s="7"/>
      <c r="M4240" s="10"/>
      <c r="P4240" s="11"/>
      <c r="Q4240" s="12"/>
    </row>
    <row r="4241" spans="1:17">
      <c r="A4241" s="14">
        <v>44763</v>
      </c>
      <c r="B4241" s="8">
        <v>1524.6599933243642</v>
      </c>
      <c r="F4241" s="7"/>
      <c r="G4241" s="7"/>
      <c r="M4241" s="10"/>
      <c r="P4241" s="11"/>
      <c r="Q4241" s="12"/>
    </row>
    <row r="4242" spans="1:17">
      <c r="A4242" s="14">
        <v>44764</v>
      </c>
      <c r="B4242" s="8">
        <v>1512.1725445212908</v>
      </c>
      <c r="F4242" s="7"/>
      <c r="G4242" s="7"/>
      <c r="M4242" s="10"/>
      <c r="P4242" s="11"/>
      <c r="Q4242" s="12"/>
    </row>
    <row r="4243" spans="1:17">
      <c r="A4243" s="14">
        <v>44767</v>
      </c>
      <c r="B4243" s="8">
        <v>1508.0573081568718</v>
      </c>
      <c r="F4243" s="7"/>
      <c r="G4243" s="7"/>
      <c r="M4243" s="10"/>
      <c r="P4243" s="11"/>
      <c r="Q4243" s="12"/>
    </row>
    <row r="4244" spans="1:17">
      <c r="A4244" s="14">
        <v>44768</v>
      </c>
      <c r="B4244" s="8">
        <v>1481.8893071327632</v>
      </c>
      <c r="F4244" s="7"/>
      <c r="G4244" s="7"/>
      <c r="M4244" s="10"/>
      <c r="P4244" s="11"/>
      <c r="Q4244" s="12"/>
    </row>
    <row r="4245" spans="1:17">
      <c r="A4245" s="14">
        <v>44769</v>
      </c>
      <c r="B4245" s="8">
        <v>1521.363843965026</v>
      </c>
      <c r="F4245" s="7"/>
      <c r="G4245" s="7"/>
      <c r="M4245" s="10"/>
      <c r="P4245" s="11"/>
      <c r="Q4245" s="12"/>
    </row>
    <row r="4246" spans="1:17">
      <c r="A4246" s="14">
        <v>44770</v>
      </c>
      <c r="B4246" s="8">
        <v>1544.1589212246779</v>
      </c>
      <c r="F4246" s="7"/>
      <c r="G4246" s="7"/>
      <c r="M4246" s="10"/>
      <c r="P4246" s="11"/>
      <c r="Q4246" s="12"/>
    </row>
    <row r="4247" spans="1:17">
      <c r="A4247" s="14">
        <v>44771</v>
      </c>
      <c r="B4247" s="8">
        <v>1564.0906623025221</v>
      </c>
      <c r="F4247" s="7"/>
      <c r="G4247" s="7"/>
      <c r="M4247" s="10"/>
      <c r="P4247" s="11"/>
      <c r="Q4247" s="12"/>
    </row>
    <row r="4248" spans="1:17">
      <c r="A4248" s="14">
        <v>44774</v>
      </c>
      <c r="B4248" s="8">
        <v>1563.0602257828566</v>
      </c>
      <c r="F4248" s="7"/>
      <c r="G4248" s="7"/>
      <c r="M4248" s="10"/>
      <c r="P4248" s="11"/>
      <c r="Q4248" s="12"/>
    </row>
    <row r="4249" spans="1:17">
      <c r="A4249" s="14">
        <v>44775</v>
      </c>
      <c r="B4249" s="8">
        <v>1553.2266233333298</v>
      </c>
      <c r="F4249" s="7"/>
      <c r="G4249" s="7"/>
      <c r="M4249" s="10"/>
      <c r="P4249" s="11"/>
      <c r="Q4249" s="12"/>
    </row>
    <row r="4250" spans="1:17">
      <c r="A4250" s="14">
        <v>44776</v>
      </c>
      <c r="B4250" s="8">
        <v>1582.6675457312977</v>
      </c>
      <c r="F4250" s="7"/>
      <c r="G4250" s="7"/>
      <c r="M4250" s="10"/>
      <c r="P4250" s="11"/>
      <c r="Q4250" s="12"/>
    </row>
    <row r="4251" spans="1:17">
      <c r="A4251" s="14">
        <v>44777</v>
      </c>
      <c r="B4251" s="8">
        <v>1593.6372216754958</v>
      </c>
      <c r="F4251" s="7"/>
      <c r="G4251" s="7"/>
      <c r="M4251" s="10"/>
      <c r="P4251" s="11"/>
      <c r="Q4251" s="12"/>
    </row>
    <row r="4252" spans="1:17">
      <c r="A4252" s="14">
        <v>44778</v>
      </c>
      <c r="B4252" s="8">
        <v>1590.1252630101267</v>
      </c>
      <c r="F4252" s="7"/>
      <c r="G4252" s="7"/>
      <c r="M4252" s="10"/>
      <c r="P4252" s="11"/>
      <c r="Q4252" s="12"/>
    </row>
    <row r="4253" spans="1:17">
      <c r="A4253" s="14">
        <v>44781</v>
      </c>
      <c r="B4253" s="8">
        <v>1591.5044216797126</v>
      </c>
      <c r="F4253" s="7"/>
      <c r="G4253" s="7"/>
      <c r="M4253" s="10"/>
      <c r="P4253" s="11"/>
      <c r="Q4253" s="12"/>
    </row>
    <row r="4254" spans="1:17">
      <c r="A4254" s="14">
        <v>44782</v>
      </c>
      <c r="B4254" s="8">
        <v>1568.7711515739004</v>
      </c>
      <c r="F4254" s="7"/>
      <c r="G4254" s="7"/>
      <c r="M4254" s="10"/>
      <c r="P4254" s="11"/>
      <c r="Q4254" s="12"/>
    </row>
    <row r="4255" spans="1:17">
      <c r="A4255" s="14">
        <v>44783</v>
      </c>
      <c r="B4255" s="8">
        <v>1609.2497903628971</v>
      </c>
      <c r="F4255" s="7"/>
      <c r="G4255" s="7"/>
      <c r="M4255" s="10"/>
      <c r="P4255" s="11"/>
      <c r="Q4255" s="12"/>
    </row>
    <row r="4256" spans="1:17">
      <c r="A4256" s="14">
        <v>44784</v>
      </c>
      <c r="B4256" s="8">
        <v>1610.1542881492271</v>
      </c>
      <c r="F4256" s="7"/>
      <c r="G4256" s="7"/>
      <c r="M4256" s="10"/>
      <c r="P4256" s="11"/>
      <c r="Q4256" s="12"/>
    </row>
    <row r="4257" spans="1:17">
      <c r="A4257" s="14">
        <v>44785</v>
      </c>
      <c r="B4257" s="8">
        <v>1631.0283081767004</v>
      </c>
      <c r="F4257" s="7"/>
      <c r="G4257" s="7"/>
      <c r="M4257" s="10"/>
      <c r="P4257" s="11"/>
      <c r="Q4257" s="12"/>
    </row>
    <row r="4258" spans="1:17">
      <c r="A4258" s="14">
        <v>44788</v>
      </c>
      <c r="B4258" s="8">
        <v>1637.0030168641417</v>
      </c>
      <c r="F4258" s="7"/>
      <c r="G4258" s="7"/>
      <c r="M4258" s="10"/>
      <c r="P4258" s="11"/>
      <c r="Q4258" s="12"/>
    </row>
    <row r="4259" spans="1:17">
      <c r="A4259" s="14">
        <v>44789</v>
      </c>
      <c r="B4259" s="8">
        <v>1639.4243506422902</v>
      </c>
      <c r="F4259" s="7"/>
      <c r="G4259" s="7"/>
      <c r="M4259" s="10"/>
      <c r="P4259" s="11"/>
      <c r="Q4259" s="12"/>
    </row>
    <row r="4260" spans="1:17">
      <c r="A4260" s="14">
        <v>44790</v>
      </c>
      <c r="B4260" s="8">
        <v>1616.3290569647049</v>
      </c>
      <c r="F4260" s="7"/>
      <c r="G4260" s="7"/>
      <c r="M4260" s="10"/>
      <c r="P4260" s="11"/>
      <c r="Q4260" s="12"/>
    </row>
    <row r="4261" spans="1:17">
      <c r="A4261" s="14">
        <v>44791</v>
      </c>
      <c r="B4261" s="8">
        <v>1623.2843516819173</v>
      </c>
      <c r="F4261" s="7"/>
      <c r="G4261" s="7"/>
      <c r="M4261" s="10"/>
      <c r="P4261" s="11"/>
      <c r="Q4261" s="12"/>
    </row>
    <row r="4262" spans="1:17">
      <c r="A4262" s="14">
        <v>44792</v>
      </c>
      <c r="B4262" s="8">
        <v>1589.6106138882069</v>
      </c>
      <c r="F4262" s="7"/>
      <c r="G4262" s="7"/>
      <c r="M4262" s="10"/>
      <c r="P4262" s="11"/>
      <c r="Q4262" s="12"/>
    </row>
    <row r="4263" spans="1:17">
      <c r="A4263" s="14">
        <v>44795</v>
      </c>
      <c r="B4263" s="8">
        <v>1540.8347720780469</v>
      </c>
      <c r="F4263" s="7"/>
      <c r="G4263" s="7"/>
      <c r="M4263" s="10"/>
      <c r="P4263" s="11"/>
      <c r="Q4263" s="12"/>
    </row>
    <row r="4264" spans="1:17">
      <c r="A4264" s="14">
        <v>44796</v>
      </c>
      <c r="B4264" s="8">
        <v>1544.4441484601225</v>
      </c>
      <c r="F4264" s="7"/>
      <c r="G4264" s="7"/>
      <c r="M4264" s="10"/>
      <c r="P4264" s="11"/>
      <c r="Q4264" s="12"/>
    </row>
    <row r="4265" spans="1:17">
      <c r="A4265" s="14">
        <v>44797</v>
      </c>
      <c r="B4265" s="8">
        <v>1548.3225871036093</v>
      </c>
      <c r="F4265" s="7"/>
      <c r="G4265" s="7"/>
      <c r="M4265" s="10"/>
      <c r="P4265" s="11"/>
      <c r="Q4265" s="12"/>
    </row>
    <row r="4266" spans="1:17">
      <c r="A4266" s="14">
        <v>44798</v>
      </c>
      <c r="B4266" s="8">
        <v>1558.9667728401862</v>
      </c>
      <c r="F4266" s="7"/>
      <c r="G4266" s="7"/>
      <c r="M4266" s="10"/>
      <c r="P4266" s="11"/>
      <c r="Q4266" s="12"/>
    </row>
    <row r="4267" spans="1:17">
      <c r="A4267" s="14">
        <v>44799</v>
      </c>
      <c r="B4267" s="8">
        <v>1510.3138589676707</v>
      </c>
      <c r="F4267" s="7"/>
      <c r="G4267" s="7"/>
      <c r="M4267" s="10"/>
      <c r="P4267" s="11"/>
      <c r="Q4267" s="12"/>
    </row>
    <row r="4268" spans="1:17">
      <c r="A4268" s="14">
        <v>44802</v>
      </c>
      <c r="B4268" s="8">
        <v>1495.7975337059213</v>
      </c>
      <c r="F4268" s="7"/>
      <c r="G4268" s="7"/>
      <c r="M4268" s="10"/>
      <c r="P4268" s="11"/>
      <c r="Q4268" s="12"/>
    </row>
    <row r="4269" spans="1:17">
      <c r="A4269" s="14">
        <v>44803</v>
      </c>
      <c r="B4269" s="8">
        <v>1493.758020792008</v>
      </c>
      <c r="F4269" s="7"/>
      <c r="G4269" s="7"/>
      <c r="M4269" s="10"/>
      <c r="P4269" s="11"/>
      <c r="Q4269" s="12"/>
    </row>
    <row r="4270" spans="1:17">
      <c r="A4270" s="14">
        <v>44804</v>
      </c>
      <c r="B4270" s="8">
        <v>1479.1192842434716</v>
      </c>
      <c r="F4270" s="7"/>
      <c r="G4270" s="7"/>
      <c r="M4270" s="10"/>
      <c r="P4270" s="11"/>
      <c r="Q4270" s="12"/>
    </row>
    <row r="4271" spans="1:17">
      <c r="A4271" s="14">
        <v>44805</v>
      </c>
      <c r="B4271" s="8">
        <v>1462.5449611600611</v>
      </c>
      <c r="F4271" s="7"/>
      <c r="G4271" s="7"/>
      <c r="M4271" s="10"/>
      <c r="P4271" s="11"/>
      <c r="Q4271" s="12"/>
    </row>
    <row r="4272" spans="1:17">
      <c r="A4272" s="14">
        <v>44806</v>
      </c>
      <c r="B4272" s="8">
        <v>1475.0399449582096</v>
      </c>
      <c r="F4272" s="7"/>
      <c r="G4272" s="7"/>
      <c r="M4272" s="10"/>
      <c r="P4272" s="11"/>
      <c r="Q4272" s="12"/>
    </row>
    <row r="4273" spans="1:17">
      <c r="A4273" s="14">
        <v>44809</v>
      </c>
      <c r="B4273" s="8">
        <v>1458.9796962761384</v>
      </c>
      <c r="F4273" s="7"/>
      <c r="G4273" s="7"/>
      <c r="M4273" s="10"/>
      <c r="P4273" s="11"/>
      <c r="Q4273" s="12"/>
    </row>
    <row r="4274" spans="1:17">
      <c r="A4274" s="14">
        <v>44810</v>
      </c>
      <c r="B4274" s="8">
        <v>1459.2355674916735</v>
      </c>
      <c r="F4274" s="7"/>
      <c r="G4274" s="7"/>
      <c r="M4274" s="10"/>
      <c r="P4274" s="11"/>
      <c r="Q4274" s="12"/>
    </row>
    <row r="4275" spans="1:17">
      <c r="A4275" s="14">
        <v>44811</v>
      </c>
      <c r="B4275" s="8">
        <v>1476.0872444902586</v>
      </c>
      <c r="F4275" s="7"/>
      <c r="G4275" s="7"/>
      <c r="M4275" s="10"/>
      <c r="P4275" s="11"/>
      <c r="Q4275" s="12"/>
    </row>
    <row r="4276" spans="1:17">
      <c r="A4276" s="14">
        <v>44812</v>
      </c>
      <c r="B4276" s="8">
        <v>1493.8302654086851</v>
      </c>
      <c r="F4276" s="7"/>
      <c r="G4276" s="7"/>
      <c r="M4276" s="10"/>
      <c r="P4276" s="11"/>
      <c r="Q4276" s="12"/>
    </row>
    <row r="4277" spans="1:17">
      <c r="A4277" s="14">
        <v>44813</v>
      </c>
      <c r="B4277" s="8">
        <v>1525.2781574541686</v>
      </c>
      <c r="F4277" s="7"/>
      <c r="G4277" s="7"/>
      <c r="M4277" s="10"/>
      <c r="P4277" s="11"/>
      <c r="Q4277" s="12"/>
    </row>
    <row r="4278" spans="1:17">
      <c r="A4278" s="14">
        <v>44816</v>
      </c>
      <c r="B4278" s="8">
        <v>1549.5909984390128</v>
      </c>
      <c r="F4278" s="7"/>
      <c r="G4278" s="7"/>
      <c r="M4278" s="10"/>
      <c r="P4278" s="11"/>
      <c r="Q4278" s="12"/>
    </row>
    <row r="4279" spans="1:17">
      <c r="A4279" s="14">
        <v>44817</v>
      </c>
      <c r="B4279" s="8">
        <v>1494.0001859145623</v>
      </c>
      <c r="F4279" s="7"/>
      <c r="G4279" s="7"/>
      <c r="M4279" s="10"/>
      <c r="P4279" s="11"/>
      <c r="Q4279" s="12"/>
    </row>
    <row r="4280" spans="1:17">
      <c r="A4280" s="14">
        <v>44818</v>
      </c>
      <c r="B4280" s="8">
        <v>1498.6080821533576</v>
      </c>
      <c r="F4280" s="7"/>
      <c r="G4280" s="7"/>
      <c r="M4280" s="10"/>
      <c r="P4280" s="11"/>
      <c r="Q4280" s="12"/>
    </row>
    <row r="4281" spans="1:17">
      <c r="A4281" s="14">
        <v>44819</v>
      </c>
      <c r="B4281" s="8">
        <v>1484.3328483737885</v>
      </c>
      <c r="F4281" s="7"/>
      <c r="G4281" s="7"/>
      <c r="M4281" s="10"/>
      <c r="P4281" s="11"/>
      <c r="Q4281" s="12"/>
    </row>
    <row r="4282" spans="1:17">
      <c r="A4282" s="14">
        <v>44820</v>
      </c>
      <c r="B4282" s="8">
        <v>1469.5761350471153</v>
      </c>
      <c r="F4282" s="7"/>
      <c r="G4282" s="7"/>
      <c r="M4282" s="10"/>
      <c r="P4282" s="11"/>
      <c r="Q4282" s="12"/>
    </row>
    <row r="4283" spans="1:17">
      <c r="A4283" s="14">
        <v>44823</v>
      </c>
      <c r="B4283" s="8">
        <v>1473.646879538617</v>
      </c>
      <c r="F4283" s="7"/>
      <c r="G4283" s="7"/>
      <c r="M4283" s="10"/>
      <c r="P4283" s="11"/>
      <c r="Q4283" s="12"/>
    </row>
    <row r="4284" spans="1:17">
      <c r="A4284" s="14">
        <v>44824</v>
      </c>
      <c r="B4284" s="8">
        <v>1454.1474755384409</v>
      </c>
      <c r="F4284" s="7"/>
      <c r="G4284" s="7"/>
      <c r="M4284" s="10"/>
      <c r="P4284" s="11"/>
      <c r="Q4284" s="12"/>
    </row>
    <row r="4285" spans="1:17">
      <c r="A4285" s="14">
        <v>44825</v>
      </c>
      <c r="B4285" s="8">
        <v>1445.27440297557</v>
      </c>
      <c r="F4285" s="7"/>
      <c r="G4285" s="7"/>
      <c r="M4285" s="10"/>
      <c r="P4285" s="11"/>
      <c r="Q4285" s="12"/>
    </row>
    <row r="4286" spans="1:17">
      <c r="A4286" s="14">
        <v>44826</v>
      </c>
      <c r="B4286" s="8">
        <v>1421.9172693624096</v>
      </c>
      <c r="F4286" s="7"/>
      <c r="G4286" s="7"/>
      <c r="M4286" s="10"/>
      <c r="P4286" s="11"/>
      <c r="Q4286" s="12"/>
    </row>
    <row r="4287" spans="1:17">
      <c r="A4287" s="14">
        <v>44827</v>
      </c>
      <c r="B4287" s="8">
        <v>1387.7147887055417</v>
      </c>
      <c r="F4287" s="7"/>
      <c r="G4287" s="7"/>
      <c r="M4287" s="10"/>
      <c r="P4287" s="11"/>
      <c r="Q4287" s="12"/>
    </row>
    <row r="4288" spans="1:17">
      <c r="A4288" s="14">
        <v>44830</v>
      </c>
      <c r="B4288" s="8">
        <v>1379.9882756737245</v>
      </c>
      <c r="F4288" s="7"/>
      <c r="G4288" s="7"/>
      <c r="M4288" s="10"/>
      <c r="P4288" s="11"/>
      <c r="Q4288" s="12"/>
    </row>
    <row r="4289" spans="1:17">
      <c r="A4289" s="14">
        <v>44831</v>
      </c>
      <c r="B4289" s="8">
        <v>1376.5593333176396</v>
      </c>
      <c r="F4289" s="7"/>
      <c r="G4289" s="7"/>
      <c r="M4289" s="10"/>
      <c r="P4289" s="11"/>
      <c r="Q4289" s="12"/>
    </row>
    <row r="4290" spans="1:17">
      <c r="A4290" s="14">
        <v>44832</v>
      </c>
      <c r="B4290" s="8">
        <v>1390.9545075960186</v>
      </c>
      <c r="F4290" s="7"/>
      <c r="G4290" s="7"/>
      <c r="M4290" s="10"/>
      <c r="P4290" s="11"/>
      <c r="Q4290" s="12"/>
    </row>
    <row r="4291" spans="1:17">
      <c r="A4291" s="14">
        <v>44833</v>
      </c>
      <c r="B4291" s="8">
        <v>1357.2460575649902</v>
      </c>
      <c r="F4291" s="7"/>
      <c r="G4291" s="7"/>
      <c r="M4291" s="10"/>
      <c r="P4291" s="11"/>
      <c r="Q4291" s="12"/>
    </row>
    <row r="4292" spans="1:17">
      <c r="A4292" s="14">
        <v>44834</v>
      </c>
      <c r="B4292" s="8">
        <v>1360.9942221839251</v>
      </c>
      <c r="F4292" s="7"/>
      <c r="G4292" s="7"/>
      <c r="M4292" s="10"/>
      <c r="P4292" s="11"/>
      <c r="Q4292" s="12"/>
    </row>
    <row r="4293" spans="1:17">
      <c r="A4293" s="14">
        <v>44837</v>
      </c>
      <c r="B4293" s="8">
        <v>1383.3642421550981</v>
      </c>
      <c r="F4293" s="7"/>
      <c r="G4293" s="7"/>
      <c r="M4293" s="10"/>
      <c r="P4293" s="11"/>
      <c r="Q4293" s="12"/>
    </row>
    <row r="4294" spans="1:17">
      <c r="A4294" s="14">
        <v>44838</v>
      </c>
      <c r="B4294" s="8">
        <v>1440.3836863912488</v>
      </c>
      <c r="F4294" s="7"/>
      <c r="G4294" s="7"/>
      <c r="M4294" s="10"/>
      <c r="P4294" s="11"/>
      <c r="Q4294" s="12"/>
    </row>
    <row r="4295" spans="1:17">
      <c r="A4295" s="14">
        <v>44839</v>
      </c>
      <c r="B4295" s="8">
        <v>1427.9232347991558</v>
      </c>
      <c r="F4295" s="7"/>
      <c r="G4295" s="7"/>
      <c r="M4295" s="10"/>
      <c r="P4295" s="11"/>
      <c r="Q4295" s="12"/>
    </row>
    <row r="4296" spans="1:17">
      <c r="A4296" s="14">
        <v>44840</v>
      </c>
      <c r="B4296" s="8">
        <v>1420.9802124894668</v>
      </c>
      <c r="F4296" s="7"/>
      <c r="G4296" s="7"/>
      <c r="M4296" s="10"/>
      <c r="P4296" s="11"/>
      <c r="Q4296" s="12"/>
    </row>
    <row r="4297" spans="1:17">
      <c r="A4297" s="14">
        <v>44841</v>
      </c>
      <c r="B4297" s="8">
        <v>1379.4075801442148</v>
      </c>
      <c r="F4297" s="7"/>
      <c r="G4297" s="7"/>
      <c r="M4297" s="10"/>
      <c r="P4297" s="11"/>
      <c r="Q4297" s="12"/>
    </row>
    <row r="4298" spans="1:17">
      <c r="A4298" s="14">
        <v>44844</v>
      </c>
      <c r="B4298" s="8">
        <v>1365.2541236389152</v>
      </c>
      <c r="F4298" s="7"/>
      <c r="G4298" s="7"/>
      <c r="M4298" s="10"/>
      <c r="P4298" s="11"/>
      <c r="Q4298" s="12"/>
    </row>
    <row r="4299" spans="1:17">
      <c r="A4299" s="14">
        <v>44845</v>
      </c>
      <c r="B4299" s="8">
        <v>1344.61078724515</v>
      </c>
      <c r="F4299" s="7"/>
      <c r="G4299" s="7"/>
      <c r="M4299" s="10"/>
      <c r="P4299" s="11"/>
      <c r="Q4299" s="12"/>
    </row>
    <row r="4300" spans="1:17">
      <c r="A4300" s="14">
        <v>44846</v>
      </c>
      <c r="B4300" s="8">
        <v>1339.1478273246992</v>
      </c>
      <c r="F4300" s="7"/>
      <c r="G4300" s="7"/>
      <c r="M4300" s="10"/>
      <c r="P4300" s="11"/>
      <c r="Q4300" s="12"/>
    </row>
    <row r="4301" spans="1:17">
      <c r="A4301" s="14">
        <v>44847</v>
      </c>
      <c r="B4301" s="8">
        <v>1365.9243191158516</v>
      </c>
      <c r="F4301" s="7"/>
      <c r="G4301" s="7"/>
      <c r="M4301" s="10"/>
      <c r="P4301" s="11"/>
      <c r="Q4301" s="12"/>
    </row>
    <row r="4302" spans="1:17">
      <c r="A4302" s="14">
        <v>44848</v>
      </c>
      <c r="B4302" s="8">
        <v>1352.5078841852192</v>
      </c>
      <c r="F4302" s="7"/>
      <c r="G4302" s="7"/>
      <c r="M4302" s="10"/>
      <c r="P4302" s="11"/>
      <c r="Q4302" s="12"/>
    </row>
    <row r="4303" spans="1:17">
      <c r="A4303" s="14">
        <v>44851</v>
      </c>
      <c r="B4303" s="8">
        <v>1388.9226917536221</v>
      </c>
      <c r="F4303" s="7"/>
      <c r="G4303" s="7"/>
      <c r="M4303" s="10"/>
      <c r="P4303" s="11"/>
      <c r="Q4303" s="12"/>
    </row>
    <row r="4304" spans="1:17">
      <c r="A4304" s="14">
        <v>44852</v>
      </c>
      <c r="B4304" s="8">
        <v>1405.6263988175119</v>
      </c>
      <c r="F4304" s="7"/>
      <c r="G4304" s="7"/>
      <c r="M4304" s="10"/>
      <c r="P4304" s="11"/>
      <c r="Q4304" s="12"/>
    </row>
    <row r="4305" spans="1:17">
      <c r="A4305" s="14">
        <v>44853</v>
      </c>
      <c r="B4305" s="8">
        <v>1400.408238306157</v>
      </c>
      <c r="F4305" s="7"/>
      <c r="G4305" s="7"/>
      <c r="M4305" s="10"/>
      <c r="P4305" s="11"/>
      <c r="Q4305" s="12"/>
    </row>
    <row r="4306" spans="1:17">
      <c r="A4306" s="14">
        <v>44854</v>
      </c>
      <c r="B4306" s="8">
        <v>1403.5412083137433</v>
      </c>
      <c r="F4306" s="7"/>
      <c r="G4306" s="7"/>
      <c r="M4306" s="10"/>
      <c r="P4306" s="11"/>
      <c r="Q4306" s="12"/>
    </row>
    <row r="4307" spans="1:17">
      <c r="A4307" s="14">
        <v>44855</v>
      </c>
      <c r="B4307" s="8">
        <v>1420.4426514011077</v>
      </c>
      <c r="F4307" s="7"/>
      <c r="G4307" s="7"/>
      <c r="M4307" s="10"/>
      <c r="P4307" s="11"/>
      <c r="Q4307" s="12"/>
    </row>
    <row r="4308" spans="1:17">
      <c r="A4308" s="14">
        <v>44858</v>
      </c>
      <c r="B4308" s="8">
        <v>1433.4109132401538</v>
      </c>
      <c r="F4308" s="7"/>
      <c r="G4308" s="7"/>
      <c r="M4308" s="10"/>
      <c r="P4308" s="11"/>
      <c r="Q4308" s="12"/>
    </row>
    <row r="4309" spans="1:17">
      <c r="A4309" s="14">
        <v>44859</v>
      </c>
      <c r="B4309" s="8">
        <v>1463.1814141631251</v>
      </c>
      <c r="F4309" s="7"/>
      <c r="G4309" s="7"/>
      <c r="M4309" s="10"/>
      <c r="P4309" s="11"/>
      <c r="Q4309" s="12"/>
    </row>
    <row r="4310" spans="1:17">
      <c r="A4310" s="14">
        <v>44860</v>
      </c>
      <c r="B4310" s="8">
        <v>1464.6871703319657</v>
      </c>
      <c r="F4310" s="7"/>
      <c r="G4310" s="7"/>
      <c r="M4310" s="10"/>
      <c r="P4310" s="11"/>
      <c r="Q4310" s="12"/>
    </row>
    <row r="4311" spans="1:17">
      <c r="A4311" s="14">
        <v>44861</v>
      </c>
      <c r="B4311" s="8">
        <v>1466.4873667376762</v>
      </c>
      <c r="F4311" s="7"/>
      <c r="G4311" s="7"/>
      <c r="M4311" s="10"/>
      <c r="P4311" s="11"/>
      <c r="Q4311" s="12"/>
    </row>
    <row r="4312" spans="1:17">
      <c r="A4312" s="14">
        <v>44862</v>
      </c>
      <c r="B4312" s="8">
        <v>1480.4253584155754</v>
      </c>
      <c r="F4312" s="7"/>
      <c r="G4312" s="7"/>
      <c r="M4312" s="10"/>
      <c r="P4312" s="11"/>
      <c r="Q4312" s="12"/>
    </row>
    <row r="4313" spans="1:17">
      <c r="A4313" s="14">
        <v>44865</v>
      </c>
      <c r="B4313" s="8">
        <v>1473.8528157408809</v>
      </c>
      <c r="F4313" s="7"/>
      <c r="G4313" s="7"/>
      <c r="M4313" s="10"/>
      <c r="P4313" s="11"/>
      <c r="Q4313" s="12"/>
    </row>
    <row r="4314" spans="1:17">
      <c r="A4314" s="14">
        <v>44866</v>
      </c>
      <c r="B4314" s="8">
        <v>1484.1881807147329</v>
      </c>
      <c r="F4314" s="7"/>
      <c r="G4314" s="7"/>
      <c r="M4314" s="10"/>
      <c r="P4314" s="11"/>
      <c r="Q4314" s="12"/>
    </row>
    <row r="4315" spans="1:17">
      <c r="A4315" s="14">
        <v>44867</v>
      </c>
      <c r="B4315" s="8">
        <v>1456.7037213336898</v>
      </c>
      <c r="F4315" s="7"/>
      <c r="G4315" s="7"/>
      <c r="M4315" s="10"/>
      <c r="P4315" s="11"/>
      <c r="Q4315" s="12"/>
    </row>
    <row r="4316" spans="1:17">
      <c r="A4316" s="14">
        <v>44868</v>
      </c>
      <c r="B4316" s="8">
        <v>1432.5587595952663</v>
      </c>
      <c r="F4316" s="7"/>
      <c r="G4316" s="7"/>
      <c r="M4316" s="10"/>
      <c r="P4316" s="11"/>
      <c r="Q4316" s="12"/>
    </row>
    <row r="4317" spans="1:17">
      <c r="A4317" s="14">
        <v>44869</v>
      </c>
      <c r="B4317" s="8">
        <v>1461.7166168958779</v>
      </c>
      <c r="F4317" s="7"/>
      <c r="G4317" s="7"/>
      <c r="M4317" s="10"/>
      <c r="P4317" s="11"/>
      <c r="Q4317" s="12"/>
    </row>
    <row r="4318" spans="1:17">
      <c r="A4318" s="14">
        <v>44872</v>
      </c>
      <c r="B4318" s="8">
        <v>1471.6049304027922</v>
      </c>
      <c r="F4318" s="7"/>
      <c r="G4318" s="7"/>
      <c r="M4318" s="10"/>
      <c r="P4318" s="11"/>
      <c r="Q4318" s="12"/>
    </row>
    <row r="4319" spans="1:17">
      <c r="A4319" s="14">
        <v>44873</v>
      </c>
      <c r="B4319" s="8">
        <v>1490.9804475958483</v>
      </c>
      <c r="F4319" s="7"/>
      <c r="G4319" s="7"/>
      <c r="M4319" s="10"/>
      <c r="P4319" s="11"/>
      <c r="Q4319" s="12"/>
    </row>
    <row r="4320" spans="1:17">
      <c r="A4320" s="14">
        <v>44874</v>
      </c>
      <c r="B4320" s="8">
        <v>1468.7912561594571</v>
      </c>
      <c r="F4320" s="7"/>
      <c r="G4320" s="7"/>
      <c r="M4320" s="10"/>
      <c r="P4320" s="11"/>
      <c r="Q4320" s="12"/>
    </row>
    <row r="4321" spans="1:17">
      <c r="A4321" s="14">
        <v>44875</v>
      </c>
      <c r="B4321" s="8">
        <v>1547.1291917013664</v>
      </c>
      <c r="F4321" s="7"/>
      <c r="G4321" s="7"/>
      <c r="M4321" s="10"/>
      <c r="P4321" s="11"/>
      <c r="Q4321" s="12"/>
    </row>
    <row r="4322" spans="1:17">
      <c r="A4322" s="14">
        <v>44876</v>
      </c>
      <c r="B4322" s="8">
        <v>1568.1609051617756</v>
      </c>
      <c r="F4322" s="7"/>
      <c r="G4322" s="7"/>
      <c r="M4322" s="10"/>
      <c r="P4322" s="11"/>
      <c r="Q4322" s="12"/>
    </row>
    <row r="4323" spans="1:17">
      <c r="A4323" s="14">
        <v>44879</v>
      </c>
      <c r="B4323" s="8">
        <v>1567.3806333156808</v>
      </c>
      <c r="F4323" s="7"/>
      <c r="G4323" s="7"/>
      <c r="M4323" s="10"/>
      <c r="P4323" s="11"/>
      <c r="Q4323" s="12"/>
    </row>
    <row r="4324" spans="1:17">
      <c r="A4324" s="14">
        <v>44880</v>
      </c>
      <c r="B4324" s="8">
        <v>1586.52359419294</v>
      </c>
      <c r="F4324" s="7"/>
      <c r="G4324" s="7"/>
      <c r="M4324" s="10"/>
      <c r="P4324" s="11"/>
      <c r="Q4324" s="12"/>
    </row>
    <row r="4325" spans="1:17">
      <c r="A4325" s="14">
        <v>44881</v>
      </c>
      <c r="B4325" s="8">
        <v>1565.1160712003721</v>
      </c>
      <c r="F4325" s="7"/>
      <c r="G4325" s="7"/>
      <c r="M4325" s="10"/>
      <c r="P4325" s="11"/>
      <c r="Q4325" s="12"/>
    </row>
    <row r="4326" spans="1:17">
      <c r="A4326" s="14">
        <v>44882</v>
      </c>
      <c r="B4326" s="8">
        <v>1557.6817818137013</v>
      </c>
      <c r="F4326" s="7"/>
      <c r="G4326" s="7"/>
      <c r="M4326" s="10"/>
      <c r="P4326" s="11"/>
      <c r="Q4326" s="12"/>
    </row>
    <row r="4327" spans="1:17">
      <c r="A4327" s="14">
        <v>44883</v>
      </c>
      <c r="B4327" s="8">
        <v>1570.4518738464401</v>
      </c>
      <c r="F4327" s="7"/>
      <c r="G4327" s="7"/>
      <c r="M4327" s="10"/>
      <c r="P4327" s="11"/>
      <c r="Q4327" s="12"/>
    </row>
    <row r="4328" spans="1:17">
      <c r="A4328" s="14">
        <v>44886</v>
      </c>
      <c r="B4328" s="8">
        <v>1560.0448338107624</v>
      </c>
      <c r="F4328" s="7"/>
      <c r="G4328" s="7"/>
      <c r="M4328" s="10"/>
      <c r="P4328" s="11"/>
      <c r="Q4328" s="12"/>
    </row>
    <row r="4329" spans="1:17">
      <c r="A4329" s="14">
        <v>44887</v>
      </c>
      <c r="B4329" s="8">
        <v>1580.18029474182</v>
      </c>
      <c r="F4329" s="7"/>
      <c r="G4329" s="7"/>
      <c r="M4329" s="10"/>
      <c r="P4329" s="11"/>
      <c r="Q4329" s="12"/>
    </row>
    <row r="4330" spans="1:17">
      <c r="A4330" s="14">
        <v>44888</v>
      </c>
      <c r="B4330" s="8">
        <v>1591.9668017857875</v>
      </c>
      <c r="F4330" s="7"/>
      <c r="G4330" s="7"/>
      <c r="M4330" s="10"/>
      <c r="P4330" s="11"/>
      <c r="Q4330" s="12"/>
    </row>
    <row r="4331" spans="1:17">
      <c r="A4331" s="14">
        <v>44889</v>
      </c>
      <c r="B4331" s="8">
        <v>1596.8058014503272</v>
      </c>
      <c r="F4331" s="7"/>
      <c r="G4331" s="7"/>
      <c r="M4331" s="10"/>
      <c r="P4331" s="11"/>
      <c r="Q4331" s="12"/>
    </row>
    <row r="4332" spans="1:17">
      <c r="A4332" s="14">
        <v>44890</v>
      </c>
      <c r="B4332" s="8">
        <v>1594.1833680712282</v>
      </c>
      <c r="F4332" s="7"/>
      <c r="G4332" s="7"/>
      <c r="M4332" s="10"/>
      <c r="P4332" s="11"/>
      <c r="Q4332" s="12"/>
    </row>
    <row r="4333" spans="1:17">
      <c r="A4333" s="14">
        <v>44893</v>
      </c>
      <c r="B4333" s="8">
        <v>1571.2969961754868</v>
      </c>
      <c r="F4333" s="7"/>
      <c r="G4333" s="7"/>
      <c r="M4333" s="10"/>
      <c r="P4333" s="11"/>
      <c r="Q4333" s="12"/>
    </row>
    <row r="4334" spans="1:17">
      <c r="A4334" s="14">
        <v>44894</v>
      </c>
      <c r="B4334" s="8">
        <v>1570.7431696740218</v>
      </c>
      <c r="F4334" s="7"/>
      <c r="G4334" s="7"/>
      <c r="M4334" s="10"/>
      <c r="P4334" s="11"/>
      <c r="Q4334" s="12"/>
    </row>
    <row r="4335" spans="1:17">
      <c r="A4335" s="14">
        <v>44895</v>
      </c>
      <c r="B4335" s="8">
        <v>1604.9282597792128</v>
      </c>
      <c r="F4335" s="7"/>
      <c r="G4335" s="7"/>
      <c r="M4335" s="10"/>
      <c r="P4335" s="11"/>
      <c r="Q4335" s="12"/>
    </row>
    <row r="4336" spans="1:17">
      <c r="A4336" s="14">
        <v>44896</v>
      </c>
      <c r="B4336" s="8">
        <v>1612.4222208400834</v>
      </c>
      <c r="F4336" s="7"/>
      <c r="G4336" s="7"/>
      <c r="M4336" s="10"/>
      <c r="P4336" s="11"/>
      <c r="Q4336" s="12"/>
    </row>
    <row r="4337" spans="1:17">
      <c r="A4337" s="14">
        <v>44897</v>
      </c>
      <c r="B4337" s="8">
        <v>1606.6325938982247</v>
      </c>
      <c r="F4337" s="7"/>
      <c r="G4337" s="7"/>
      <c r="M4337" s="10"/>
      <c r="P4337" s="11"/>
      <c r="Q4337" s="12"/>
    </row>
    <row r="4338" spans="1:17">
      <c r="A4338" s="14">
        <v>44900</v>
      </c>
      <c r="B4338" s="8">
        <v>1583.5015769460897</v>
      </c>
      <c r="F4338" s="7"/>
      <c r="G4338" s="7"/>
      <c r="M4338" s="10"/>
      <c r="P4338" s="11"/>
      <c r="Q4338" s="12"/>
    </row>
    <row r="4339" spans="1:17">
      <c r="A4339" s="14">
        <v>44901</v>
      </c>
      <c r="B4339" s="8">
        <v>1566.9313005025556</v>
      </c>
      <c r="F4339" s="7"/>
      <c r="G4339" s="7"/>
      <c r="M4339" s="10"/>
      <c r="P4339" s="11"/>
      <c r="Q4339" s="12"/>
    </row>
    <row r="4340" spans="1:17">
      <c r="A4340" s="14">
        <v>44902</v>
      </c>
      <c r="B4340" s="8">
        <v>1558.9933611107701</v>
      </c>
      <c r="F4340" s="7"/>
      <c r="G4340" s="7"/>
      <c r="M4340" s="10"/>
      <c r="P4340" s="11"/>
      <c r="Q4340" s="12"/>
    </row>
    <row r="4341" spans="1:17">
      <c r="A4341" s="14">
        <v>44903</v>
      </c>
      <c r="B4341" s="8">
        <v>1566.1855090573636</v>
      </c>
      <c r="F4341" s="7"/>
      <c r="G4341" s="7"/>
      <c r="M4341" s="10"/>
      <c r="P4341" s="11"/>
      <c r="Q4341" s="12"/>
    </row>
    <row r="4342" spans="1:17">
      <c r="A4342" s="14">
        <v>44904</v>
      </c>
      <c r="B4342" s="8">
        <v>1571.1385345840208</v>
      </c>
      <c r="F4342" s="7"/>
      <c r="G4342" s="7"/>
      <c r="M4342" s="10"/>
      <c r="P4342" s="11"/>
      <c r="Q4342" s="12"/>
    </row>
    <row r="4343" spans="1:17">
      <c r="A4343" s="14">
        <v>44907</v>
      </c>
      <c r="B4343" s="8">
        <v>1578.8159559928254</v>
      </c>
      <c r="F4343" s="7"/>
      <c r="G4343" s="7"/>
      <c r="M4343" s="10"/>
      <c r="P4343" s="11"/>
      <c r="Q4343" s="12"/>
    </row>
    <row r="4344" spans="1:17">
      <c r="A4344" s="14">
        <v>44908</v>
      </c>
      <c r="B4344" s="8">
        <v>1603.9685330100567</v>
      </c>
      <c r="F4344" s="7"/>
      <c r="G4344" s="7"/>
      <c r="M4344" s="10"/>
      <c r="P4344" s="11"/>
      <c r="Q4344" s="12"/>
    </row>
    <row r="4345" spans="1:17">
      <c r="A4345" s="14">
        <v>44909</v>
      </c>
      <c r="B4345" s="8">
        <v>1591.4095770594065</v>
      </c>
      <c r="F4345" s="7"/>
      <c r="G4345" s="7"/>
      <c r="M4345" s="10"/>
      <c r="P4345" s="11"/>
      <c r="Q4345" s="12"/>
    </row>
    <row r="4346" spans="1:17">
      <c r="A4346" s="14">
        <v>44910</v>
      </c>
      <c r="B4346" s="8">
        <v>1535.0002435053686</v>
      </c>
      <c r="F4346" s="7"/>
      <c r="G4346" s="7"/>
      <c r="M4346" s="10"/>
      <c r="P4346" s="11"/>
      <c r="Q4346" s="12"/>
    </row>
    <row r="4347" spans="1:17">
      <c r="A4347" s="14">
        <v>44911</v>
      </c>
      <c r="B4347" s="8">
        <v>1525.6257683860674</v>
      </c>
      <c r="F4347" s="7"/>
      <c r="G4347" s="7"/>
      <c r="M4347" s="10"/>
      <c r="P4347" s="11"/>
      <c r="Q4347" s="12"/>
    </row>
    <row r="4348" spans="1:17">
      <c r="A4348" s="14">
        <v>44914</v>
      </c>
      <c r="B4348" s="8">
        <v>1516.3518094209167</v>
      </c>
      <c r="F4348" s="7"/>
      <c r="G4348" s="7"/>
      <c r="M4348" s="10"/>
      <c r="P4348" s="11"/>
      <c r="Q4348" s="12"/>
    </row>
    <row r="4349" spans="1:17">
      <c r="A4349" s="14">
        <v>44915</v>
      </c>
      <c r="B4349" s="8">
        <v>1518.1394094183631</v>
      </c>
      <c r="F4349" s="7"/>
      <c r="G4349" s="7"/>
      <c r="M4349" s="10"/>
      <c r="P4349" s="11"/>
      <c r="Q4349" s="12"/>
    </row>
    <row r="4350" spans="1:17">
      <c r="A4350" s="14">
        <v>44916</v>
      </c>
      <c r="B4350" s="8">
        <v>1542.2027138804376</v>
      </c>
      <c r="F4350" s="7"/>
      <c r="G4350" s="7"/>
      <c r="M4350" s="10"/>
      <c r="P4350" s="11"/>
      <c r="Q4350" s="12"/>
    </row>
    <row r="4351" spans="1:17">
      <c r="A4351" s="14">
        <v>44917</v>
      </c>
      <c r="B4351" s="8">
        <v>1515.1448006417784</v>
      </c>
      <c r="F4351" s="7"/>
      <c r="G4351" s="7"/>
      <c r="M4351" s="10"/>
      <c r="P4351" s="11"/>
      <c r="Q4351" s="12"/>
    </row>
    <row r="4352" spans="1:17">
      <c r="A4352" s="14">
        <v>44918</v>
      </c>
      <c r="B4352" s="8">
        <v>1516.2292463502504</v>
      </c>
      <c r="F4352" s="7"/>
      <c r="G4352" s="7"/>
      <c r="M4352" s="10"/>
      <c r="P4352" s="11"/>
      <c r="Q4352" s="12"/>
    </row>
    <row r="4353" spans="1:17">
      <c r="A4353" s="14">
        <v>44921</v>
      </c>
      <c r="B4353" s="8">
        <v>1515.0841683179499</v>
      </c>
      <c r="F4353" s="7"/>
      <c r="G4353" s="7"/>
      <c r="M4353" s="10"/>
      <c r="P4353" s="11"/>
      <c r="Q4353" s="12"/>
    </row>
    <row r="4354" spans="1:17">
      <c r="A4354" s="14">
        <v>44922</v>
      </c>
      <c r="B4354" s="8">
        <v>1509.1333144793734</v>
      </c>
      <c r="F4354" s="7"/>
      <c r="G4354" s="7"/>
      <c r="M4354" s="10"/>
      <c r="P4354" s="11"/>
      <c r="Q4354" s="12"/>
    </row>
    <row r="4355" spans="1:17">
      <c r="A4355" s="14">
        <v>44923</v>
      </c>
      <c r="B4355" s="8">
        <v>1497.0202607738959</v>
      </c>
      <c r="F4355" s="7"/>
      <c r="G4355" s="7"/>
      <c r="M4355" s="10"/>
      <c r="P4355" s="11"/>
      <c r="Q4355" s="12"/>
    </row>
    <row r="4356" spans="1:17">
      <c r="A4356" s="14">
        <v>44924</v>
      </c>
      <c r="B4356" s="8">
        <v>1525.2194070624803</v>
      </c>
      <c r="F4356" s="7"/>
      <c r="G4356" s="7"/>
      <c r="M4356" s="10"/>
      <c r="P4356" s="11"/>
      <c r="Q4356" s="12"/>
    </row>
    <row r="4357" spans="1:17">
      <c r="A4357" s="14">
        <v>44925</v>
      </c>
      <c r="B4357" s="8">
        <v>1513.2117014194575</v>
      </c>
      <c r="F4357" s="7"/>
      <c r="G4357" s="7"/>
      <c r="M4357" s="10"/>
      <c r="P4357" s="11"/>
      <c r="Q4357" s="12"/>
    </row>
    <row r="4358" spans="1:17">
      <c r="A4358" s="14">
        <v>44928</v>
      </c>
      <c r="B4358" s="8">
        <v>1525.7280689728339</v>
      </c>
      <c r="F4358" s="7"/>
      <c r="G4358" s="7"/>
      <c r="M4358" s="10"/>
      <c r="P4358" s="11"/>
      <c r="Q4358" s="12"/>
    </row>
    <row r="4359" spans="1:17">
      <c r="A4359" s="14">
        <v>44929</v>
      </c>
      <c r="B4359" s="8">
        <v>1531.6669377134542</v>
      </c>
      <c r="F4359" s="7"/>
      <c r="G4359" s="7"/>
      <c r="M4359" s="10"/>
      <c r="P4359" s="11"/>
      <c r="Q4359" s="12"/>
    </row>
    <row r="4360" spans="1:17">
      <c r="A4360" s="14">
        <v>44930</v>
      </c>
      <c r="B4360" s="8">
        <v>1571.1019832085237</v>
      </c>
      <c r="F4360" s="7"/>
      <c r="G4360" s="7"/>
      <c r="M4360" s="10"/>
      <c r="P4360" s="11"/>
      <c r="Q4360" s="12"/>
    </row>
    <row r="4361" spans="1:17">
      <c r="A4361" s="14">
        <v>44931</v>
      </c>
      <c r="B4361" s="8">
        <v>1556.3524271102085</v>
      </c>
      <c r="F4361" s="7"/>
      <c r="G4361" s="7"/>
      <c r="M4361" s="10"/>
      <c r="P4361" s="11"/>
      <c r="Q4361" s="12"/>
    </row>
    <row r="4362" spans="1:17">
      <c r="A4362" s="14">
        <v>44932</v>
      </c>
      <c r="B4362" s="8">
        <v>1584.2359606859218</v>
      </c>
      <c r="F4362" s="7"/>
      <c r="G4362" s="7"/>
      <c r="M4362" s="10"/>
      <c r="P4362" s="11"/>
      <c r="Q4362" s="12"/>
    </row>
    <row r="4363" spans="1:17">
      <c r="A4363" s="14">
        <v>44935</v>
      </c>
      <c r="B4363" s="8">
        <v>1596.9739771816755</v>
      </c>
      <c r="F4363" s="7"/>
      <c r="G4363" s="7"/>
      <c r="M4363" s="10"/>
      <c r="P4363" s="11"/>
      <c r="Q4363" s="12"/>
    </row>
    <row r="4364" spans="1:17">
      <c r="A4364" s="14">
        <v>44936</v>
      </c>
      <c r="B4364" s="8">
        <v>1596.4524326965663</v>
      </c>
      <c r="F4364" s="7"/>
      <c r="G4364" s="7"/>
      <c r="M4364" s="10"/>
      <c r="P4364" s="11"/>
      <c r="Q4364" s="12"/>
    </row>
    <row r="4365" spans="1:17">
      <c r="A4365" s="14">
        <v>44937</v>
      </c>
      <c r="B4365" s="8">
        <v>1615.6702069979879</v>
      </c>
      <c r="F4365" s="7"/>
      <c r="G4365" s="7"/>
      <c r="M4365" s="10"/>
      <c r="P4365" s="11"/>
      <c r="Q4365" s="12"/>
    </row>
    <row r="4366" spans="1:17">
      <c r="A4366" s="14">
        <v>44938</v>
      </c>
      <c r="B4366" s="8">
        <v>1630.8177827373102</v>
      </c>
      <c r="F4366" s="7"/>
      <c r="G4366" s="7"/>
      <c r="M4366" s="10"/>
      <c r="P4366" s="11"/>
      <c r="Q4366" s="12"/>
    </row>
    <row r="4367" spans="1:17">
      <c r="A4367" s="14">
        <v>44939</v>
      </c>
      <c r="B4367" s="8">
        <v>1641.0041033877521</v>
      </c>
      <c r="F4367" s="7"/>
      <c r="G4367" s="7"/>
      <c r="M4367" s="10"/>
      <c r="P4367" s="11"/>
      <c r="Q4367" s="12"/>
    </row>
    <row r="4368" spans="1:17">
      <c r="A4368" s="14">
        <v>44942</v>
      </c>
      <c r="B4368" s="8">
        <v>1640.5300876934232</v>
      </c>
      <c r="F4368" s="7"/>
      <c r="G4368" s="7"/>
      <c r="M4368" s="10"/>
      <c r="P4368" s="11"/>
      <c r="Q4368" s="12"/>
    </row>
    <row r="4369" spans="1:17">
      <c r="A4369" s="14">
        <v>44943</v>
      </c>
      <c r="B4369" s="8">
        <v>1644.6839316071776</v>
      </c>
      <c r="F4369" s="7"/>
      <c r="G4369" s="7"/>
      <c r="M4369" s="10"/>
      <c r="P4369" s="11"/>
      <c r="Q4369" s="12"/>
    </row>
    <row r="4370" spans="1:17">
      <c r="A4370" s="14">
        <v>44944</v>
      </c>
      <c r="B4370" s="8">
        <v>1636.1065250486376</v>
      </c>
      <c r="F4370" s="7"/>
      <c r="G4370" s="7"/>
      <c r="M4370" s="10"/>
      <c r="P4370" s="11"/>
      <c r="Q4370" s="12"/>
    </row>
    <row r="4371" spans="1:17">
      <c r="A4371" s="14">
        <v>44945</v>
      </c>
      <c r="B4371" s="8">
        <v>1606.7949151573948</v>
      </c>
      <c r="F4371" s="7"/>
      <c r="G4371" s="7"/>
      <c r="M4371" s="10"/>
      <c r="P4371" s="11"/>
      <c r="Q4371" s="12"/>
    </row>
    <row r="4372" spans="1:17">
      <c r="A4372" s="14">
        <v>44946</v>
      </c>
      <c r="B4372" s="8">
        <v>1635.1392131076777</v>
      </c>
      <c r="F4372" s="7"/>
      <c r="G4372" s="7"/>
      <c r="M4372" s="10"/>
      <c r="P4372" s="11"/>
      <c r="Q4372" s="12"/>
    </row>
    <row r="4373" spans="1:17">
      <c r="A4373" s="14">
        <v>44949</v>
      </c>
      <c r="B4373" s="8">
        <v>1666.9461775845432</v>
      </c>
      <c r="F4373" s="7"/>
      <c r="G4373" s="7"/>
      <c r="M4373" s="10"/>
      <c r="P4373" s="11"/>
      <c r="Q4373" s="12"/>
    </row>
    <row r="4374" spans="1:17">
      <c r="A4374" s="14">
        <v>44950</v>
      </c>
      <c r="B4374" s="8">
        <v>1670.1905270086959</v>
      </c>
      <c r="F4374" s="7"/>
      <c r="G4374" s="7"/>
      <c r="M4374" s="10"/>
      <c r="P4374" s="11"/>
      <c r="Q4374" s="12"/>
    </row>
    <row r="4375" spans="1:17">
      <c r="A4375" s="14">
        <v>44951</v>
      </c>
      <c r="B4375" s="8">
        <v>1671.066780834806</v>
      </c>
      <c r="F4375" s="7"/>
      <c r="G4375" s="7"/>
      <c r="M4375" s="10"/>
      <c r="P4375" s="11"/>
      <c r="Q4375" s="12"/>
    </row>
    <row r="4376" spans="1:17">
      <c r="A4376" s="14">
        <v>44952</v>
      </c>
      <c r="B4376" s="8">
        <v>1695.7562660966166</v>
      </c>
      <c r="F4376" s="7"/>
      <c r="G4376" s="7"/>
      <c r="M4376" s="10"/>
      <c r="P4376" s="11"/>
      <c r="Q4376" s="12"/>
    </row>
    <row r="4377" spans="1:17">
      <c r="A4377" s="14">
        <v>44953</v>
      </c>
      <c r="B4377" s="8">
        <v>1710.783648372663</v>
      </c>
      <c r="F4377" s="7"/>
      <c r="G4377" s="7"/>
      <c r="M4377" s="10"/>
      <c r="P4377" s="11"/>
      <c r="Q4377" s="12"/>
    </row>
    <row r="4378" spans="1:17">
      <c r="A4378" s="14">
        <v>44956</v>
      </c>
      <c r="B4378" s="8">
        <v>1687.6820539256087</v>
      </c>
      <c r="F4378" s="7"/>
      <c r="G4378" s="7"/>
      <c r="M4378" s="10"/>
      <c r="P4378" s="11"/>
      <c r="Q4378" s="12"/>
    </row>
    <row r="4379" spans="1:17">
      <c r="A4379" s="14">
        <v>44957</v>
      </c>
      <c r="B4379" s="8">
        <v>1711.4160235539046</v>
      </c>
      <c r="F4379" s="7"/>
      <c r="G4379" s="7"/>
      <c r="M4379" s="10"/>
      <c r="P4379" s="11"/>
      <c r="Q4379" s="12"/>
    </row>
    <row r="4380" spans="1:17">
      <c r="A4380" s="14">
        <v>44958</v>
      </c>
      <c r="B4380" s="8">
        <v>1737.3532581489862</v>
      </c>
      <c r="F4380" s="7"/>
      <c r="G4380" s="7"/>
      <c r="M4380" s="10"/>
      <c r="P4380" s="11"/>
      <c r="Q4380" s="12"/>
    </row>
    <row r="4381" spans="1:17">
      <c r="A4381" s="14">
        <v>44959</v>
      </c>
      <c r="B4381" s="8">
        <v>1769.4431554181251</v>
      </c>
      <c r="F4381" s="7"/>
      <c r="G4381" s="7"/>
      <c r="M4381" s="10"/>
      <c r="P4381" s="11"/>
      <c r="Q4381" s="12"/>
    </row>
    <row r="4382" spans="1:17">
      <c r="A4382" s="14">
        <v>44960</v>
      </c>
      <c r="B4382" s="8">
        <v>1758.6864289018779</v>
      </c>
      <c r="F4382" s="7"/>
      <c r="G4382" s="7"/>
      <c r="M4382" s="10"/>
      <c r="P4382" s="11"/>
      <c r="Q4382" s="12"/>
    </row>
    <row r="4383" spans="1:17">
      <c r="A4383" s="14">
        <v>44963</v>
      </c>
      <c r="B4383" s="8">
        <v>1740.8635794121328</v>
      </c>
      <c r="F4383" s="7"/>
      <c r="G4383" s="7"/>
      <c r="M4383" s="10"/>
      <c r="P4383" s="11"/>
      <c r="Q4383" s="12"/>
    </row>
    <row r="4384" spans="1:17">
      <c r="A4384" s="14">
        <v>44964</v>
      </c>
      <c r="B4384" s="8">
        <v>1755.7406002198697</v>
      </c>
      <c r="F4384" s="7"/>
      <c r="G4384" s="7"/>
      <c r="M4384" s="10"/>
      <c r="P4384" s="11"/>
      <c r="Q4384" s="12"/>
    </row>
    <row r="4385" spans="1:17">
      <c r="A4385" s="14">
        <v>44965</v>
      </c>
      <c r="B4385" s="8">
        <v>1748.1050565127919</v>
      </c>
      <c r="F4385" s="7"/>
      <c r="G4385" s="7"/>
      <c r="M4385" s="10"/>
      <c r="P4385" s="11"/>
      <c r="Q4385" s="12"/>
    </row>
    <row r="4386" spans="1:17">
      <c r="A4386" s="14">
        <v>44966</v>
      </c>
      <c r="B4386" s="8">
        <v>1760.1045786083871</v>
      </c>
      <c r="F4386" s="7"/>
      <c r="G4386" s="7"/>
      <c r="M4386" s="10"/>
      <c r="P4386" s="11"/>
      <c r="Q4386" s="12"/>
    </row>
    <row r="4387" spans="1:17">
      <c r="A4387" s="14">
        <v>44967</v>
      </c>
      <c r="B4387" s="8">
        <v>1736.0316332413574</v>
      </c>
      <c r="F4387" s="7"/>
      <c r="G4387" s="7"/>
      <c r="M4387" s="10"/>
      <c r="P4387" s="11"/>
      <c r="Q4387" s="12"/>
    </row>
    <row r="4388" spans="1:17">
      <c r="A4388" s="14">
        <v>44970</v>
      </c>
      <c r="B4388" s="8">
        <v>1755.1869990275663</v>
      </c>
      <c r="G4388" s="10"/>
      <c r="M4388" s="10"/>
      <c r="P4388" s="11"/>
      <c r="Q4388" s="12"/>
    </row>
    <row r="4389" spans="1:17">
      <c r="A4389" s="14">
        <v>44971</v>
      </c>
      <c r="B4389" s="8">
        <v>1767.0076726414259</v>
      </c>
      <c r="G4389" s="10"/>
      <c r="M4389" s="10"/>
      <c r="P4389" s="11"/>
      <c r="Q4389" s="12"/>
    </row>
    <row r="4390" spans="1:17">
      <c r="A4390" s="14">
        <v>44972</v>
      </c>
      <c r="B4390" s="8">
        <v>1779.9192117739074</v>
      </c>
      <c r="G4390" s="10"/>
      <c r="M4390" s="10"/>
      <c r="P4390" s="11"/>
      <c r="Q4390" s="12"/>
    </row>
    <row r="4391" spans="1:17">
      <c r="A4391" s="14">
        <v>44973</v>
      </c>
      <c r="B4391" s="8">
        <v>1771.4825478087769</v>
      </c>
      <c r="G4391" s="10"/>
      <c r="M4391" s="10"/>
      <c r="P4391" s="11"/>
      <c r="Q4391" s="12"/>
    </row>
    <row r="4392" spans="1:17">
      <c r="A4392" s="14">
        <v>44974</v>
      </c>
      <c r="B4392" s="8">
        <v>1761.5644873627182</v>
      </c>
      <c r="G4392" s="10"/>
      <c r="M4392" s="10"/>
      <c r="P4392" s="11"/>
      <c r="Q4392" s="12"/>
    </row>
    <row r="4393" spans="1:17">
      <c r="A4393" s="14">
        <v>44977</v>
      </c>
      <c r="B4393" s="8">
        <v>1754.7646756786216</v>
      </c>
      <c r="G4393" s="10"/>
      <c r="M4393" s="10"/>
      <c r="P4393" s="11"/>
      <c r="Q4393" s="12"/>
    </row>
    <row r="4394" spans="1:17">
      <c r="A4394" s="14">
        <v>44978</v>
      </c>
      <c r="B4394" s="8">
        <v>1719.3896214851195</v>
      </c>
      <c r="G4394" s="10"/>
      <c r="M4394" s="10"/>
      <c r="P4394" s="11"/>
      <c r="Q4394" s="12"/>
    </row>
    <row r="4395" spans="1:17">
      <c r="A4395" s="14">
        <v>44979</v>
      </c>
      <c r="B4395" s="8">
        <v>1720.5897209821887</v>
      </c>
      <c r="G4395" s="10"/>
      <c r="M4395" s="10"/>
      <c r="P4395" s="11"/>
      <c r="Q4395" s="12"/>
    </row>
    <row r="4396" spans="1:17">
      <c r="A4396" s="14">
        <v>44980</v>
      </c>
      <c r="B4396" s="8">
        <v>1738.8000383955507</v>
      </c>
      <c r="G4396" s="10"/>
      <c r="M4396" s="10"/>
      <c r="P4396" s="11"/>
      <c r="Q4396" s="12"/>
    </row>
    <row r="4397" spans="1:17">
      <c r="A4397" s="14">
        <v>44981</v>
      </c>
      <c r="B4397" s="8">
        <v>1714.3869436541054</v>
      </c>
      <c r="G4397" s="10"/>
      <c r="M4397" s="10"/>
      <c r="P4397" s="11"/>
      <c r="Q4397" s="12"/>
    </row>
    <row r="4398" spans="1:17">
      <c r="A4398" s="14">
        <v>44984</v>
      </c>
      <c r="B4398" s="8">
        <v>1735.7619263687045</v>
      </c>
      <c r="G4398" s="10"/>
      <c r="M4398" s="10"/>
      <c r="P4398" s="11"/>
      <c r="Q4398" s="12"/>
    </row>
    <row r="4399" spans="1:17">
      <c r="A4399" s="14">
        <v>44985</v>
      </c>
      <c r="B4399" s="8">
        <v>1740.9010115755063</v>
      </c>
      <c r="G4399" s="10"/>
      <c r="M4399" s="10"/>
      <c r="P4399" s="11"/>
      <c r="Q4399" s="12"/>
    </row>
    <row r="4400" spans="1:17">
      <c r="A4400" s="14">
        <v>44986</v>
      </c>
      <c r="B4400" s="8">
        <v>1731.0302720992527</v>
      </c>
      <c r="G4400" s="10"/>
      <c r="M4400" s="10"/>
      <c r="P4400" s="11"/>
      <c r="Q4400" s="12"/>
    </row>
    <row r="4401" spans="1:17">
      <c r="A4401" s="14">
        <v>44987</v>
      </c>
      <c r="B4401" s="8">
        <v>1730.6671131631456</v>
      </c>
      <c r="G4401" s="10"/>
      <c r="M4401" s="10"/>
      <c r="P4401" s="11"/>
      <c r="Q4401" s="12"/>
    </row>
    <row r="4402" spans="1:17">
      <c r="A4402" s="14">
        <v>44988</v>
      </c>
      <c r="B4402" s="8">
        <v>1760.6341103654961</v>
      </c>
      <c r="G4402" s="10"/>
      <c r="M4402" s="10"/>
      <c r="P4402" s="11"/>
      <c r="Q4402" s="12"/>
    </row>
    <row r="4403" spans="1:17">
      <c r="A4403" s="14">
        <v>44991</v>
      </c>
      <c r="B4403" s="8">
        <v>1763.3864379701322</v>
      </c>
      <c r="G4403" s="10"/>
      <c r="M4403" s="10"/>
      <c r="P4403" s="11"/>
      <c r="Q4403" s="12"/>
    </row>
    <row r="4404" spans="1:17">
      <c r="A4404" s="14">
        <v>44992</v>
      </c>
      <c r="B4404" s="8">
        <v>1736.8396172699602</v>
      </c>
      <c r="G4404" s="10"/>
      <c r="M4404" s="10"/>
      <c r="P4404" s="11"/>
      <c r="Q4404" s="12"/>
    </row>
    <row r="4405" spans="1:17">
      <c r="A4405" s="14">
        <v>44993</v>
      </c>
      <c r="B4405" s="8">
        <v>1746.4201019402003</v>
      </c>
      <c r="G4405" s="10"/>
      <c r="M4405" s="10"/>
      <c r="P4405" s="11"/>
      <c r="Q4405" s="12"/>
    </row>
    <row r="4406" spans="1:17">
      <c r="A4406" s="14">
        <v>44994</v>
      </c>
      <c r="B4406" s="8">
        <v>1717.5050197437256</v>
      </c>
      <c r="G4406" s="10"/>
      <c r="M4406" s="10"/>
      <c r="P4406" s="11"/>
      <c r="Q4406" s="12"/>
    </row>
    <row r="4407" spans="1:17">
      <c r="A4407" s="14">
        <v>44995</v>
      </c>
      <c r="B4407" s="8">
        <v>1686.6470569953751</v>
      </c>
      <c r="G4407" s="10"/>
      <c r="M4407" s="10"/>
      <c r="P4407" s="11"/>
      <c r="Q4407" s="12"/>
    </row>
    <row r="4408" spans="1:17">
      <c r="A4408" s="14">
        <v>44998</v>
      </c>
      <c r="B4408" s="8">
        <v>1638.0628412773085</v>
      </c>
      <c r="G4408" s="10"/>
      <c r="M4408" s="10"/>
      <c r="P4408" s="11"/>
      <c r="Q4408" s="12"/>
    </row>
    <row r="4409" spans="1:17">
      <c r="A4409" s="14">
        <v>44999</v>
      </c>
      <c r="B4409" s="8">
        <v>1678.2444276653175</v>
      </c>
      <c r="G4409" s="10"/>
      <c r="M4409" s="10"/>
      <c r="P4409" s="11"/>
      <c r="Q4409" s="12"/>
    </row>
    <row r="4410" spans="1:17">
      <c r="A4410" s="14">
        <v>45000</v>
      </c>
      <c r="B4410" s="8">
        <v>1623.3776367164905</v>
      </c>
      <c r="G4410" s="10"/>
      <c r="M4410" s="10"/>
      <c r="P4410" s="11"/>
      <c r="Q4410" s="12"/>
    </row>
    <row r="4411" spans="1:17">
      <c r="A4411" s="14">
        <v>45001</v>
      </c>
      <c r="B4411" s="8">
        <v>1662.7381632776353</v>
      </c>
      <c r="G4411" s="10"/>
      <c r="M4411" s="10"/>
      <c r="P4411" s="11"/>
      <c r="Q4411" s="12"/>
    </row>
    <row r="4412" spans="1:17">
      <c r="A4412" s="14">
        <v>45002</v>
      </c>
      <c r="B4412" s="8">
        <v>1639.7018192190787</v>
      </c>
      <c r="G4412" s="10"/>
      <c r="M4412" s="10"/>
      <c r="P4412" s="11"/>
      <c r="Q4412" s="12"/>
    </row>
    <row r="4413" spans="1:17">
      <c r="A4413" s="14">
        <v>45005</v>
      </c>
      <c r="B4413" s="8">
        <v>1654.6515144508173</v>
      </c>
      <c r="G4413" s="10"/>
      <c r="M4413" s="10"/>
      <c r="P4413" s="11"/>
      <c r="Q4413" s="12"/>
    </row>
    <row r="4414" spans="1:17">
      <c r="A4414" s="14">
        <v>45006</v>
      </c>
      <c r="B4414" s="8">
        <v>1691.6906864420832</v>
      </c>
      <c r="G4414" s="10"/>
      <c r="M4414" s="10"/>
      <c r="P4414" s="11"/>
      <c r="Q4414" s="12"/>
    </row>
    <row r="4415" spans="1:17">
      <c r="A4415" s="14">
        <v>45007</v>
      </c>
      <c r="B4415" s="8">
        <v>1676.6720020670919</v>
      </c>
      <c r="G4415" s="10"/>
      <c r="M4415" s="10"/>
      <c r="P4415" s="11"/>
      <c r="Q4415" s="12"/>
    </row>
    <row r="4416" spans="1:17">
      <c r="A4416" s="14">
        <v>45008</v>
      </c>
      <c r="B4416" s="8">
        <v>1687.2090070119309</v>
      </c>
      <c r="G4416" s="10"/>
      <c r="M4416" s="10"/>
      <c r="P4416" s="11"/>
      <c r="Q4416" s="12"/>
    </row>
    <row r="4417" spans="1:17">
      <c r="A4417" s="14">
        <v>45009</v>
      </c>
      <c r="B4417" s="8">
        <v>1655.6739007253868</v>
      </c>
      <c r="G4417" s="10"/>
      <c r="M4417" s="10"/>
      <c r="P4417" s="11"/>
      <c r="Q4417" s="12"/>
    </row>
    <row r="4418" spans="1:17">
      <c r="A4418" s="14">
        <v>45012</v>
      </c>
      <c r="B4418" s="8">
        <v>1664.652149500341</v>
      </c>
      <c r="G4418" s="10"/>
      <c r="M4418" s="10"/>
      <c r="P4418" s="11"/>
      <c r="Q4418" s="12"/>
    </row>
    <row r="4419" spans="1:17">
      <c r="A4419" s="14">
        <v>45013</v>
      </c>
      <c r="B4419" s="8">
        <v>1663.4769361178858</v>
      </c>
      <c r="G4419" s="10"/>
      <c r="M4419" s="10"/>
      <c r="P4419" s="11"/>
      <c r="Q4419" s="12"/>
    </row>
    <row r="4420" spans="1:17">
      <c r="A4420" s="14">
        <v>45014</v>
      </c>
      <c r="B4420" s="8">
        <v>1692.0904580542704</v>
      </c>
      <c r="G4420" s="10"/>
      <c r="M4420" s="10"/>
      <c r="P4420" s="11"/>
      <c r="Q4420" s="12"/>
    </row>
    <row r="4421" spans="1:17">
      <c r="A4421" s="14">
        <v>45015</v>
      </c>
      <c r="B4421" s="8">
        <v>1714.7062848636492</v>
      </c>
      <c r="G4421" s="10"/>
      <c r="M4421" s="10"/>
      <c r="P4421" s="11"/>
      <c r="Q4421" s="12"/>
    </row>
    <row r="4422" spans="1:17">
      <c r="A4422" s="14">
        <v>45016</v>
      </c>
      <c r="B4422" s="8">
        <v>1734.9144596841625</v>
      </c>
      <c r="G4422" s="10"/>
      <c r="M4422" s="10"/>
      <c r="P4422" s="11"/>
      <c r="Q4422" s="12"/>
    </row>
    <row r="4423" spans="1:17">
      <c r="A4423" s="14">
        <v>45019</v>
      </c>
      <c r="B4423" s="8">
        <v>1730.9250753032686</v>
      </c>
      <c r="G4423" s="10"/>
      <c r="M4423" s="10"/>
      <c r="P4423" s="11"/>
      <c r="Q4423" s="12"/>
    </row>
    <row r="4424" spans="1:17">
      <c r="A4424" s="14">
        <v>45020</v>
      </c>
      <c r="B4424" s="8">
        <v>1723.646306800362</v>
      </c>
      <c r="G4424" s="10"/>
      <c r="M4424" s="10"/>
      <c r="P4424" s="11"/>
      <c r="Q4424" s="12"/>
    </row>
    <row r="4425" spans="1:17">
      <c r="A4425" s="14">
        <v>45021</v>
      </c>
      <c r="B4425" s="8">
        <v>1702.0406104759888</v>
      </c>
      <c r="G4425" s="10"/>
      <c r="M4425" s="10"/>
      <c r="P4425" s="11"/>
      <c r="Q4425" s="12"/>
    </row>
    <row r="4426" spans="1:17">
      <c r="A4426" s="14">
        <v>45022</v>
      </c>
      <c r="B4426" s="8">
        <v>1706.5679110243675</v>
      </c>
      <c r="G4426" s="10"/>
      <c r="M4426" s="10"/>
      <c r="P4426" s="11"/>
      <c r="Q4426" s="12"/>
    </row>
    <row r="4427" spans="1:17">
      <c r="A4427" s="14">
        <v>45023</v>
      </c>
      <c r="B4427" s="8">
        <v>1706.1862183469343</v>
      </c>
      <c r="G4427" s="10"/>
      <c r="M4427" s="10"/>
      <c r="P4427" s="11"/>
      <c r="Q4427" s="12"/>
    </row>
    <row r="4428" spans="1:17">
      <c r="A4428" s="14">
        <v>45026</v>
      </c>
      <c r="B4428" s="8">
        <v>1708.1799894294816</v>
      </c>
      <c r="G4428" s="10"/>
      <c r="M4428" s="10"/>
      <c r="P4428" s="11"/>
      <c r="Q4428" s="12"/>
    </row>
    <row r="4429" spans="1:17">
      <c r="A4429" s="14">
        <v>45027</v>
      </c>
      <c r="B4429" s="8">
        <v>1714.0026704241732</v>
      </c>
      <c r="G4429" s="10"/>
      <c r="M4429" s="10"/>
      <c r="P4429" s="11"/>
      <c r="Q4429" s="12"/>
    </row>
    <row r="4430" spans="1:17">
      <c r="A4430" s="14">
        <v>45028</v>
      </c>
      <c r="B4430" s="8">
        <v>1711.453655945407</v>
      </c>
      <c r="G4430" s="10"/>
      <c r="M4430" s="10"/>
      <c r="P4430" s="11"/>
      <c r="Q4430" s="12"/>
    </row>
    <row r="4431" spans="1:17">
      <c r="A4431" s="14">
        <v>45029</v>
      </c>
      <c r="B4431" s="8">
        <v>1729.5500461694864</v>
      </c>
      <c r="G4431" s="10"/>
      <c r="M4431" s="10"/>
      <c r="P4431" s="11"/>
      <c r="Q4431" s="12"/>
    </row>
    <row r="4432" spans="1:17">
      <c r="A4432" s="14">
        <v>45030</v>
      </c>
      <c r="B4432" s="8">
        <v>1747.8346397136399</v>
      </c>
      <c r="G4432" s="10"/>
      <c r="M4432" s="10"/>
      <c r="P4432" s="11"/>
      <c r="Q4432" s="12"/>
    </row>
    <row r="4433" spans="1:17">
      <c r="A4433" s="14">
        <v>45033</v>
      </c>
      <c r="B4433" s="8">
        <v>1745.8644986591426</v>
      </c>
      <c r="G4433" s="10"/>
      <c r="M4433" s="10"/>
      <c r="P4433" s="11"/>
      <c r="Q4433" s="12"/>
    </row>
    <row r="4434" spans="1:17">
      <c r="A4434" s="14">
        <v>45034</v>
      </c>
      <c r="B4434" s="8">
        <v>1758.7719160999411</v>
      </c>
      <c r="G4434" s="10"/>
      <c r="M4434" s="10"/>
      <c r="P4434" s="11"/>
      <c r="Q4434" s="12"/>
    </row>
    <row r="4435" spans="1:17">
      <c r="A4435" s="14">
        <v>45035</v>
      </c>
      <c r="B4435" s="8">
        <v>1754.3298105233278</v>
      </c>
      <c r="G4435" s="10"/>
      <c r="M4435" s="10"/>
      <c r="P4435" s="11"/>
      <c r="Q4435" s="12"/>
    </row>
    <row r="4436" spans="1:17">
      <c r="A4436" s="14">
        <v>45036</v>
      </c>
      <c r="B4436" s="8">
        <v>1732.8332224129574</v>
      </c>
      <c r="G4436" s="10"/>
      <c r="M4436" s="10"/>
      <c r="P4436" s="11"/>
      <c r="Q4436" s="12"/>
    </row>
    <row r="4437" spans="1:17">
      <c r="A4437" s="14">
        <v>45037</v>
      </c>
      <c r="B4437" s="8">
        <v>1733.670370160756</v>
      </c>
      <c r="G4437" s="10"/>
      <c r="M4437" s="10"/>
      <c r="P4437" s="11"/>
      <c r="Q4437" s="12"/>
    </row>
    <row r="4438" spans="1:17">
      <c r="A4438" s="14">
        <v>45040</v>
      </c>
      <c r="B4438" s="8">
        <v>1729.1309684886489</v>
      </c>
      <c r="G4438" s="10"/>
      <c r="M4438" s="10"/>
      <c r="P4438" s="11"/>
      <c r="Q4438" s="12"/>
    </row>
    <row r="4439" spans="1:17">
      <c r="A4439" s="14">
        <v>45041</v>
      </c>
      <c r="B4439" s="8">
        <v>1698.6523006147902</v>
      </c>
      <c r="G4439" s="10"/>
      <c r="M4439" s="10"/>
      <c r="P4439" s="11"/>
      <c r="Q4439" s="12"/>
    </row>
    <row r="4440" spans="1:17">
      <c r="A4440" s="14">
        <v>45042</v>
      </c>
      <c r="B4440" s="8">
        <v>1681.5297814341054</v>
      </c>
      <c r="G4440" s="10"/>
      <c r="M4440" s="10"/>
      <c r="P4440" s="11"/>
      <c r="Q4440" s="12"/>
    </row>
    <row r="4441" spans="1:17">
      <c r="A4441" s="14">
        <v>45043</v>
      </c>
      <c r="B4441" s="8">
        <v>1705.8858388294009</v>
      </c>
      <c r="G4441" s="10"/>
      <c r="M4441" s="10"/>
      <c r="P4441" s="11"/>
      <c r="Q4441" s="12"/>
    </row>
    <row r="4442" spans="1:17">
      <c r="A4442" s="14">
        <v>45044</v>
      </c>
      <c r="B4442" s="8">
        <v>1716.8023634001318</v>
      </c>
      <c r="G4442" s="10"/>
      <c r="M4442" s="10"/>
      <c r="P4442" s="11"/>
      <c r="Q4442" s="12"/>
    </row>
    <row r="4443" spans="1:17">
      <c r="A4443" s="14">
        <v>45047</v>
      </c>
      <c r="B4443" s="8">
        <v>1715.7723158229253</v>
      </c>
      <c r="G4443" s="10"/>
      <c r="M4443" s="10"/>
      <c r="P4443" s="11"/>
      <c r="Q4443" s="12"/>
    </row>
    <row r="4444" spans="1:17">
      <c r="A4444" s="14">
        <v>45048</v>
      </c>
      <c r="B4444" s="8">
        <v>1685.1374661804675</v>
      </c>
      <c r="G4444" s="10"/>
      <c r="M4444" s="10"/>
      <c r="P4444" s="11"/>
      <c r="Q4444" s="12"/>
    </row>
    <row r="4445" spans="1:17">
      <c r="A4445" s="14">
        <v>45049</v>
      </c>
      <c r="B4445" s="8">
        <v>1677.8298328788142</v>
      </c>
      <c r="G4445" s="10"/>
      <c r="M4445" s="10"/>
      <c r="P4445" s="11"/>
      <c r="Q4445" s="12"/>
    </row>
    <row r="4446" spans="1:17">
      <c r="A4446" s="14">
        <v>45050</v>
      </c>
      <c r="B4446" s="8">
        <v>1658.7670812165593</v>
      </c>
      <c r="G4446" s="10"/>
      <c r="M4446" s="10"/>
      <c r="P4446" s="11"/>
      <c r="Q4446" s="12"/>
    </row>
    <row r="4447" spans="1:17">
      <c r="A4447" s="14">
        <v>45051</v>
      </c>
      <c r="B4447" s="8">
        <v>1693.3454526030214</v>
      </c>
      <c r="G4447" s="10"/>
      <c r="M4447" s="10"/>
      <c r="P4447" s="11"/>
      <c r="Q4447" s="12"/>
    </row>
    <row r="4448" spans="1:17">
      <c r="A4448" s="14">
        <v>45054</v>
      </c>
      <c r="B4448" s="8">
        <v>1701.2776063897516</v>
      </c>
      <c r="G4448" s="10"/>
      <c r="M4448" s="10"/>
      <c r="P4448" s="11"/>
      <c r="Q4448" s="12"/>
    </row>
    <row r="4449" spans="1:17">
      <c r="A4449" s="14">
        <v>45055</v>
      </c>
      <c r="B4449" s="8">
        <v>1693.7107111781395</v>
      </c>
      <c r="G4449" s="10"/>
      <c r="M4449" s="10"/>
      <c r="P4449" s="11"/>
      <c r="Q4449" s="12"/>
    </row>
    <row r="4450" spans="1:17">
      <c r="A4450" s="14">
        <v>45056</v>
      </c>
      <c r="B4450" s="8">
        <v>1696.7053216524118</v>
      </c>
      <c r="G4450" s="10"/>
      <c r="M4450" s="10"/>
      <c r="P4450" s="11"/>
      <c r="Q4450" s="12"/>
    </row>
    <row r="4451" spans="1:17">
      <c r="A4451" s="14">
        <v>45057</v>
      </c>
      <c r="B4451" s="8">
        <v>1695.7357335998997</v>
      </c>
      <c r="G4451" s="10"/>
      <c r="M4451" s="10"/>
      <c r="P4451" s="11"/>
      <c r="Q4451" s="12"/>
    </row>
    <row r="4452" spans="1:17">
      <c r="A4452" s="14">
        <v>45058</v>
      </c>
      <c r="B4452" s="8">
        <v>1698.9606833063499</v>
      </c>
      <c r="G4452" s="10"/>
      <c r="M4452" s="10"/>
      <c r="P4452" s="11"/>
      <c r="Q4452" s="12"/>
    </row>
    <row r="4453" spans="1:17">
      <c r="A4453" s="14">
        <v>45061</v>
      </c>
      <c r="B4453" s="8">
        <v>1704.1615146167831</v>
      </c>
      <c r="G4453" s="10"/>
      <c r="M4453" s="10"/>
      <c r="P4453" s="11"/>
      <c r="Q4453" s="12"/>
    </row>
    <row r="4454" spans="1:17">
      <c r="A4454" s="14">
        <v>45062</v>
      </c>
      <c r="B4454" s="8">
        <v>1696.4907873553982</v>
      </c>
      <c r="G4454" s="10"/>
      <c r="M4454" s="10"/>
      <c r="P4454" s="11"/>
      <c r="Q4454" s="12"/>
    </row>
    <row r="4455" spans="1:17">
      <c r="A4455" s="14">
        <v>45063</v>
      </c>
      <c r="B4455" s="8">
        <v>1723.7494621580308</v>
      </c>
      <c r="G4455" s="10"/>
      <c r="M4455" s="10"/>
      <c r="P4455" s="11"/>
      <c r="Q4455" s="12"/>
    </row>
    <row r="4456" spans="1:17">
      <c r="A4456" s="14">
        <v>45064</v>
      </c>
      <c r="B4456" s="8">
        <v>1751.7620361367517</v>
      </c>
      <c r="G4456" s="10"/>
      <c r="M4456" s="10"/>
      <c r="P4456" s="11"/>
      <c r="Q4456" s="12"/>
    </row>
    <row r="4457" spans="1:17">
      <c r="A4457" s="14">
        <v>45065</v>
      </c>
      <c r="B4457" s="8">
        <v>1754.693809130247</v>
      </c>
      <c r="G4457" s="10"/>
      <c r="M4457" s="10"/>
      <c r="P4457" s="11"/>
      <c r="Q4457" s="12"/>
    </row>
    <row r="4458" spans="1:17">
      <c r="A4458" s="14">
        <v>45068</v>
      </c>
      <c r="B4458" s="8">
        <v>1762.0531821431814</v>
      </c>
      <c r="G4458" s="10"/>
      <c r="M4458" s="10"/>
      <c r="P4458" s="11"/>
      <c r="Q4458" s="12"/>
    </row>
    <row r="4459" spans="1:17">
      <c r="A4459" s="14">
        <v>45069</v>
      </c>
      <c r="B4459" s="8">
        <v>1747.4925999566997</v>
      </c>
      <c r="G4459" s="10"/>
      <c r="M4459" s="10"/>
      <c r="P4459" s="11"/>
      <c r="Q4459" s="12"/>
    </row>
    <row r="4460" spans="1:17">
      <c r="A4460" s="14">
        <v>45070</v>
      </c>
      <c r="B4460" s="8">
        <v>1719.3224739102673</v>
      </c>
      <c r="G4460" s="10"/>
      <c r="M4460" s="10"/>
      <c r="P4460" s="11"/>
      <c r="Q4460" s="12"/>
    </row>
    <row r="4461" spans="1:17">
      <c r="A4461" s="14">
        <v>45071</v>
      </c>
      <c r="B4461" s="8">
        <v>1742.5931591446297</v>
      </c>
      <c r="G4461" s="10"/>
      <c r="M4461" s="10"/>
      <c r="P4461" s="11"/>
      <c r="Q4461" s="12"/>
    </row>
    <row r="4462" spans="1:17">
      <c r="A4462" s="14">
        <v>45072</v>
      </c>
      <c r="B4462" s="8">
        <v>1778.3677405635792</v>
      </c>
      <c r="G4462" s="10"/>
      <c r="M4462" s="10"/>
      <c r="P4462" s="11"/>
      <c r="Q4462" s="12"/>
    </row>
    <row r="4463" spans="1:17">
      <c r="A4463" s="14">
        <v>45075</v>
      </c>
      <c r="B4463" s="8">
        <v>1772.7476473984657</v>
      </c>
      <c r="G4463" s="10"/>
      <c r="M4463" s="10"/>
      <c r="P4463" s="11"/>
      <c r="Q4463" s="12"/>
    </row>
    <row r="4464" spans="1:17">
      <c r="A4464" s="14">
        <v>45076</v>
      </c>
      <c r="B4464" s="8">
        <v>1779.7901285371329</v>
      </c>
      <c r="G4464" s="10"/>
      <c r="M4464" s="10"/>
      <c r="P4464" s="11"/>
      <c r="Q4464" s="12"/>
    </row>
    <row r="4465" spans="1:17">
      <c r="A4465" s="14">
        <v>45077</v>
      </c>
      <c r="B4465" s="8">
        <v>1751.0529789002328</v>
      </c>
      <c r="G4465" s="10"/>
      <c r="M4465" s="10"/>
      <c r="P4465" s="11"/>
      <c r="Q4465" s="12"/>
    </row>
    <row r="4466" spans="1:17">
      <c r="A4466" s="14">
        <v>45078</v>
      </c>
      <c r="B4466" s="8">
        <v>1777.0964562630284</v>
      </c>
      <c r="G4466" s="10"/>
      <c r="M4466" s="10"/>
      <c r="P4466" s="11"/>
      <c r="Q4466" s="12"/>
    </row>
    <row r="4467" spans="1:17">
      <c r="A4467" s="14">
        <v>45079</v>
      </c>
      <c r="B4467" s="8">
        <v>1805.985282501862</v>
      </c>
      <c r="G4467" s="10"/>
      <c r="M4467" s="10"/>
      <c r="P4467" s="11"/>
      <c r="Q4467" s="12"/>
    </row>
    <row r="4468" spans="1:17">
      <c r="A4468" s="14">
        <v>45082</v>
      </c>
      <c r="B4468" s="8">
        <v>1798.9447392538359</v>
      </c>
      <c r="G4468" s="10"/>
      <c r="M4468" s="10"/>
      <c r="P4468" s="11"/>
      <c r="Q4468" s="12"/>
    </row>
    <row r="4469" spans="1:17">
      <c r="A4469" s="14">
        <v>45083</v>
      </c>
      <c r="B4469" s="8">
        <v>1807.2196878163525</v>
      </c>
      <c r="G4469" s="10"/>
      <c r="M4469" s="10"/>
      <c r="P4469" s="11"/>
      <c r="Q4469" s="12"/>
    </row>
    <row r="4470" spans="1:17">
      <c r="A4470" s="14">
        <v>45084</v>
      </c>
      <c r="B4470" s="8">
        <v>1804.2984032389706</v>
      </c>
      <c r="G4470" s="10"/>
      <c r="M4470" s="10"/>
      <c r="P4470" s="11"/>
      <c r="Q4470" s="12"/>
    </row>
    <row r="4471" spans="1:17">
      <c r="A4471" s="14">
        <v>45085</v>
      </c>
      <c r="B4471" s="8">
        <v>1819.1727638592467</v>
      </c>
      <c r="G4471" s="10"/>
      <c r="M4471" s="10"/>
      <c r="P4471" s="11"/>
      <c r="Q4471" s="12"/>
    </row>
    <row r="4472" spans="1:17">
      <c r="A4472" s="14">
        <v>45086</v>
      </c>
      <c r="B4472" s="8">
        <v>1820.1446203823632</v>
      </c>
      <c r="G4472" s="10"/>
      <c r="M4472" s="10"/>
      <c r="P4472" s="11"/>
      <c r="Q4472" s="12"/>
    </row>
    <row r="4473" spans="1:17">
      <c r="A4473" s="14">
        <v>45089</v>
      </c>
      <c r="B4473" s="8">
        <v>1843.4813132695149</v>
      </c>
      <c r="G4473" s="10"/>
      <c r="M4473" s="10"/>
      <c r="P4473" s="11"/>
      <c r="Q4473" s="12"/>
    </row>
    <row r="4474" spans="1:17">
      <c r="A4474" s="14">
        <v>45090</v>
      </c>
      <c r="B4474" s="8">
        <v>1864.5687025897225</v>
      </c>
      <c r="G4474" s="10"/>
      <c r="M4474" s="10"/>
      <c r="P4474" s="11"/>
      <c r="Q4474" s="12"/>
    </row>
    <row r="4475" spans="1:17">
      <c r="A4475" s="14">
        <v>45091</v>
      </c>
      <c r="B4475" s="8">
        <v>1875.4227052410586</v>
      </c>
      <c r="G4475" s="10"/>
      <c r="M4475" s="10"/>
      <c r="P4475" s="11"/>
      <c r="Q4475" s="12"/>
    </row>
    <row r="4476" spans="1:17">
      <c r="A4476" s="14">
        <v>45092</v>
      </c>
      <c r="B4476" s="8">
        <v>1876.9021556788</v>
      </c>
      <c r="G4476" s="10"/>
      <c r="M4476" s="10"/>
      <c r="P4476" s="11"/>
      <c r="Q4476" s="12"/>
    </row>
    <row r="4477" spans="1:17">
      <c r="A4477" s="14">
        <v>45093</v>
      </c>
      <c r="B4477" s="8">
        <v>1873.1608119217017</v>
      </c>
      <c r="G4477" s="10"/>
      <c r="M4477" s="10"/>
      <c r="P4477" s="11"/>
      <c r="Q4477" s="12"/>
    </row>
    <row r="4478" spans="1:17">
      <c r="A4478" s="14">
        <v>45096</v>
      </c>
      <c r="B4478" s="8">
        <v>1870.7476873116959</v>
      </c>
      <c r="G4478" s="10"/>
      <c r="M4478" s="10"/>
      <c r="P4478" s="11"/>
      <c r="Q4478" s="12"/>
    </row>
    <row r="4479" spans="1:17">
      <c r="A4479" s="14">
        <v>45097</v>
      </c>
      <c r="B4479" s="8">
        <v>1859.0790438279207</v>
      </c>
      <c r="G4479" s="10"/>
      <c r="M4479" s="10"/>
      <c r="P4479" s="11"/>
      <c r="Q4479" s="12"/>
    </row>
    <row r="4480" spans="1:17">
      <c r="A4480" s="14">
        <v>45098</v>
      </c>
      <c r="B4480" s="8">
        <v>1845.9784324080945</v>
      </c>
      <c r="G4480" s="10"/>
      <c r="M4480" s="10"/>
      <c r="P4480" s="11"/>
      <c r="Q4480" s="12"/>
    </row>
    <row r="4481" spans="1:17">
      <c r="A4481" s="14">
        <v>45099</v>
      </c>
      <c r="B4481" s="8">
        <v>1841.5543233803257</v>
      </c>
      <c r="G4481" s="10"/>
      <c r="M4481" s="10"/>
      <c r="P4481" s="11"/>
      <c r="Q4481" s="12"/>
    </row>
    <row r="4482" spans="1:17">
      <c r="A4482" s="14">
        <v>45100</v>
      </c>
      <c r="B4482" s="8">
        <v>1799.7728867647916</v>
      </c>
      <c r="G4482" s="10"/>
      <c r="M4482" s="10"/>
      <c r="P4482" s="11"/>
      <c r="Q4482" s="12"/>
    </row>
    <row r="4483" spans="1:17">
      <c r="A4483" s="14">
        <v>45103</v>
      </c>
      <c r="B4483" s="8">
        <v>1797.4695506746184</v>
      </c>
      <c r="G4483" s="10"/>
      <c r="M4483" s="10"/>
      <c r="P4483" s="11"/>
      <c r="Q4483" s="12"/>
    </row>
    <row r="4484" spans="1:17">
      <c r="A4484" s="14">
        <v>45104</v>
      </c>
      <c r="B4484" s="8">
        <v>1824.3370594176938</v>
      </c>
      <c r="G4484" s="10"/>
      <c r="M4484" s="10"/>
      <c r="P4484" s="11"/>
      <c r="Q4484" s="12"/>
    </row>
    <row r="4485" spans="1:17">
      <c r="A4485" s="14">
        <v>45105</v>
      </c>
      <c r="B4485" s="8">
        <v>1832.9551079986036</v>
      </c>
      <c r="G4485" s="10"/>
      <c r="M4485" s="10"/>
      <c r="P4485" s="11"/>
      <c r="Q4485" s="12"/>
    </row>
    <row r="4486" spans="1:17">
      <c r="A4486" s="14">
        <v>45106</v>
      </c>
      <c r="B4486" s="8">
        <v>1845.3365737946538</v>
      </c>
      <c r="G4486" s="10"/>
      <c r="M4486" s="10"/>
      <c r="P4486" s="11"/>
      <c r="Q4486" s="12"/>
    </row>
    <row r="4487" spans="1:17">
      <c r="A4487" s="14">
        <v>45107</v>
      </c>
      <c r="B4487" s="8">
        <v>1870.785919936935</v>
      </c>
      <c r="G4487" s="10"/>
      <c r="M4487" s="10"/>
      <c r="P4487" s="11"/>
      <c r="Q4487" s="12"/>
    </row>
    <row r="4488" spans="1:17">
      <c r="A4488" s="14">
        <v>45110</v>
      </c>
      <c r="B4488" s="8">
        <v>1873.9291192868181</v>
      </c>
      <c r="G4488" s="10"/>
      <c r="M4488" s="10"/>
      <c r="P4488" s="11"/>
      <c r="Q4488" s="12"/>
    </row>
    <row r="4489" spans="1:17">
      <c r="A4489" s="14">
        <v>45111</v>
      </c>
      <c r="B4489" s="8">
        <v>1869.5932159586785</v>
      </c>
      <c r="G4489" s="10"/>
      <c r="M4489" s="10"/>
      <c r="P4489" s="11"/>
      <c r="Q4489" s="12"/>
    </row>
    <row r="4490" spans="1:17">
      <c r="A4490" s="14">
        <v>45112</v>
      </c>
      <c r="B4490" s="8">
        <v>1859.0755276901391</v>
      </c>
      <c r="G4490" s="10"/>
      <c r="M4490" s="10"/>
      <c r="P4490" s="11"/>
      <c r="Q4490" s="12"/>
    </row>
    <row r="4491" spans="1:17">
      <c r="A4491" s="14">
        <v>45113</v>
      </c>
      <c r="B4491" s="8">
        <v>1818.4444887505497</v>
      </c>
      <c r="G4491" s="10"/>
      <c r="M4491" s="10"/>
      <c r="P4491" s="11"/>
      <c r="Q4491" s="12"/>
    </row>
    <row r="4492" spans="1:17">
      <c r="A4492" s="14">
        <v>45114</v>
      </c>
      <c r="B4492" s="8">
        <v>1821.7836037221855</v>
      </c>
      <c r="G4492" s="10"/>
      <c r="M4492" s="10"/>
      <c r="P4492" s="11"/>
      <c r="Q4492" s="12"/>
    </row>
    <row r="4493" spans="1:17">
      <c r="A4493" s="14">
        <v>45117</v>
      </c>
      <c r="B4493" s="8">
        <v>1835.4404805333209</v>
      </c>
      <c r="G4493" s="10"/>
      <c r="M4493" s="10"/>
      <c r="P4493" s="11"/>
      <c r="Q4493" s="12"/>
    </row>
    <row r="4494" spans="1:17">
      <c r="A4494" s="14">
        <v>45118</v>
      </c>
      <c r="B4494" s="8">
        <v>1849.602039282544</v>
      </c>
      <c r="G4494" s="10"/>
      <c r="M4494" s="10"/>
      <c r="P4494" s="11"/>
      <c r="Q4494" s="12"/>
    </row>
    <row r="4495" spans="1:17">
      <c r="A4495" s="14">
        <v>45119</v>
      </c>
      <c r="B4495" s="8">
        <v>1876.2405322602913</v>
      </c>
      <c r="G4495" s="10"/>
      <c r="M4495" s="10"/>
      <c r="P4495" s="11"/>
      <c r="Q4495" s="12"/>
    </row>
    <row r="4496" spans="1:17">
      <c r="A4496" s="14">
        <v>45120</v>
      </c>
      <c r="B4496" s="8">
        <v>1896.3463744082644</v>
      </c>
      <c r="G4496" s="10"/>
      <c r="M4496" s="10"/>
      <c r="P4496" s="11"/>
      <c r="Q4496" s="12"/>
    </row>
    <row r="4497" spans="1:17">
      <c r="A4497" s="14">
        <v>45121</v>
      </c>
      <c r="B4497" s="8">
        <v>1891.7796248539762</v>
      </c>
      <c r="G4497" s="10"/>
      <c r="M4497" s="10"/>
      <c r="P4497" s="11"/>
      <c r="Q4497" s="12"/>
    </row>
    <row r="4498" spans="1:17">
      <c r="A4498" s="14">
        <v>45124</v>
      </c>
      <c r="B4498" s="8">
        <v>1897.9463524652681</v>
      </c>
      <c r="G4498" s="10"/>
      <c r="M4498" s="10"/>
      <c r="P4498" s="11"/>
      <c r="Q4498" s="12"/>
    </row>
    <row r="4499" spans="1:17">
      <c r="A4499" s="14">
        <v>45125</v>
      </c>
      <c r="B4499" s="8">
        <v>1911.4448398404993</v>
      </c>
      <c r="G4499" s="10"/>
      <c r="M4499" s="10"/>
      <c r="P4499" s="11"/>
      <c r="Q4499" s="12"/>
    </row>
    <row r="4500" spans="1:17">
      <c r="A4500" s="14">
        <v>45126</v>
      </c>
      <c r="B4500" s="8">
        <v>1912.224985944127</v>
      </c>
      <c r="G4500" s="10"/>
      <c r="M4500" s="10"/>
      <c r="P4500" s="11"/>
      <c r="Q4500" s="12"/>
    </row>
    <row r="4501" spans="1:17">
      <c r="A4501" s="14">
        <v>45127</v>
      </c>
      <c r="B4501" s="8">
        <v>1895.533644653053</v>
      </c>
      <c r="G4501" s="10"/>
      <c r="M4501" s="10"/>
      <c r="P4501" s="11"/>
      <c r="Q4501" s="12"/>
    </row>
    <row r="4502" spans="1:17">
      <c r="A4502" s="14">
        <v>45128</v>
      </c>
      <c r="B4502" s="8">
        <v>1896.7196915495831</v>
      </c>
      <c r="G4502" s="10"/>
      <c r="M4502" s="10"/>
      <c r="P4502" s="11"/>
      <c r="Q4502" s="12"/>
    </row>
    <row r="4503" spans="1:17">
      <c r="A4503" s="14">
        <v>45131</v>
      </c>
      <c r="B4503" s="8">
        <v>1901.3168180310593</v>
      </c>
      <c r="G4503" s="10"/>
      <c r="M4503" s="10"/>
      <c r="P4503" s="11"/>
      <c r="Q4503" s="12"/>
    </row>
    <row r="4504" spans="1:17">
      <c r="A4504" s="14">
        <v>45132</v>
      </c>
      <c r="B4504" s="8">
        <v>1905.8079118495093</v>
      </c>
      <c r="G4504" s="10"/>
      <c r="M4504" s="10"/>
      <c r="P4504" s="11"/>
      <c r="Q4504" s="12"/>
    </row>
    <row r="4505" spans="1:17">
      <c r="A4505" s="14">
        <v>45133</v>
      </c>
      <c r="B4505" s="8">
        <v>1895.5883164656191</v>
      </c>
      <c r="G4505" s="10"/>
      <c r="M4505" s="10"/>
      <c r="P4505" s="11"/>
      <c r="Q4505" s="12"/>
    </row>
    <row r="4506" spans="1:17">
      <c r="A4506" s="14">
        <v>45134</v>
      </c>
      <c r="B4506" s="8">
        <v>1906.1374513725907</v>
      </c>
      <c r="G4506" s="10"/>
      <c r="M4506" s="10"/>
      <c r="P4506" s="11"/>
      <c r="Q4506" s="12"/>
    </row>
    <row r="4507" spans="1:17">
      <c r="A4507" s="14">
        <v>45135</v>
      </c>
      <c r="B4507" s="8">
        <v>1917.7082269902501</v>
      </c>
      <c r="G4507" s="10"/>
      <c r="M4507" s="10"/>
      <c r="P4507" s="11"/>
      <c r="Q4507" s="12"/>
    </row>
    <row r="4508" spans="1:17">
      <c r="A4508" s="14">
        <v>45138</v>
      </c>
      <c r="B4508" s="8">
        <v>1924.7909895378432</v>
      </c>
      <c r="G4508" s="10"/>
      <c r="M4508" s="10"/>
      <c r="P4508" s="11"/>
      <c r="Q4508" s="12"/>
    </row>
    <row r="4509" spans="1:17">
      <c r="A4509" s="14">
        <v>45139</v>
      </c>
      <c r="B4509" s="8">
        <v>1916.6033238825553</v>
      </c>
      <c r="G4509" s="10"/>
      <c r="M4509" s="10"/>
      <c r="P4509" s="11"/>
      <c r="Q4509" s="12"/>
    </row>
    <row r="4510" spans="1:17">
      <c r="A4510" s="14">
        <v>45140</v>
      </c>
      <c r="B4510" s="8">
        <v>1881.1738536030323</v>
      </c>
      <c r="G4510" s="10"/>
      <c r="M4510" s="10"/>
      <c r="P4510" s="11"/>
      <c r="Q4510" s="12"/>
    </row>
    <row r="4511" spans="1:17">
      <c r="A4511" s="15">
        <v>45141</v>
      </c>
      <c r="B4511" s="8">
        <v>1869.7985593750118</v>
      </c>
      <c r="G4511" s="10"/>
      <c r="M4511" s="10"/>
      <c r="P4511" s="11"/>
      <c r="Q4511" s="12"/>
    </row>
    <row r="4512" spans="1:17">
      <c r="A4512" s="15">
        <v>45142</v>
      </c>
      <c r="B4512" s="8">
        <v>1871.2363752500887</v>
      </c>
      <c r="G4512" s="10"/>
      <c r="M4512" s="10"/>
      <c r="P4512" s="11"/>
      <c r="Q4512" s="12"/>
    </row>
    <row r="4513" spans="1:17">
      <c r="A4513" s="15">
        <v>45145</v>
      </c>
      <c r="B4513" s="8">
        <v>1875.3299292249812</v>
      </c>
      <c r="G4513" s="10"/>
      <c r="M4513" s="10"/>
      <c r="P4513" s="11"/>
      <c r="Q4513" s="12"/>
    </row>
    <row r="4514" spans="1:17">
      <c r="A4514" s="15">
        <v>45146</v>
      </c>
      <c r="B4514" s="8">
        <v>1846.5360733421755</v>
      </c>
      <c r="G4514" s="10"/>
      <c r="M4514" s="10"/>
      <c r="P4514" s="11"/>
      <c r="Q4514" s="12"/>
    </row>
    <row r="4515" spans="1:17">
      <c r="A4515" s="15">
        <v>45147</v>
      </c>
      <c r="B4515" s="8">
        <v>1843.8524420109247</v>
      </c>
      <c r="G4515" s="10"/>
      <c r="M4515" s="10"/>
      <c r="P4515" s="11"/>
      <c r="Q4515" s="12"/>
    </row>
    <row r="4516" spans="1:17">
      <c r="A4516" s="15">
        <v>45148</v>
      </c>
      <c r="B4516" s="8">
        <v>1853.8484731687424</v>
      </c>
      <c r="G4516" s="10"/>
      <c r="M4516" s="10"/>
      <c r="P4516" s="11"/>
      <c r="Q4516" s="12"/>
    </row>
    <row r="4517" spans="1:17">
      <c r="A4517" s="15">
        <v>45149</v>
      </c>
      <c r="B4517" s="8">
        <v>1840.1972401601085</v>
      </c>
      <c r="G4517" s="10"/>
      <c r="M4517" s="10"/>
      <c r="P4517" s="11"/>
      <c r="Q4517" s="12"/>
    </row>
    <row r="4518" spans="1:17">
      <c r="A4518" s="15">
        <v>45152</v>
      </c>
      <c r="B4518" s="8">
        <v>1848.9956904635876</v>
      </c>
      <c r="G4518" s="10"/>
      <c r="M4518" s="10"/>
      <c r="P4518" s="11"/>
      <c r="Q4518" s="12"/>
    </row>
    <row r="4519" spans="1:17">
      <c r="A4519" s="15">
        <v>45153</v>
      </c>
      <c r="B4519" s="8">
        <v>1831.3691470306439</v>
      </c>
      <c r="G4519" s="10"/>
      <c r="M4519" s="10"/>
      <c r="P4519" s="11"/>
      <c r="Q4519" s="12"/>
    </row>
    <row r="4520" spans="1:17">
      <c r="A4520" s="15">
        <v>45154</v>
      </c>
      <c r="B4520" s="8">
        <v>1821.6752403155476</v>
      </c>
      <c r="G4520" s="10"/>
      <c r="M4520" s="10"/>
      <c r="P4520" s="11"/>
      <c r="Q4520" s="12"/>
    </row>
    <row r="4521" spans="1:17">
      <c r="A4521" s="15">
        <v>45155</v>
      </c>
      <c r="B4521" s="8">
        <v>1803.8192109707879</v>
      </c>
      <c r="G4521" s="10"/>
      <c r="M4521" s="10"/>
      <c r="P4521" s="11"/>
      <c r="Q4521" s="12"/>
    </row>
    <row r="4522" spans="1:17">
      <c r="A4522" s="15">
        <v>45156</v>
      </c>
      <c r="B4522" s="8">
        <v>1796.1839945744171</v>
      </c>
      <c r="G4522" s="10"/>
      <c r="M4522" s="10"/>
      <c r="P4522" s="11"/>
      <c r="Q4522" s="12"/>
    </row>
    <row r="4523" spans="1:17">
      <c r="A4523" s="15">
        <v>45159</v>
      </c>
      <c r="B4523" s="8">
        <v>1812.5241974115002</v>
      </c>
      <c r="G4523" s="10"/>
      <c r="M4523" s="10"/>
      <c r="P4523" s="11"/>
      <c r="Q4523" s="12"/>
    </row>
    <row r="4524" spans="1:17">
      <c r="A4524" s="15">
        <v>45160</v>
      </c>
      <c r="B4524" s="8">
        <v>1819.8082815963348</v>
      </c>
      <c r="G4524" s="10"/>
      <c r="M4524" s="10"/>
      <c r="P4524" s="11"/>
      <c r="Q4524" s="12"/>
    </row>
    <row r="4525" spans="1:17">
      <c r="A4525" s="15">
        <v>45161</v>
      </c>
      <c r="B4525" s="8">
        <v>1829.1831201896132</v>
      </c>
      <c r="G4525" s="10"/>
      <c r="M4525" s="10"/>
      <c r="P4525" s="11"/>
      <c r="Q4525" s="12"/>
    </row>
    <row r="4526" spans="1:17">
      <c r="A4526" s="15">
        <v>45162</v>
      </c>
      <c r="B4526" s="8">
        <v>1805.1017288867952</v>
      </c>
      <c r="G4526" s="10"/>
      <c r="M4526" s="10"/>
      <c r="P4526" s="11"/>
      <c r="Q4526" s="12"/>
    </row>
    <row r="4527" spans="1:17">
      <c r="A4527" s="15">
        <v>45163</v>
      </c>
      <c r="B4527" s="8">
        <v>1813.8319586106345</v>
      </c>
      <c r="G4527" s="10"/>
      <c r="M4527" s="10"/>
      <c r="P4527" s="11"/>
      <c r="Q4527" s="12"/>
    </row>
    <row r="4528" spans="1:17">
      <c r="A4528" s="15">
        <v>45166</v>
      </c>
      <c r="B4528" s="8">
        <v>1834.3013606243062</v>
      </c>
      <c r="G4528" s="10"/>
      <c r="M4528" s="10"/>
      <c r="P4528" s="11"/>
      <c r="Q4528" s="12"/>
    </row>
    <row r="4529" spans="1:17">
      <c r="A4529" s="15">
        <v>45167</v>
      </c>
      <c r="B4529" s="8">
        <v>1860.7609255504874</v>
      </c>
      <c r="G4529" s="10"/>
      <c r="M4529" s="10"/>
      <c r="P4529" s="11"/>
      <c r="Q4529" s="12"/>
    </row>
    <row r="4530" spans="1:17">
      <c r="A4530" s="15">
        <v>45168</v>
      </c>
      <c r="B4530" s="8">
        <v>1860.1979970470322</v>
      </c>
      <c r="G4530" s="10"/>
      <c r="M4530" s="10"/>
      <c r="P4530" s="11"/>
      <c r="Q4530" s="12"/>
    </row>
    <row r="4531" spans="1:17">
      <c r="A4531" s="15">
        <v>45169</v>
      </c>
      <c r="B4531" s="8">
        <v>1858.823481761777</v>
      </c>
      <c r="G4531" s="10"/>
      <c r="M4531" s="10"/>
      <c r="P4531" s="11"/>
      <c r="Q4531" s="12"/>
    </row>
    <row r="4532" spans="1:17">
      <c r="A4532" s="15">
        <v>45170</v>
      </c>
      <c r="B4532" s="8">
        <v>1855.8040325955606</v>
      </c>
      <c r="G4532" s="10"/>
      <c r="M4532" s="10"/>
      <c r="P4532" s="11"/>
      <c r="Q4532" s="12"/>
    </row>
    <row r="4533" spans="1:17">
      <c r="A4533" s="15">
        <v>45173</v>
      </c>
      <c r="B4533" s="8">
        <v>1853.0239831284482</v>
      </c>
      <c r="G4533" s="10"/>
      <c r="M4533" s="10"/>
      <c r="P4533" s="11"/>
      <c r="Q4533" s="12"/>
    </row>
    <row r="4534" spans="1:17">
      <c r="A4534" s="15">
        <v>45174</v>
      </c>
      <c r="B4534" s="8">
        <v>1849.5610435022725</v>
      </c>
      <c r="G4534" s="10"/>
      <c r="M4534" s="10"/>
      <c r="P4534" s="11"/>
      <c r="Q4534" s="12"/>
    </row>
    <row r="4535" spans="1:17">
      <c r="A4535" s="15">
        <v>45175</v>
      </c>
      <c r="B4535" s="8">
        <v>1836.3461215692114</v>
      </c>
      <c r="G4535" s="10"/>
      <c r="M4535" s="10"/>
      <c r="P4535" s="11"/>
      <c r="Q4535" s="12"/>
    </row>
    <row r="4536" spans="1:17">
      <c r="A4536" s="15">
        <v>45176</v>
      </c>
      <c r="B4536" s="8">
        <v>1818.8536795575885</v>
      </c>
      <c r="G4536" s="10"/>
      <c r="M4536" s="10"/>
      <c r="P4536" s="11"/>
      <c r="Q4536" s="12"/>
    </row>
    <row r="4537" spans="1:17">
      <c r="A4537" s="15">
        <v>45177</v>
      </c>
      <c r="B4537" s="8">
        <v>1818.3126761577203</v>
      </c>
      <c r="G4537" s="10"/>
      <c r="M4537" s="10"/>
      <c r="P4537" s="11"/>
      <c r="Q4537" s="12"/>
    </row>
    <row r="4538" spans="1:17">
      <c r="A4538" s="15">
        <v>45180</v>
      </c>
      <c r="B4538" s="8">
        <v>1831.3748853315835</v>
      </c>
      <c r="G4538" s="10"/>
      <c r="M4538" s="10"/>
      <c r="P4538" s="11"/>
      <c r="Q4538" s="12"/>
    </row>
    <row r="4539" spans="1:17">
      <c r="A4539" s="15">
        <v>45181</v>
      </c>
      <c r="B4539" s="8">
        <v>1823.1029878191023</v>
      </c>
      <c r="G4539" s="10"/>
      <c r="M4539" s="10"/>
      <c r="P4539" s="11"/>
      <c r="Q4539" s="12"/>
    </row>
    <row r="4540" spans="1:17">
      <c r="A4540" s="15">
        <v>45182</v>
      </c>
      <c r="B4540" s="8">
        <v>1819.1888961204174</v>
      </c>
      <c r="G4540" s="10"/>
      <c r="M4540" s="10"/>
      <c r="P4540" s="11"/>
      <c r="Q4540" s="12"/>
    </row>
    <row r="4541" spans="1:17">
      <c r="A4541" s="15">
        <v>45183</v>
      </c>
      <c r="B4541" s="8">
        <v>1838.9623733989031</v>
      </c>
      <c r="G4541" s="10"/>
      <c r="M4541" s="10"/>
      <c r="P4541" s="11"/>
      <c r="Q4541" s="12"/>
    </row>
    <row r="4542" spans="1:17">
      <c r="A4542" s="15">
        <v>45184</v>
      </c>
      <c r="B4542" s="8">
        <v>1824.3992538128036</v>
      </c>
      <c r="G4542" s="10"/>
      <c r="M4542" s="10"/>
      <c r="P4542" s="11"/>
      <c r="Q4542" s="12"/>
    </row>
    <row r="4543" spans="1:17">
      <c r="A4543" s="15">
        <v>45187</v>
      </c>
      <c r="B4543" s="8">
        <v>1803.7936314679257</v>
      </c>
      <c r="G4543" s="10"/>
      <c r="M4543" s="10"/>
      <c r="P4543" s="11"/>
      <c r="Q4543" s="12"/>
    </row>
    <row r="4544" spans="1:17">
      <c r="A4544" s="15">
        <v>45188</v>
      </c>
      <c r="B4544" s="8">
        <v>1800.1312845481034</v>
      </c>
      <c r="G4544" s="10"/>
      <c r="M4544" s="10"/>
      <c r="P4544" s="11"/>
      <c r="Q4544" s="12"/>
    </row>
    <row r="4545" spans="1:17">
      <c r="A4545" s="15">
        <v>45189</v>
      </c>
      <c r="B4545" s="8">
        <v>1805.9157930262954</v>
      </c>
      <c r="G4545" s="10"/>
      <c r="M4545" s="10"/>
      <c r="P4545" s="11"/>
      <c r="Q4545" s="12"/>
    </row>
    <row r="4546" spans="1:17">
      <c r="A4546" s="15">
        <v>45190</v>
      </c>
      <c r="B4546" s="8">
        <v>1775.7070398363846</v>
      </c>
      <c r="G4546" s="10"/>
      <c r="M4546" s="10"/>
      <c r="P4546" s="11"/>
      <c r="Q4546" s="12"/>
    </row>
    <row r="4547" spans="1:17">
      <c r="A4547" s="15">
        <v>45191</v>
      </c>
      <c r="B4547" s="8">
        <v>1766.4767631126442</v>
      </c>
      <c r="G4547" s="10"/>
      <c r="M4547" s="10"/>
      <c r="P4547" s="11"/>
      <c r="Q4547" s="12"/>
    </row>
    <row r="4548" spans="1:17">
      <c r="A4548" s="15">
        <v>45194</v>
      </c>
      <c r="B4548" s="8">
        <v>1765.0197115917631</v>
      </c>
      <c r="G4548" s="10"/>
      <c r="M4548" s="10"/>
      <c r="P4548" s="11"/>
      <c r="Q4548" s="12"/>
    </row>
    <row r="4549" spans="1:17">
      <c r="A4549" s="15">
        <v>45195</v>
      </c>
      <c r="B4549" s="8">
        <v>1742.0628908068632</v>
      </c>
      <c r="G4549" s="10"/>
      <c r="M4549" s="10"/>
      <c r="P4549" s="11"/>
      <c r="Q4549" s="12"/>
    </row>
    <row r="4550" spans="1:17">
      <c r="A4550" s="15">
        <v>45196</v>
      </c>
      <c r="B4550" s="8">
        <v>1750.3807806642531</v>
      </c>
      <c r="G4550" s="10"/>
      <c r="M4550" s="10"/>
      <c r="P4550" s="11"/>
      <c r="Q4550" s="12"/>
    </row>
    <row r="4551" spans="1:17">
      <c r="A4551" s="15">
        <v>45197</v>
      </c>
      <c r="B4551" s="8">
        <v>1767.0308056890706</v>
      </c>
      <c r="G4551" s="10"/>
      <c r="M4551" s="10"/>
      <c r="P4551" s="11"/>
      <c r="Q4551" s="12"/>
    </row>
    <row r="4552" spans="1:17">
      <c r="A4552" s="15">
        <v>45198</v>
      </c>
      <c r="B4552" s="8">
        <v>1770.0328326403978</v>
      </c>
      <c r="G4552" s="10"/>
      <c r="M4552" s="10"/>
      <c r="P4552" s="11"/>
      <c r="Q4552" s="12"/>
    </row>
    <row r="4553" spans="1:17">
      <c r="A4553" s="15">
        <v>45201</v>
      </c>
      <c r="B4553" s="8">
        <v>1762.2250784197679</v>
      </c>
      <c r="G4553" s="10"/>
      <c r="M4553" s="10"/>
      <c r="P4553" s="11"/>
      <c r="Q4553" s="12"/>
    </row>
    <row r="4554" spans="1:17">
      <c r="A4554" s="15">
        <v>45202</v>
      </c>
      <c r="B4554" s="8">
        <v>1735.8716680602924</v>
      </c>
      <c r="G4554" s="10"/>
      <c r="M4554" s="10"/>
      <c r="P4554" s="11"/>
      <c r="Q4554" s="12"/>
    </row>
    <row r="4555" spans="1:17">
      <c r="A4555" s="15">
        <v>45203</v>
      </c>
      <c r="B4555" s="8">
        <v>1744.4809648967168</v>
      </c>
      <c r="G4555" s="10"/>
      <c r="M4555" s="10"/>
      <c r="P4555" s="11"/>
      <c r="Q4555" s="12"/>
    </row>
    <row r="4556" spans="1:17">
      <c r="A4556" s="15">
        <v>45204</v>
      </c>
      <c r="B4556" s="8">
        <v>1743.0997468273338</v>
      </c>
      <c r="G4556" s="10"/>
      <c r="M4556" s="10"/>
      <c r="P4556" s="11"/>
      <c r="Q4556" s="12"/>
    </row>
    <row r="4557" spans="1:17">
      <c r="A4557" s="15">
        <v>45205</v>
      </c>
      <c r="B4557" s="8">
        <v>1768.9602074383354</v>
      </c>
      <c r="G4557" s="10"/>
      <c r="M4557" s="10"/>
      <c r="P4557" s="11"/>
      <c r="Q4557" s="12"/>
    </row>
    <row r="4558" spans="1:17">
      <c r="A4558" s="15">
        <v>45208</v>
      </c>
      <c r="B4558" s="8">
        <v>1760.5328189474276</v>
      </c>
      <c r="G4558" s="10"/>
      <c r="M4558" s="10"/>
      <c r="P4558" s="11"/>
      <c r="Q4558" s="12"/>
    </row>
    <row r="4559" spans="1:17">
      <c r="A4559" s="15">
        <v>45209</v>
      </c>
      <c r="B4559" s="8">
        <v>1787.2254663256713</v>
      </c>
      <c r="G4559" s="10"/>
      <c r="M4559" s="10"/>
      <c r="P4559" s="11"/>
      <c r="Q4559" s="12"/>
    </row>
    <row r="4560" spans="1:17">
      <c r="A4560" s="15">
        <v>45210</v>
      </c>
      <c r="B4560" s="8">
        <v>1787.597677069132</v>
      </c>
      <c r="G4560" s="10"/>
      <c r="M4560" s="10"/>
      <c r="P4560" s="11"/>
      <c r="Q4560" s="12"/>
    </row>
    <row r="4561" spans="1:17">
      <c r="A4561" s="15">
        <v>45211</v>
      </c>
      <c r="B4561" s="8">
        <v>1779.8013835093761</v>
      </c>
      <c r="G4561" s="10"/>
      <c r="M4561" s="10"/>
      <c r="P4561" s="11"/>
      <c r="Q4561" s="12"/>
    </row>
    <row r="4562" spans="1:17">
      <c r="A4562" s="15">
        <v>45212</v>
      </c>
      <c r="B4562" s="8">
        <v>1749.7551544795933</v>
      </c>
      <c r="G4562" s="10"/>
      <c r="M4562" s="10"/>
      <c r="P4562" s="11"/>
      <c r="Q4562" s="12"/>
    </row>
    <row r="4563" spans="1:17">
      <c r="A4563" s="15">
        <v>45215</v>
      </c>
      <c r="B4563" s="8">
        <v>1762.2679917163391</v>
      </c>
      <c r="G4563" s="10"/>
      <c r="M4563" s="10"/>
      <c r="P4563" s="11"/>
      <c r="Q4563" s="12"/>
    </row>
    <row r="4564" spans="1:17">
      <c r="A4564" s="15">
        <v>45216</v>
      </c>
      <c r="B4564" s="8">
        <v>1762.1700800076537</v>
      </c>
      <c r="G4564" s="10"/>
      <c r="M4564" s="10"/>
      <c r="P4564" s="11"/>
      <c r="Q4564" s="12"/>
    </row>
    <row r="4565" spans="1:17">
      <c r="A4565" s="15">
        <v>45217</v>
      </c>
      <c r="B4565" s="8">
        <v>1731.5788565197763</v>
      </c>
      <c r="G4565" s="10"/>
      <c r="M4565" s="10"/>
      <c r="P4565" s="11"/>
      <c r="Q4565" s="12"/>
    </row>
    <row r="4566" spans="1:17">
      <c r="A4566" s="15">
        <v>45218</v>
      </c>
      <c r="B4566" s="8">
        <v>1719.4919257407741</v>
      </c>
      <c r="G4566" s="10"/>
      <c r="M4566" s="10"/>
      <c r="P4566" s="11"/>
      <c r="Q4566" s="12"/>
    </row>
    <row r="4567" spans="1:17">
      <c r="A4567" s="15">
        <v>45219</v>
      </c>
      <c r="B4567" s="8">
        <v>1686.5718756857875</v>
      </c>
      <c r="G4567" s="10"/>
      <c r="M4567" s="10"/>
      <c r="P4567" s="11"/>
      <c r="Q4567" s="12"/>
    </row>
    <row r="4568" spans="1:17">
      <c r="A4568" s="15">
        <v>45222</v>
      </c>
      <c r="B4568" s="8">
        <v>1687.5467084780926</v>
      </c>
      <c r="G4568" s="10"/>
      <c r="M4568" s="10"/>
      <c r="P4568" s="11"/>
      <c r="Q4568" s="12"/>
    </row>
    <row r="4569" spans="1:17">
      <c r="A4569" s="15">
        <v>45223</v>
      </c>
      <c r="B4569" s="8">
        <v>1696.9212622881639</v>
      </c>
      <c r="G4569" s="10"/>
      <c r="M4569" s="10"/>
      <c r="P4569" s="11"/>
      <c r="Q4569" s="12"/>
    </row>
    <row r="4570" spans="1:17">
      <c r="A4570" s="15">
        <v>45224</v>
      </c>
      <c r="B4570" s="8">
        <v>1677.4730070935491</v>
      </c>
      <c r="G4570" s="10"/>
      <c r="M4570" s="10"/>
      <c r="P4570" s="11"/>
      <c r="Q4570" s="12"/>
    </row>
    <row r="4571" spans="1:17">
      <c r="A4571" s="15">
        <v>45225</v>
      </c>
      <c r="B4571" s="8">
        <v>1650.7120703690264</v>
      </c>
      <c r="G4571" s="10"/>
      <c r="M4571" s="10"/>
      <c r="P4571" s="11"/>
      <c r="Q4571" s="12"/>
    </row>
    <row r="4572" spans="1:17">
      <c r="A4572" s="15">
        <v>45226</v>
      </c>
      <c r="B4572" s="8">
        <v>1648.4138826205465</v>
      </c>
      <c r="G4572" s="10"/>
      <c r="M4572" s="10"/>
      <c r="P4572" s="11"/>
      <c r="Q4572" s="12"/>
    </row>
    <row r="4573" spans="1:17">
      <c r="A4573" s="15">
        <v>45229</v>
      </c>
      <c r="B4573" s="8">
        <v>1662.329030000845</v>
      </c>
      <c r="G4573" s="10"/>
      <c r="M4573" s="10"/>
      <c r="P4573" s="11"/>
      <c r="Q4573" s="12"/>
    </row>
    <row r="4574" spans="1:17">
      <c r="A4574" s="15">
        <v>45230</v>
      </c>
      <c r="B4574" s="8">
        <v>1680.5628860795925</v>
      </c>
      <c r="G4574" s="10"/>
      <c r="M4574" s="10"/>
      <c r="P4574" s="11"/>
      <c r="Q4574" s="12"/>
    </row>
    <row r="4575" spans="1:17">
      <c r="A4575" s="15">
        <v>45231</v>
      </c>
      <c r="B4575" s="8">
        <v>1694.705263849869</v>
      </c>
      <c r="G4575" s="10"/>
      <c r="M4575" s="10"/>
      <c r="P4575" s="11"/>
      <c r="Q4575" s="12"/>
    </row>
    <row r="4576" spans="1:17">
      <c r="A4576" s="15">
        <v>45232</v>
      </c>
      <c r="B4576" s="8">
        <v>1733.5914113539404</v>
      </c>
      <c r="G4576" s="10"/>
      <c r="M4576" s="10"/>
      <c r="P4576" s="11"/>
      <c r="Q4576" s="12"/>
    </row>
    <row r="4577" spans="1:17">
      <c r="A4577" s="15">
        <v>45233</v>
      </c>
      <c r="B4577" s="8">
        <v>1755.4915455876285</v>
      </c>
      <c r="G4577" s="10"/>
      <c r="M4577" s="10"/>
      <c r="P4577" s="11"/>
      <c r="Q4577" s="12"/>
    </row>
    <row r="4578" spans="1:17">
      <c r="A4578" s="15">
        <v>45236</v>
      </c>
      <c r="B4578" s="8">
        <v>1752.5658921556576</v>
      </c>
      <c r="G4578" s="10"/>
      <c r="M4578" s="10"/>
      <c r="P4578" s="11"/>
      <c r="Q4578" s="12"/>
    </row>
    <row r="4579" spans="1:17">
      <c r="A4579" s="15">
        <v>45237</v>
      </c>
      <c r="B4579" s="8">
        <v>1756.974571855829</v>
      </c>
      <c r="G4579" s="10"/>
      <c r="M4579" s="10"/>
      <c r="P4579" s="11"/>
      <c r="Q4579" s="12"/>
    </row>
    <row r="4580" spans="1:17">
      <c r="A4580" s="15">
        <v>45238</v>
      </c>
      <c r="B4580" s="8">
        <v>1760.8375245025723</v>
      </c>
      <c r="G4580" s="10"/>
      <c r="M4580" s="10"/>
      <c r="P4580" s="11"/>
      <c r="Q4580" s="12"/>
    </row>
    <row r="4581" spans="1:17">
      <c r="A4581" s="15">
        <v>45239</v>
      </c>
      <c r="B4581" s="8">
        <v>1769.1907031071362</v>
      </c>
      <c r="G4581" s="10"/>
      <c r="M4581" s="10"/>
      <c r="P4581" s="11"/>
      <c r="Q4581" s="12"/>
    </row>
    <row r="4582" spans="1:17">
      <c r="A4582" s="15">
        <v>45240</v>
      </c>
      <c r="B4582" s="8">
        <v>1777.3487727237471</v>
      </c>
      <c r="G4582" s="10"/>
      <c r="M4582" s="10"/>
      <c r="P4582" s="11"/>
      <c r="Q4582" s="12"/>
    </row>
    <row r="4583" spans="1:17">
      <c r="A4583" s="15">
        <v>45243</v>
      </c>
      <c r="B4583" s="8">
        <v>1788.9168911755919</v>
      </c>
      <c r="G4583" s="10"/>
      <c r="M4583" s="10"/>
      <c r="P4583" s="11"/>
      <c r="Q4583" s="12"/>
    </row>
    <row r="4584" spans="1:17">
      <c r="A4584" s="15">
        <v>45244</v>
      </c>
      <c r="B4584" s="8">
        <v>1829.6273280954961</v>
      </c>
      <c r="G4584" s="10"/>
      <c r="M4584" s="10"/>
      <c r="P4584" s="11"/>
      <c r="Q4584" s="12"/>
    </row>
    <row r="4585" spans="1:17">
      <c r="A4585" s="15">
        <v>45245</v>
      </c>
      <c r="B4585" s="8">
        <v>1851.0869889297853</v>
      </c>
      <c r="G4585" s="10"/>
      <c r="M4585" s="10"/>
      <c r="P4585" s="11"/>
      <c r="Q4585" s="12"/>
    </row>
    <row r="4586" spans="1:17">
      <c r="A4586" s="15">
        <v>45246</v>
      </c>
      <c r="B4586" s="8">
        <v>1844.9355985036088</v>
      </c>
      <c r="G4586" s="10"/>
      <c r="M4586" s="10"/>
      <c r="P4586" s="11"/>
      <c r="Q4586" s="12"/>
    </row>
    <row r="4587" spans="1:17">
      <c r="A4587" s="15">
        <v>45247</v>
      </c>
      <c r="B4587" s="8">
        <v>1861.3507942176298</v>
      </c>
      <c r="G4587" s="10"/>
      <c r="M4587" s="10"/>
      <c r="P4587" s="11"/>
      <c r="Q4587" s="12"/>
    </row>
    <row r="4588" spans="1:17">
      <c r="A4588" s="15">
        <v>45250</v>
      </c>
      <c r="B4588" s="8">
        <v>1872.9720928571001</v>
      </c>
      <c r="G4588" s="10"/>
      <c r="M4588" s="10"/>
      <c r="P4588" s="11"/>
      <c r="Q4588" s="12"/>
    </row>
    <row r="4589" spans="1:17">
      <c r="A4589" s="15">
        <v>45251</v>
      </c>
      <c r="B4589" s="8">
        <v>1861.7946132502209</v>
      </c>
      <c r="G4589" s="10"/>
      <c r="M4589" s="10"/>
      <c r="P4589" s="11"/>
      <c r="Q4589" s="12"/>
    </row>
    <row r="4590" spans="1:17">
      <c r="A4590" s="15">
        <v>45252</v>
      </c>
      <c r="B4590" s="8">
        <v>1866.4345758580146</v>
      </c>
      <c r="G4590" s="10"/>
      <c r="M4590" s="10"/>
      <c r="P4590" s="11"/>
      <c r="Q4590" s="12"/>
    </row>
    <row r="4591" spans="1:17">
      <c r="A4591" s="15">
        <v>45253</v>
      </c>
      <c r="B4591" s="8">
        <v>1867.7113892714801</v>
      </c>
      <c r="G4591" s="10"/>
      <c r="M4591" s="10"/>
      <c r="P4591" s="11"/>
      <c r="Q4591" s="12"/>
    </row>
    <row r="4592" spans="1:17">
      <c r="A4592" s="15">
        <v>45254</v>
      </c>
      <c r="B4592" s="8">
        <v>1871.6306733221329</v>
      </c>
      <c r="G4592" s="10"/>
      <c r="M4592" s="10"/>
      <c r="P4592" s="11"/>
      <c r="Q4592" s="12"/>
    </row>
    <row r="4593" spans="1:17">
      <c r="A4593" s="15">
        <v>45257</v>
      </c>
      <c r="B4593" s="8">
        <v>1866.0689317087686</v>
      </c>
      <c r="G4593" s="10"/>
      <c r="M4593" s="10"/>
      <c r="P4593" s="11"/>
      <c r="Q4593" s="12"/>
    </row>
    <row r="4594" spans="1:17">
      <c r="A4594" s="15">
        <v>45258</v>
      </c>
      <c r="B4594" s="8">
        <v>1870.9195695942219</v>
      </c>
      <c r="G4594" s="10"/>
      <c r="M4594" s="10"/>
      <c r="P4594" s="11"/>
      <c r="Q4594" s="12"/>
    </row>
    <row r="4595" spans="1:17">
      <c r="A4595" s="15">
        <v>45259</v>
      </c>
      <c r="B4595" s="8">
        <v>1888.6989246233693</v>
      </c>
      <c r="G4595" s="10"/>
      <c r="M4595" s="10"/>
      <c r="P4595" s="11"/>
      <c r="Q4595" s="12"/>
    </row>
    <row r="4596" spans="1:17">
      <c r="A4596" s="15">
        <v>45260</v>
      </c>
      <c r="B4596" s="8">
        <v>1892.3258451219538</v>
      </c>
      <c r="G4596" s="10"/>
      <c r="M4596" s="10"/>
      <c r="P4596" s="11"/>
      <c r="Q4596" s="12"/>
    </row>
    <row r="4597" spans="1:17">
      <c r="A4597" s="15">
        <v>45261</v>
      </c>
      <c r="B4597" s="8">
        <v>1905.7536038744945</v>
      </c>
      <c r="G4597" s="10"/>
      <c r="M4597" s="10"/>
      <c r="P4597" s="11"/>
      <c r="Q4597" s="12"/>
    </row>
    <row r="4598" spans="1:17">
      <c r="A4598" s="15">
        <v>45264</v>
      </c>
      <c r="B4598" s="8">
        <v>1901.5479650492452</v>
      </c>
      <c r="G4598" s="10"/>
      <c r="M4598" s="10"/>
      <c r="P4598" s="11"/>
      <c r="Q4598" s="12"/>
    </row>
    <row r="4599" spans="1:17">
      <c r="A4599" s="15">
        <v>45265</v>
      </c>
      <c r="B4599" s="8">
        <v>1913.0053011981427</v>
      </c>
      <c r="G4599" s="10"/>
      <c r="M4599" s="10"/>
      <c r="P4599" s="11"/>
      <c r="Q4599" s="12"/>
    </row>
    <row r="4600" spans="1:17">
      <c r="A4600" s="15">
        <v>45266</v>
      </c>
      <c r="B4600" s="8">
        <v>1918.236645228149</v>
      </c>
      <c r="G4600" s="10"/>
      <c r="M4600" s="10"/>
      <c r="P4600" s="11"/>
      <c r="Q4600" s="12"/>
    </row>
    <row r="4601" spans="1:17">
      <c r="A4601" s="15">
        <v>45267</v>
      </c>
      <c r="B4601" s="8">
        <v>1922.5258079028604</v>
      </c>
      <c r="G4601" s="10"/>
      <c r="M4601" s="10"/>
      <c r="P4601" s="11"/>
      <c r="Q4601" s="12"/>
    </row>
    <row r="4602" spans="1:17">
      <c r="A4602" s="15">
        <v>45268</v>
      </c>
      <c r="B4602" s="8">
        <v>1939.959077903711</v>
      </c>
      <c r="G4602" s="10"/>
      <c r="M4602" s="10"/>
      <c r="P4602" s="11"/>
      <c r="Q4602" s="12"/>
    </row>
    <row r="4603" spans="1:17">
      <c r="A4603" s="15">
        <v>45271</v>
      </c>
      <c r="B4603" s="8">
        <v>1947.3624298688671</v>
      </c>
      <c r="G4603" s="10"/>
      <c r="M4603" s="10"/>
      <c r="P4603" s="11"/>
      <c r="Q4603" s="12"/>
    </row>
    <row r="4604" spans="1:17">
      <c r="A4604" s="15">
        <v>45272</v>
      </c>
      <c r="B4604" s="8">
        <v>1951.3125748608916</v>
      </c>
      <c r="G4604" s="10"/>
      <c r="M4604" s="10"/>
      <c r="P4604" s="11"/>
      <c r="Q4604" s="12"/>
    </row>
    <row r="4605" spans="1:17">
      <c r="A4605" s="15">
        <v>45273</v>
      </c>
      <c r="B4605" s="8">
        <v>1960.3241597733529</v>
      </c>
      <c r="G4605" s="10"/>
      <c r="M4605" s="10"/>
      <c r="P4605" s="11"/>
      <c r="Q4605" s="12"/>
    </row>
    <row r="4606" spans="1:17">
      <c r="A4606" s="15">
        <v>45274</v>
      </c>
      <c r="B4606" s="8">
        <v>1979.1088309819138</v>
      </c>
      <c r="G4606" s="10"/>
      <c r="M4606" s="10"/>
      <c r="P4606" s="11"/>
      <c r="Q4606" s="12"/>
    </row>
    <row r="4607" spans="1:17">
      <c r="A4607" s="15">
        <v>45275</v>
      </c>
      <c r="B4607" s="8">
        <v>1987.6785341145983</v>
      </c>
      <c r="G4607" s="10"/>
      <c r="M4607" s="10"/>
      <c r="P4607" s="11"/>
      <c r="Q4607" s="12"/>
    </row>
    <row r="4608" spans="1:17">
      <c r="A4608" s="15">
        <v>45278</v>
      </c>
      <c r="B4608" s="8">
        <v>1978.9001107921326</v>
      </c>
      <c r="G4608" s="10"/>
      <c r="M4608" s="10"/>
      <c r="P4608" s="11"/>
      <c r="Q4608" s="12"/>
    </row>
    <row r="4609" spans="1:17">
      <c r="A4609" s="15">
        <v>45279</v>
      </c>
      <c r="B4609" s="8">
        <v>1989.6268663243645</v>
      </c>
      <c r="G4609" s="10"/>
      <c r="M4609" s="10"/>
      <c r="P4609" s="11"/>
      <c r="Q4609" s="12"/>
    </row>
    <row r="4610" spans="1:17">
      <c r="A4610" s="15">
        <v>45280</v>
      </c>
      <c r="B4610" s="8">
        <v>1974.4106771998902</v>
      </c>
      <c r="G4610" s="10"/>
      <c r="M4610" s="10"/>
      <c r="P4610" s="11"/>
      <c r="Q4610" s="12"/>
    </row>
    <row r="4611" spans="1:17">
      <c r="A4611" s="15">
        <v>45281</v>
      </c>
      <c r="B4611" s="8">
        <v>1980.8723488806318</v>
      </c>
      <c r="G4611" s="10"/>
      <c r="M4611" s="10"/>
      <c r="P4611" s="11"/>
      <c r="Q4611" s="12"/>
    </row>
    <row r="4612" spans="1:17">
      <c r="A4612" s="15">
        <v>45282</v>
      </c>
      <c r="B4612" s="8">
        <v>1975.2848937876245</v>
      </c>
      <c r="G4612" s="10"/>
      <c r="M4612" s="10"/>
      <c r="P4612" s="11"/>
      <c r="Q4612" s="12"/>
    </row>
    <row r="4613" spans="1:17">
      <c r="A4613" s="15">
        <v>45285</v>
      </c>
      <c r="B4613" s="8">
        <v>1974.139815755326</v>
      </c>
      <c r="G4613" s="10"/>
      <c r="M4613" s="10"/>
      <c r="P4613" s="11"/>
      <c r="Q4613" s="12"/>
    </row>
    <row r="4614" spans="1:17">
      <c r="A4614" s="15">
        <v>45286</v>
      </c>
      <c r="B4614" s="8">
        <v>1979.3328194486105</v>
      </c>
      <c r="G4614" s="10"/>
      <c r="M4614" s="10"/>
      <c r="P4614" s="11"/>
      <c r="Q4614" s="12"/>
    </row>
    <row r="4615" spans="1:17">
      <c r="A4615" s="15">
        <v>45287</v>
      </c>
      <c r="B4615" s="8">
        <v>1986.5153022398813</v>
      </c>
      <c r="G4615" s="10"/>
      <c r="M4615" s="10"/>
      <c r="P4615" s="11"/>
      <c r="Q4615" s="12"/>
    </row>
    <row r="4616" spans="1:17">
      <c r="A4616" s="15">
        <v>45288</v>
      </c>
      <c r="B4616" s="8">
        <v>1981.7084731860457</v>
      </c>
      <c r="G4616" s="10"/>
      <c r="M4616" s="10"/>
      <c r="P4616" s="11"/>
      <c r="Q4616" s="12"/>
    </row>
    <row r="4617" spans="1:17">
      <c r="A4617" s="15">
        <v>45289</v>
      </c>
      <c r="B4617" s="8">
        <v>1981.1014415533994</v>
      </c>
      <c r="G4617" s="10"/>
      <c r="M4617" s="10"/>
      <c r="P4617" s="11"/>
      <c r="Q4617" s="12"/>
    </row>
    <row r="4618" spans="1:17">
      <c r="A4618" s="15">
        <v>45292</v>
      </c>
      <c r="B4618" s="8">
        <v>1979.9563635211009</v>
      </c>
      <c r="G4618" s="10"/>
      <c r="M4618" s="10"/>
      <c r="P4618" s="11"/>
      <c r="Q4618" s="12"/>
    </row>
    <row r="4619" spans="1:17">
      <c r="A4619" s="15">
        <v>45293</v>
      </c>
      <c r="B4619" s="8">
        <v>1968.1251814615182</v>
      </c>
      <c r="G4619" s="10"/>
      <c r="M4619" s="10"/>
      <c r="P4619" s="11"/>
      <c r="Q4619" s="12"/>
    </row>
    <row r="4620" spans="1:17">
      <c r="A4620" s="15">
        <v>45294</v>
      </c>
      <c r="B4620" s="8">
        <v>1933.8567427062499</v>
      </c>
      <c r="G4620" s="10"/>
      <c r="M4620" s="10"/>
      <c r="P4620" s="11"/>
      <c r="Q4620" s="12"/>
    </row>
    <row r="4621" spans="1:17">
      <c r="A4621" s="15">
        <v>45295</v>
      </c>
      <c r="B4621" s="8">
        <v>1941.4942566911952</v>
      </c>
      <c r="G4621" s="10"/>
      <c r="M4621" s="10"/>
      <c r="P4621" s="11"/>
      <c r="Q4621" s="12"/>
    </row>
    <row r="4622" spans="1:17">
      <c r="A4622" s="15">
        <v>45296</v>
      </c>
      <c r="B4622" s="8">
        <v>1944.0749992567157</v>
      </c>
      <c r="G4622" s="10"/>
      <c r="M4622" s="10"/>
      <c r="P4622" s="11"/>
      <c r="Q4622" s="12"/>
    </row>
    <row r="4623" spans="1:17">
      <c r="A4623" s="15">
        <v>45299</v>
      </c>
      <c r="B4623" s="8">
        <v>1968.7753294313211</v>
      </c>
      <c r="G4623" s="10"/>
      <c r="M4623" s="10"/>
      <c r="P4623" s="11"/>
      <c r="Q4623" s="12"/>
    </row>
    <row r="4624" spans="1:17">
      <c r="A4624" s="15">
        <v>45300</v>
      </c>
      <c r="B4624" s="8">
        <v>1959.341178114064</v>
      </c>
      <c r="G4624" s="10"/>
      <c r="M4624" s="10"/>
      <c r="P4624" s="11"/>
      <c r="Q4624" s="12"/>
    </row>
    <row r="4625" spans="1:17">
      <c r="A4625" s="15">
        <v>45301</v>
      </c>
      <c r="B4625" s="8">
        <v>1964.7093842714387</v>
      </c>
      <c r="G4625" s="10"/>
      <c r="M4625" s="10"/>
      <c r="P4625" s="11"/>
      <c r="Q4625" s="12"/>
    </row>
    <row r="4626" spans="1:17">
      <c r="A4626" s="15">
        <v>45302</v>
      </c>
      <c r="B4626" s="8">
        <v>1955.3525041643106</v>
      </c>
      <c r="G4626" s="10"/>
      <c r="M4626" s="10"/>
      <c r="P4626" s="11"/>
      <c r="Q4626" s="12"/>
    </row>
    <row r="4627" spans="1:17">
      <c r="A4627" s="15">
        <v>45303</v>
      </c>
      <c r="B4627" s="8">
        <v>1962.2403189658758</v>
      </c>
      <c r="G4627" s="10"/>
      <c r="M4627" s="10"/>
      <c r="P4627" s="11"/>
      <c r="Q4627" s="12"/>
    </row>
    <row r="4628" spans="1:17">
      <c r="A4628" s="15">
        <v>45306</v>
      </c>
      <c r="B4628" s="8">
        <v>1954.6898690074515</v>
      </c>
      <c r="G4628" s="10"/>
      <c r="M4628" s="10"/>
      <c r="P4628" s="11"/>
      <c r="Q4628" s="12"/>
    </row>
    <row r="4629" spans="1:17">
      <c r="A4629" s="15">
        <v>45307</v>
      </c>
      <c r="B4629" s="8">
        <v>1949.8156816226324</v>
      </c>
      <c r="G4629" s="10"/>
      <c r="M4629" s="10"/>
      <c r="P4629" s="11"/>
      <c r="Q4629" s="12"/>
    </row>
    <row r="4630" spans="1:17">
      <c r="A4630" s="15">
        <v>45308</v>
      </c>
      <c r="B4630" s="8">
        <v>1931.9690503904294</v>
      </c>
      <c r="G4630" s="10"/>
      <c r="M4630" s="10"/>
      <c r="P4630" s="11"/>
      <c r="Q4630" s="12"/>
    </row>
    <row r="4631" spans="1:17">
      <c r="A4631" s="15">
        <v>45309</v>
      </c>
      <c r="B4631" s="8">
        <v>1956.9952587397743</v>
      </c>
      <c r="G4631" s="10"/>
      <c r="M4631" s="10"/>
      <c r="P4631" s="11"/>
      <c r="Q4631" s="12"/>
    </row>
    <row r="4632" spans="1:17">
      <c r="A4632" s="15">
        <v>45310</v>
      </c>
      <c r="B4632" s="8">
        <v>1971.3560930175076</v>
      </c>
      <c r="G4632" s="10"/>
      <c r="M4632" s="10"/>
      <c r="P4632" s="11"/>
      <c r="Q4632" s="12"/>
    </row>
    <row r="4633" spans="1:17">
      <c r="A4633" s="15">
        <v>45313</v>
      </c>
      <c r="B4633" s="8">
        <v>1984.9065566830789</v>
      </c>
      <c r="G4633" s="10"/>
      <c r="M4633" s="10"/>
      <c r="P4633" s="11"/>
      <c r="Q4633" s="12"/>
    </row>
    <row r="4634" spans="1:17">
      <c r="A4634" s="15">
        <v>45314</v>
      </c>
      <c r="B4634" s="8">
        <v>1986.4861290244794</v>
      </c>
      <c r="G4634" s="10"/>
      <c r="M4634" s="10"/>
      <c r="P4634" s="11"/>
      <c r="Q4634" s="12"/>
    </row>
    <row r="4635" spans="1:17">
      <c r="A4635" s="15">
        <v>45315</v>
      </c>
      <c r="B4635" s="8">
        <v>2014.3932895717544</v>
      </c>
      <c r="G4635" s="10"/>
      <c r="M4635" s="10"/>
      <c r="P4635" s="11"/>
      <c r="Q4635" s="12"/>
    </row>
    <row r="4636" spans="1:17">
      <c r="A4636" s="15">
        <v>45316</v>
      </c>
      <c r="B4636" s="8">
        <v>2015.3230062507923</v>
      </c>
      <c r="G4636" s="10"/>
      <c r="M4636" s="10"/>
      <c r="P4636" s="11"/>
      <c r="Q4636" s="12"/>
    </row>
    <row r="4637" spans="1:17">
      <c r="A4637" s="15">
        <v>45317</v>
      </c>
      <c r="B4637" s="8">
        <v>2023.9741234742278</v>
      </c>
      <c r="G4637" s="10"/>
      <c r="M4637" s="10"/>
      <c r="P4637" s="11"/>
      <c r="Q4637" s="12"/>
    </row>
    <row r="4638" spans="1:17">
      <c r="A4638" s="15">
        <v>45320</v>
      </c>
      <c r="B4638" s="8">
        <v>2030.1000036601056</v>
      </c>
      <c r="G4638" s="10"/>
      <c r="M4638" s="10"/>
      <c r="P4638" s="11"/>
      <c r="Q4638" s="12"/>
    </row>
    <row r="4639" spans="1:17">
      <c r="A4639" s="15">
        <v>45321</v>
      </c>
      <c r="B4639" s="8">
        <v>2047.7837874438128</v>
      </c>
      <c r="G4639" s="10"/>
      <c r="M4639" s="10"/>
      <c r="P4639" s="11"/>
      <c r="Q4639" s="12"/>
    </row>
    <row r="4640" spans="1:17">
      <c r="A4640" s="15">
        <v>45322</v>
      </c>
      <c r="B4640" s="8">
        <v>2034.2664346567112</v>
      </c>
      <c r="G4640" s="10"/>
      <c r="M4640" s="10"/>
      <c r="P4640" s="11"/>
      <c r="Q4640" s="12"/>
    </row>
    <row r="4641" spans="1:17">
      <c r="A4641" s="15">
        <v>45323</v>
      </c>
      <c r="B4641" s="8">
        <v>2023.5299772227941</v>
      </c>
      <c r="G4641" s="10"/>
      <c r="M4641" s="10"/>
      <c r="P4641" s="11"/>
      <c r="Q4641" s="12"/>
    </row>
    <row r="4642" spans="1:17">
      <c r="A4642" s="15">
        <v>45324</v>
      </c>
      <c r="B4642" s="8">
        <v>2035.5222609979553</v>
      </c>
      <c r="G4642" s="10"/>
      <c r="M4642" s="10"/>
      <c r="P4642" s="11"/>
      <c r="Q4642" s="12"/>
    </row>
    <row r="4643" spans="1:17">
      <c r="A4643" s="15">
        <v>45327</v>
      </c>
      <c r="B4643" s="8">
        <v>2034.6175836966347</v>
      </c>
      <c r="G4643" s="10"/>
      <c r="M4643" s="10"/>
      <c r="P4643" s="11"/>
      <c r="Q4643" s="12"/>
    </row>
    <row r="4644" spans="1:17">
      <c r="A4644" s="15">
        <v>45328</v>
      </c>
      <c r="B4644" s="8">
        <v>2036.9366960316697</v>
      </c>
      <c r="G4644" s="10"/>
      <c r="M4644" s="10"/>
      <c r="P4644" s="11"/>
      <c r="Q4644" s="12"/>
    </row>
    <row r="4645" spans="1:17">
      <c r="A4645" s="15">
        <v>45329</v>
      </c>
      <c r="B4645" s="8">
        <v>2047.1491037230558</v>
      </c>
      <c r="G4645" s="10"/>
      <c r="M4645" s="10"/>
      <c r="P4645" s="11"/>
      <c r="Q4645" s="12"/>
    </row>
    <row r="4646" spans="1:17">
      <c r="A4646" s="15">
        <v>45330</v>
      </c>
      <c r="B4646" s="8">
        <v>2056.1893254861639</v>
      </c>
      <c r="G4646" s="10"/>
      <c r="M4646" s="10"/>
      <c r="P4646" s="11"/>
      <c r="Q4646" s="12"/>
    </row>
    <row r="4647" spans="1:17">
      <c r="A4647" s="15">
        <v>45331</v>
      </c>
      <c r="B4647" s="8">
        <v>2066.3673639288036</v>
      </c>
      <c r="G4647" s="10"/>
      <c r="M4647" s="10"/>
      <c r="P4647" s="11"/>
      <c r="Q4647" s="12"/>
    </row>
    <row r="4648" spans="1:17">
      <c r="A4648" s="15">
        <v>45334</v>
      </c>
      <c r="B4648" s="8">
        <v>2073.7186923021313</v>
      </c>
      <c r="G4648" s="10"/>
      <c r="M4648" s="10"/>
      <c r="P4648" s="11"/>
      <c r="Q4648" s="12"/>
    </row>
    <row r="4649" spans="1:17">
      <c r="A4649" s="15">
        <v>45335</v>
      </c>
      <c r="B4649" s="8">
        <v>2041.7056540389308</v>
      </c>
      <c r="G4649" s="10"/>
      <c r="M4649" s="10"/>
      <c r="P4649" s="11"/>
      <c r="Q4649" s="12"/>
    </row>
    <row r="4650" spans="1:17">
      <c r="A4650" s="15">
        <v>45336</v>
      </c>
      <c r="B4650" s="8">
        <v>2056.3991116750121</v>
      </c>
      <c r="G4650" s="10"/>
      <c r="M4650" s="10"/>
      <c r="P4650" s="11"/>
      <c r="Q4650" s="12"/>
    </row>
    <row r="4651" spans="1:17">
      <c r="A4651" s="15">
        <v>45337</v>
      </c>
      <c r="B4651" s="8">
        <v>2071.4396172052284</v>
      </c>
      <c r="G4651" s="10"/>
      <c r="M4651" s="10"/>
      <c r="P4651" s="11"/>
      <c r="Q4651" s="12"/>
    </row>
    <row r="4652" spans="1:17">
      <c r="A4652" s="15">
        <v>45338</v>
      </c>
      <c r="B4652" s="8">
        <v>2067.0705953317665</v>
      </c>
      <c r="G4652" s="10"/>
      <c r="M4652" s="10"/>
      <c r="P4652" s="11"/>
      <c r="Q4652" s="12"/>
    </row>
    <row r="4653" spans="1:17">
      <c r="A4653" s="15">
        <v>45341</v>
      </c>
      <c r="B4653" s="8">
        <v>2064.7039420591623</v>
      </c>
      <c r="G4653" s="10"/>
      <c r="M4653" s="10"/>
      <c r="P4653" s="11"/>
      <c r="Q4653" s="12"/>
    </row>
    <row r="4654" spans="1:17">
      <c r="A4654" s="15">
        <v>45342</v>
      </c>
      <c r="B4654" s="8">
        <v>2052.0510498083504</v>
      </c>
      <c r="G4654" s="10"/>
      <c r="M4654" s="10"/>
      <c r="P4654" s="11"/>
      <c r="Q4654" s="12"/>
    </row>
    <row r="4655" spans="1:17">
      <c r="A4655" s="15">
        <v>45343</v>
      </c>
      <c r="B4655" s="8">
        <v>2043.2122495572357</v>
      </c>
      <c r="G4655" s="10"/>
      <c r="M4655" s="10"/>
      <c r="P4655" s="11"/>
      <c r="Q4655" s="12"/>
    </row>
    <row r="4656" spans="1:17">
      <c r="A4656" s="15">
        <v>45344</v>
      </c>
      <c r="B4656" s="8">
        <v>2083.457161513491</v>
      </c>
      <c r="G4656" s="10"/>
      <c r="M4656" s="10"/>
      <c r="P4656" s="11"/>
      <c r="Q4656" s="12"/>
    </row>
    <row r="4657" spans="1:17">
      <c r="A4657" s="15">
        <v>45345</v>
      </c>
      <c r="B4657" s="8">
        <v>2086.3073600044831</v>
      </c>
      <c r="G4657" s="10"/>
      <c r="M4657" s="10"/>
      <c r="P4657" s="11"/>
      <c r="Q4657" s="12"/>
    </row>
    <row r="4658" spans="1:17">
      <c r="A4658" s="15">
        <v>45348</v>
      </c>
      <c r="B4658" s="8">
        <v>2090.9112536385933</v>
      </c>
      <c r="G4658" s="10"/>
      <c r="M4658" s="10"/>
      <c r="P4658" s="11"/>
      <c r="Q4658" s="12"/>
    </row>
    <row r="4659" spans="1:17">
      <c r="A4659" s="15">
        <v>45349</v>
      </c>
      <c r="B4659" s="8">
        <v>2097.8002009247257</v>
      </c>
      <c r="G4659" s="10"/>
      <c r="M4659" s="10"/>
      <c r="P4659" s="11"/>
      <c r="Q4659" s="12"/>
    </row>
    <row r="4660" spans="1:17">
      <c r="A4660" s="15">
        <v>45350</v>
      </c>
      <c r="B4660" s="8">
        <v>2094.6546878996328</v>
      </c>
      <c r="G4660" s="10"/>
      <c r="M4660" s="10"/>
      <c r="P4660" s="11"/>
      <c r="Q4660" s="12"/>
    </row>
    <row r="4661" spans="1:17">
      <c r="A4661" s="15">
        <v>45351</v>
      </c>
      <c r="B4661" s="8">
        <v>2103.0910011119527</v>
      </c>
      <c r="G4661" s="10"/>
      <c r="M4661" s="10"/>
      <c r="P4661" s="11"/>
      <c r="Q4661" s="12"/>
    </row>
    <row r="4662" spans="1:17">
      <c r="A4662" s="15">
        <v>45352</v>
      </c>
      <c r="B4662" s="8">
        <v>2119.863506740483</v>
      </c>
      <c r="G4662" s="10"/>
      <c r="M4662" s="10"/>
      <c r="P4662" s="11"/>
      <c r="Q4662" s="12"/>
    </row>
    <row r="4663" spans="1:17">
      <c r="A4663" s="15">
        <v>45355</v>
      </c>
      <c r="B4663" s="8">
        <v>2119.755009840761</v>
      </c>
      <c r="G4663" s="10"/>
      <c r="M4663" s="10"/>
      <c r="P4663" s="11"/>
      <c r="Q4663" s="12"/>
    </row>
    <row r="4664" spans="1:17">
      <c r="A4664" s="15">
        <v>45356</v>
      </c>
      <c r="B4664" s="8">
        <v>2098.2804135109996</v>
      </c>
      <c r="G4664" s="10"/>
      <c r="M4664" s="10"/>
      <c r="P4664" s="11"/>
      <c r="Q4664" s="12"/>
    </row>
    <row r="4665" spans="1:17">
      <c r="A4665" s="15">
        <v>45357</v>
      </c>
      <c r="B4665" s="8">
        <v>2112.4510211012307</v>
      </c>
      <c r="G4665" s="10"/>
      <c r="M4665" s="10"/>
      <c r="P4665" s="11"/>
      <c r="Q4665" s="12"/>
    </row>
    <row r="4666" spans="1:17">
      <c r="A4666" s="15">
        <v>45358</v>
      </c>
      <c r="B4666" s="8">
        <v>2138.8435988032497</v>
      </c>
      <c r="G4666" s="10"/>
      <c r="M4666" s="10"/>
      <c r="P4666" s="11"/>
      <c r="Q4666" s="12"/>
    </row>
    <row r="4667" spans="1:17">
      <c r="A4667" s="15">
        <v>45359</v>
      </c>
      <c r="B4667" s="8">
        <v>2122.1258558374593</v>
      </c>
      <c r="G4667" s="10"/>
      <c r="M4667" s="10"/>
      <c r="P4667" s="11"/>
      <c r="Q4667" s="12"/>
    </row>
    <row r="4668" spans="1:17">
      <c r="A4668" s="15">
        <v>45362</v>
      </c>
      <c r="B4668" s="8">
        <v>2116.9586875333316</v>
      </c>
      <c r="G4668" s="10"/>
      <c r="M4668" s="10"/>
      <c r="P4668" s="11"/>
      <c r="Q4668" s="12"/>
    </row>
    <row r="4669" spans="1:17">
      <c r="A4669" s="15">
        <v>45363</v>
      </c>
      <c r="B4669" s="8">
        <v>2152.0344168545821</v>
      </c>
      <c r="G4669" s="10"/>
      <c r="M4669" s="10"/>
      <c r="P4669" s="11"/>
      <c r="Q4669" s="12"/>
    </row>
    <row r="4670" spans="1:17">
      <c r="A4670" s="15">
        <v>45364</v>
      </c>
      <c r="B4670" s="8">
        <v>2155.4564951917046</v>
      </c>
      <c r="G4670" s="10"/>
      <c r="M4670" s="10"/>
      <c r="P4670" s="11"/>
      <c r="Q4670" s="12"/>
    </row>
    <row r="4671" spans="1:17">
      <c r="A4671" s="15">
        <v>45365</v>
      </c>
      <c r="B4671" s="8">
        <v>2142.6813782645386</v>
      </c>
      <c r="G4671" s="10"/>
      <c r="M4671" s="10"/>
      <c r="P4671" s="11"/>
      <c r="Q4671" s="12"/>
    </row>
    <row r="4672" spans="1:17">
      <c r="A4672" s="15">
        <v>45366</v>
      </c>
      <c r="B4672" s="8">
        <v>2129.7267108515762</v>
      </c>
      <c r="G4672" s="10"/>
      <c r="M4672" s="10"/>
      <c r="P4672" s="11"/>
      <c r="Q4672" s="12"/>
    </row>
    <row r="4673" spans="1:17">
      <c r="A4673" s="15">
        <v>45369</v>
      </c>
      <c r="B4673" s="8">
        <v>2144.857695017909</v>
      </c>
      <c r="G4673" s="10"/>
      <c r="M4673" s="10"/>
      <c r="P4673" s="11"/>
      <c r="Q4673" s="12"/>
    </row>
    <row r="4674" spans="1:17">
      <c r="A4674" s="15">
        <v>45370</v>
      </c>
      <c r="B4674" s="8">
        <v>2150.0956744993177</v>
      </c>
      <c r="G4674" s="10"/>
      <c r="M4674" s="10"/>
      <c r="P4674" s="11"/>
      <c r="Q4674" s="12"/>
    </row>
    <row r="4675" spans="1:17">
      <c r="A4675" s="15">
        <v>45371</v>
      </c>
      <c r="B4675" s="8">
        <v>2164.591246104882</v>
      </c>
      <c r="G4675" s="10"/>
      <c r="M4675" s="10"/>
      <c r="P4675" s="11"/>
      <c r="Q4675" s="12"/>
    </row>
    <row r="4676" spans="1:17">
      <c r="A4676" s="15">
        <v>45372</v>
      </c>
      <c r="B4676" s="8">
        <v>2193.8390386423098</v>
      </c>
      <c r="G4676" s="10"/>
      <c r="M4676" s="10"/>
      <c r="P4676" s="11"/>
      <c r="Q4676" s="12"/>
    </row>
    <row r="4677" spans="1:17">
      <c r="A4677" s="15">
        <v>45373</v>
      </c>
      <c r="B4677" s="8">
        <v>2190.106754771959</v>
      </c>
      <c r="G4677" s="10"/>
      <c r="M4677" s="10"/>
      <c r="P4677" s="11"/>
      <c r="Q4677" s="12"/>
    </row>
    <row r="4678" spans="1:17">
      <c r="A4678" s="15">
        <v>45376</v>
      </c>
      <c r="B4678" s="8">
        <v>2183.4633596096605</v>
      </c>
      <c r="G4678" s="10"/>
      <c r="M4678" s="10"/>
      <c r="P4678" s="11"/>
      <c r="Q4678" s="12"/>
    </row>
    <row r="4679" spans="1:17">
      <c r="A4679" s="15">
        <v>45377</v>
      </c>
      <c r="B4679" s="8">
        <v>2190.3366504871769</v>
      </c>
      <c r="G4679" s="10"/>
      <c r="M4679" s="10"/>
      <c r="P4679" s="11"/>
      <c r="Q4679" s="12"/>
    </row>
    <row r="4680" spans="1:17">
      <c r="A4680" s="15">
        <v>45378</v>
      </c>
      <c r="B4680" s="8">
        <v>2196.4064658152597</v>
      </c>
      <c r="G4680" s="10"/>
      <c r="M4680" s="10"/>
      <c r="P4680" s="11"/>
      <c r="Q4680" s="12"/>
    </row>
    <row r="4681" spans="1:17">
      <c r="A4681" s="15">
        <v>45379</v>
      </c>
      <c r="B4681" s="8">
        <v>2207.0274082388687</v>
      </c>
      <c r="G4681" s="10"/>
      <c r="M4681" s="10"/>
      <c r="P4681" s="11"/>
      <c r="Q4681" s="12"/>
    </row>
    <row r="4682" spans="1:17">
      <c r="A4682" s="15">
        <v>45380</v>
      </c>
      <c r="B4682" s="8">
        <v>2206.6457155614348</v>
      </c>
      <c r="G4682" s="10"/>
      <c r="M4682" s="10"/>
      <c r="P4682" s="11"/>
      <c r="Q4682" s="12"/>
    </row>
    <row r="4683" spans="1:17">
      <c r="A4683" s="15">
        <v>45383</v>
      </c>
      <c r="B4683" s="8">
        <v>2200.1270920068532</v>
      </c>
      <c r="G4683" s="10"/>
      <c r="M4683" s="10"/>
      <c r="P4683" s="11"/>
      <c r="Q4683" s="12"/>
    </row>
    <row r="4684" spans="1:17">
      <c r="A4684" s="15">
        <v>45384</v>
      </c>
      <c r="B4684" s="8">
        <v>2180.7512289840229</v>
      </c>
      <c r="G4684" s="10"/>
      <c r="M4684" s="10"/>
      <c r="P4684" s="11"/>
      <c r="Q4684" s="12"/>
    </row>
    <row r="4685" spans="1:17">
      <c r="A4685" s="15">
        <v>45385</v>
      </c>
      <c r="B4685" s="8">
        <v>2195.3374670948269</v>
      </c>
      <c r="G4685" s="10"/>
      <c r="M4685" s="10"/>
      <c r="P4685" s="11"/>
      <c r="Q4685" s="12"/>
    </row>
    <row r="4686" spans="1:17">
      <c r="A4686" s="15">
        <v>45386</v>
      </c>
      <c r="B4686" s="8">
        <v>2189.3669796968761</v>
      </c>
      <c r="G4686" s="10"/>
      <c r="M4686" s="10"/>
      <c r="P4686" s="11"/>
      <c r="Q4686" s="12"/>
    </row>
    <row r="4687" spans="1:17">
      <c r="A4687" s="15">
        <v>45387</v>
      </c>
      <c r="B4687" s="8">
        <v>2186.9362173119684</v>
      </c>
      <c r="G4687" s="10"/>
      <c r="M4687" s="10"/>
      <c r="P4687" s="11"/>
      <c r="Q4687" s="12"/>
    </row>
    <row r="4688" spans="1:17">
      <c r="A4688" s="15">
        <v>45390</v>
      </c>
      <c r="B4688" s="8">
        <v>2202.7861862753339</v>
      </c>
      <c r="G4688" s="10"/>
      <c r="M4688" s="10"/>
      <c r="P4688" s="11"/>
      <c r="Q4688" s="12"/>
    </row>
    <row r="4689" spans="1:17">
      <c r="A4689" s="15">
        <v>45391</v>
      </c>
      <c r="B4689" s="8">
        <v>2191.9860692207794</v>
      </c>
      <c r="G4689" s="10"/>
      <c r="M4689" s="10"/>
      <c r="P4689" s="11"/>
      <c r="Q4689" s="12"/>
    </row>
    <row r="4690" spans="1:17">
      <c r="A4690" s="15">
        <v>45392</v>
      </c>
      <c r="B4690" s="8">
        <v>2178.4375751499028</v>
      </c>
      <c r="G4690" s="10"/>
      <c r="M4690" s="10"/>
      <c r="P4690" s="11"/>
      <c r="Q4690" s="12"/>
    </row>
    <row r="4691" spans="1:17">
      <c r="A4691" s="15">
        <v>45393</v>
      </c>
      <c r="B4691" s="8">
        <v>2172.0264534364701</v>
      </c>
      <c r="G4691" s="10"/>
      <c r="M4691" s="10"/>
      <c r="P4691" s="11"/>
      <c r="Q4691" s="12"/>
    </row>
    <row r="4692" spans="1:17">
      <c r="A4692" s="15">
        <v>45394</v>
      </c>
      <c r="B4692" s="8">
        <v>2143.4772238422606</v>
      </c>
      <c r="G4692" s="10"/>
      <c r="M4692" s="10"/>
      <c r="P4692" s="11"/>
      <c r="Q4692" s="12"/>
    </row>
    <row r="4693" spans="1:17">
      <c r="A4693" s="15">
        <v>45397</v>
      </c>
      <c r="B4693" s="8">
        <v>2129.9535445686661</v>
      </c>
      <c r="G4693" s="10"/>
      <c r="M4693" s="10"/>
      <c r="P4693" s="11"/>
      <c r="Q4693" s="12"/>
    </row>
    <row r="4694" spans="1:17">
      <c r="A4694" s="15">
        <v>45398</v>
      </c>
      <c r="B4694" s="8">
        <v>2107.7747757625516</v>
      </c>
      <c r="G4694" s="10"/>
      <c r="M4694" s="10"/>
      <c r="P4694" s="11"/>
      <c r="Q4694" s="12"/>
    </row>
    <row r="4695" spans="1:17">
      <c r="A4695" s="15">
        <v>45399</v>
      </c>
      <c r="B4695" s="8">
        <v>2105.3293223884543</v>
      </c>
      <c r="G4695" s="10"/>
      <c r="M4695" s="10"/>
      <c r="P4695" s="11"/>
      <c r="Q4695" s="12"/>
    </row>
    <row r="4696" spans="1:17">
      <c r="A4696" s="15">
        <v>45400</v>
      </c>
      <c r="B4696" s="8">
        <v>2114.3798878325842</v>
      </c>
      <c r="G4696" s="10"/>
      <c r="M4696" s="10"/>
      <c r="P4696" s="11"/>
      <c r="Q4696" s="12"/>
    </row>
    <row r="4697" spans="1:17">
      <c r="A4697" s="15">
        <v>45401</v>
      </c>
      <c r="B4697" s="8">
        <v>2091.9251591511265</v>
      </c>
      <c r="G4697" s="10"/>
      <c r="M4697" s="10"/>
      <c r="P4697" s="11"/>
      <c r="Q4697" s="12"/>
    </row>
    <row r="4698" spans="1:17">
      <c r="A4698" s="15">
        <v>45404</v>
      </c>
      <c r="B4698" s="8">
        <v>2110.558688454631</v>
      </c>
      <c r="G4698" s="10"/>
      <c r="M4698" s="10"/>
      <c r="P4698" s="11"/>
      <c r="Q4698" s="12"/>
    </row>
    <row r="4699" spans="1:17">
      <c r="A4699" s="15">
        <v>45405</v>
      </c>
      <c r="B4699" s="8">
        <v>2147.163974413244</v>
      </c>
      <c r="G4699" s="10"/>
      <c r="M4699" s="10"/>
      <c r="P4699" s="11"/>
      <c r="Q4699" s="12"/>
    </row>
    <row r="4700" spans="1:17">
      <c r="A4700" s="15">
        <v>45406</v>
      </c>
      <c r="B4700" s="8">
        <v>2155.4149969009454</v>
      </c>
      <c r="G4700" s="10"/>
      <c r="M4700" s="10"/>
      <c r="P4700" s="11"/>
      <c r="Q4700" s="12"/>
    </row>
    <row r="4701" spans="1:17">
      <c r="A4701" s="15">
        <v>45407</v>
      </c>
      <c r="B4701" s="8">
        <v>2148.8737047562745</v>
      </c>
      <c r="G4701" s="10"/>
      <c r="M4701" s="10"/>
      <c r="P4701" s="11"/>
      <c r="Q4701" s="12"/>
    </row>
    <row r="4702" spans="1:17">
      <c r="A4702" s="15">
        <v>45408</v>
      </c>
      <c r="B4702" s="8">
        <v>2181.3759807929123</v>
      </c>
      <c r="G4702" s="10"/>
      <c r="M4702" s="10"/>
      <c r="P4702" s="11"/>
      <c r="Q4702" s="12"/>
    </row>
    <row r="4703" spans="1:17">
      <c r="A4703" s="15">
        <v>45411</v>
      </c>
      <c r="B4703" s="8">
        <v>2186.7987551576907</v>
      </c>
      <c r="G4703" s="10"/>
      <c r="M4703" s="10"/>
      <c r="P4703" s="11"/>
      <c r="Q4703" s="12"/>
    </row>
    <row r="4704" spans="1:17">
      <c r="A4704" s="15">
        <v>45412</v>
      </c>
      <c r="B4704" s="8">
        <v>2153.9943274925722</v>
      </c>
      <c r="G4704" s="10"/>
      <c r="M4704" s="10"/>
      <c r="P4704" s="11"/>
      <c r="Q4704" s="12"/>
    </row>
    <row r="4705" spans="1:17">
      <c r="A4705" s="15">
        <v>45413</v>
      </c>
      <c r="B4705" s="8">
        <v>2147.2674458244774</v>
      </c>
      <c r="G4705" s="10"/>
      <c r="M4705" s="10"/>
      <c r="P4705" s="11"/>
      <c r="Q4705" s="12"/>
    </row>
    <row r="4706" spans="1:17">
      <c r="A4706" s="15">
        <v>45414</v>
      </c>
      <c r="B4706" s="8">
        <v>2161.6116339206997</v>
      </c>
      <c r="G4706" s="10"/>
      <c r="M4706" s="10"/>
      <c r="P4706" s="11"/>
      <c r="Q4706" s="12"/>
    </row>
    <row r="4707" spans="1:17">
      <c r="A4707" s="15">
        <v>45415</v>
      </c>
      <c r="B4707" s="8">
        <v>2178.4747589191879</v>
      </c>
      <c r="G4707" s="10"/>
      <c r="M4707" s="10"/>
      <c r="P4707" s="11"/>
      <c r="Q4707" s="12"/>
    </row>
    <row r="4708" spans="1:17">
      <c r="A4708" s="15">
        <v>45418</v>
      </c>
      <c r="B4708" s="8">
        <v>2200.0124097007529</v>
      </c>
      <c r="G4708" s="10"/>
      <c r="M4708" s="10"/>
      <c r="P4708" s="11"/>
      <c r="Q4708" s="12"/>
    </row>
    <row r="4709" spans="1:17">
      <c r="A4709" s="15">
        <v>45419</v>
      </c>
      <c r="B4709" s="8">
        <v>2219.3266362859526</v>
      </c>
      <c r="G4709" s="10"/>
      <c r="M4709" s="10"/>
      <c r="P4709" s="11"/>
      <c r="Q4709" s="12"/>
    </row>
    <row r="4710" spans="1:17">
      <c r="A4710" s="15">
        <v>45420</v>
      </c>
      <c r="B4710" s="8">
        <v>2234.7020879057086</v>
      </c>
      <c r="G4710" s="10"/>
      <c r="M4710" s="10"/>
      <c r="P4710" s="11"/>
      <c r="Q4710" s="12"/>
    </row>
    <row r="4711" spans="1:17">
      <c r="A4711" s="15">
        <v>45421</v>
      </c>
      <c r="B4711" s="8">
        <v>2244.0546072918764</v>
      </c>
      <c r="G4711" s="10"/>
      <c r="M4711" s="10"/>
      <c r="P4711" s="11"/>
      <c r="Q4711" s="12"/>
    </row>
    <row r="4712" spans="1:17">
      <c r="A4712" s="15">
        <v>45422</v>
      </c>
      <c r="B4712" s="8">
        <v>2263.708469592078</v>
      </c>
      <c r="G4712" s="10"/>
      <c r="M4712" s="10"/>
      <c r="P4712" s="11"/>
      <c r="Q4712" s="12"/>
    </row>
    <row r="4713" spans="1:17">
      <c r="A4713" s="15">
        <v>45425</v>
      </c>
      <c r="B4713" s="8">
        <v>2263.677478138397</v>
      </c>
      <c r="G4713" s="10"/>
      <c r="M4713" s="10"/>
      <c r="P4713" s="11"/>
      <c r="Q4713" s="12"/>
    </row>
    <row r="4714" spans="1:17">
      <c r="A4714" s="15">
        <v>45426</v>
      </c>
      <c r="B4714" s="8">
        <v>2277.8861850234516</v>
      </c>
      <c r="G4714" s="10"/>
      <c r="M4714" s="10"/>
      <c r="P4714" s="11"/>
      <c r="Q4714" s="12"/>
    </row>
    <row r="4715" spans="1:17">
      <c r="A4715" s="15">
        <v>45427</v>
      </c>
      <c r="B4715" s="8">
        <v>2310.3903587943469</v>
      </c>
      <c r="G4715" s="10"/>
      <c r="M4715" s="10"/>
      <c r="P4715" s="11"/>
      <c r="Q4715" s="12"/>
    </row>
    <row r="4716" spans="1:17">
      <c r="A4716" s="15">
        <v>45428</v>
      </c>
      <c r="B4716" s="8">
        <v>2294.0127179000342</v>
      </c>
      <c r="G4716" s="10"/>
      <c r="M4716" s="10"/>
      <c r="P4716" s="11"/>
      <c r="Q4716" s="12"/>
    </row>
    <row r="4717" spans="1:17">
      <c r="A4717" s="15">
        <v>45429</v>
      </c>
      <c r="B4717" s="8">
        <v>2293.2392975322323</v>
      </c>
      <c r="G4717" s="10"/>
      <c r="M4717" s="10"/>
      <c r="P4717" s="11"/>
      <c r="Q4717" s="12"/>
    </row>
    <row r="4718" spans="1:17">
      <c r="A4718" s="15">
        <v>45432</v>
      </c>
      <c r="B4718" s="8">
        <v>2295.3596694116927</v>
      </c>
      <c r="G4718" s="10"/>
      <c r="M4718" s="10"/>
      <c r="P4718" s="11"/>
      <c r="Q4718" s="12"/>
    </row>
    <row r="4719" spans="1:17">
      <c r="A4719" s="15">
        <v>45433</v>
      </c>
      <c r="B4719" s="8">
        <v>2295.1235270111206</v>
      </c>
      <c r="G4719" s="10"/>
      <c r="M4719" s="10"/>
      <c r="P4719" s="11"/>
      <c r="Q4719" s="12"/>
    </row>
    <row r="4720" spans="1:17">
      <c r="A4720" s="15">
        <v>45434</v>
      </c>
      <c r="B4720" s="8">
        <v>2289.6192019058549</v>
      </c>
      <c r="G4720" s="10"/>
      <c r="M4720" s="10"/>
      <c r="P4720" s="11"/>
      <c r="Q4720" s="12"/>
    </row>
    <row r="4721" spans="1:17">
      <c r="A4721" s="15">
        <v>45435</v>
      </c>
      <c r="B4721" s="8">
        <v>2286.4266890489994</v>
      </c>
      <c r="G4721" s="10"/>
      <c r="M4721" s="10"/>
      <c r="P4721" s="11"/>
      <c r="Q4721" s="12"/>
    </row>
    <row r="4722" spans="1:17">
      <c r="A4722" s="15">
        <v>45436</v>
      </c>
      <c r="B4722" s="8">
        <v>2294.5118747167689</v>
      </c>
      <c r="G4722" s="10"/>
      <c r="M4722" s="10"/>
      <c r="P4722" s="11"/>
      <c r="Q4722" s="12"/>
    </row>
    <row r="4723" spans="1:17">
      <c r="A4723" s="15">
        <v>45439</v>
      </c>
      <c r="B4723" s="8">
        <v>2298.0852113131004</v>
      </c>
      <c r="G4723" s="10"/>
      <c r="M4723" s="10"/>
      <c r="P4723" s="11"/>
      <c r="Q4723" s="12"/>
    </row>
    <row r="4724" spans="1:17">
      <c r="A4724" s="15">
        <v>45440</v>
      </c>
      <c r="B4724" s="8">
        <v>2296.0071982988829</v>
      </c>
      <c r="G4724" s="10"/>
      <c r="M4724" s="10"/>
      <c r="P4724" s="11"/>
      <c r="Q4724" s="12"/>
    </row>
    <row r="4725" spans="1:17">
      <c r="A4725" s="15">
        <v>45441</v>
      </c>
      <c r="B4725" s="8">
        <v>2267.9694986774684</v>
      </c>
      <c r="G4725" s="10"/>
      <c r="M4725" s="10"/>
      <c r="P4725" s="11"/>
      <c r="Q4725" s="12"/>
    </row>
    <row r="4726" spans="1:17">
      <c r="A4726" s="15">
        <v>45442</v>
      </c>
      <c r="B4726" s="8">
        <v>2260.95470369336</v>
      </c>
      <c r="G4726" s="10"/>
      <c r="M4726" s="10"/>
      <c r="P4726" s="11"/>
      <c r="Q4726" s="12"/>
    </row>
    <row r="4727" spans="1:17">
      <c r="A4727" s="15">
        <v>45443</v>
      </c>
      <c r="B4727" s="8">
        <v>2260.4087961037276</v>
      </c>
      <c r="G4727" s="10"/>
      <c r="M4727" s="10"/>
      <c r="P4727" s="11"/>
      <c r="Q4727" s="12"/>
    </row>
    <row r="4728" spans="1:17">
      <c r="A4728" s="15">
        <v>45446</v>
      </c>
      <c r="B4728" s="8">
        <v>2259.933851180394</v>
      </c>
      <c r="G4728" s="10"/>
      <c r="M4728" s="10"/>
      <c r="P4728" s="11"/>
      <c r="Q4728" s="12"/>
    </row>
    <row r="4729" spans="1:17">
      <c r="A4729" s="15">
        <v>45447</v>
      </c>
      <c r="B4729" s="8">
        <v>2239.9325645772492</v>
      </c>
      <c r="G4729" s="10"/>
      <c r="M4729" s="10"/>
      <c r="P4729" s="11"/>
      <c r="Q4729" s="12"/>
    </row>
    <row r="4730" spans="1:17">
      <c r="A4730" s="15">
        <v>45448</v>
      </c>
      <c r="B4730" s="8">
        <v>2267.3396609028478</v>
      </c>
      <c r="G4730" s="10"/>
      <c r="M4730" s="10"/>
      <c r="P4730" s="11"/>
      <c r="Q4730" s="12"/>
    </row>
    <row r="4731" spans="1:17">
      <c r="A4731" s="15">
        <v>45449</v>
      </c>
      <c r="B4731" s="8">
        <v>2269.4512705417401</v>
      </c>
      <c r="G4731" s="10"/>
      <c r="M4731" s="10"/>
      <c r="P4731" s="11"/>
      <c r="Q4731" s="12"/>
    </row>
    <row r="4732" spans="1:17">
      <c r="A4732" s="15">
        <v>45450</v>
      </c>
      <c r="B4732" s="8">
        <v>2267.5510776768479</v>
      </c>
      <c r="G4732" s="10"/>
      <c r="M4732" s="10"/>
      <c r="P4732" s="11"/>
      <c r="Q4732" s="12"/>
    </row>
    <row r="4733" spans="1:17">
      <c r="A4733" s="15">
        <v>45453</v>
      </c>
      <c r="B4733" s="8">
        <v>2255.7182716225175</v>
      </c>
      <c r="G4733" s="10"/>
      <c r="M4733" s="10"/>
      <c r="P4733" s="11"/>
      <c r="Q4733" s="12"/>
    </row>
    <row r="4734" spans="1:17">
      <c r="A4734" s="15">
        <v>45454</v>
      </c>
      <c r="B4734" s="8">
        <v>2234.323856735723</v>
      </c>
      <c r="G4734" s="10"/>
      <c r="M4734" s="10"/>
      <c r="P4734" s="11"/>
      <c r="Q4734" s="12"/>
    </row>
    <row r="4735" spans="1:17">
      <c r="A4735" s="15">
        <v>45455</v>
      </c>
      <c r="B4735" s="8">
        <v>2269.8894575784675</v>
      </c>
      <c r="G4735" s="10"/>
      <c r="M4735" s="10"/>
      <c r="P4735" s="11"/>
      <c r="Q4735" s="12"/>
    </row>
    <row r="4736" spans="1:17">
      <c r="A4736" s="15">
        <v>45456</v>
      </c>
      <c r="B4736" s="8">
        <v>2249.4058325484152</v>
      </c>
      <c r="G4736" s="10"/>
      <c r="M4736" s="10"/>
      <c r="P4736" s="11"/>
      <c r="Q4736" s="12"/>
    </row>
    <row r="4737" spans="1:17">
      <c r="A4737" s="15">
        <v>45457</v>
      </c>
      <c r="B4737" s="8">
        <v>2228.5162937214704</v>
      </c>
      <c r="G4737" s="10"/>
      <c r="M4737" s="10"/>
      <c r="P4737" s="11"/>
      <c r="Q4737" s="12"/>
    </row>
    <row r="4738" spans="1:17">
      <c r="A4738" s="15">
        <v>45460</v>
      </c>
      <c r="B4738" s="8">
        <v>2249.2445426826312</v>
      </c>
      <c r="G4738" s="10"/>
      <c r="M4738" s="10"/>
      <c r="P4738" s="11"/>
      <c r="Q4738" s="12"/>
    </row>
    <row r="4739" spans="1:17">
      <c r="A4739" s="15">
        <v>45461</v>
      </c>
      <c r="B4739" s="8">
        <v>2268.2672926408841</v>
      </c>
      <c r="G4739" s="10"/>
      <c r="M4739" s="10"/>
      <c r="P4739" s="11"/>
      <c r="Q4739" s="12"/>
    </row>
    <row r="4740" spans="1:17">
      <c r="A4740" s="15">
        <v>45462</v>
      </c>
      <c r="B4740" s="8">
        <v>2263.0929497573607</v>
      </c>
      <c r="G4740" s="10"/>
      <c r="M4740" s="10"/>
      <c r="P4740" s="11"/>
      <c r="Q4740" s="12"/>
    </row>
    <row r="4741" spans="1:17">
      <c r="A4741" s="15">
        <v>45463</v>
      </c>
      <c r="B4741" s="8">
        <v>2268.8122949197777</v>
      </c>
      <c r="G4741" s="10"/>
      <c r="M4741" s="10"/>
      <c r="P4741" s="11"/>
      <c r="Q4741" s="12"/>
    </row>
    <row r="4742" spans="1:17">
      <c r="A4742" s="15">
        <v>45464</v>
      </c>
      <c r="B4742" s="8">
        <v>2252.0717276586556</v>
      </c>
      <c r="G4742" s="10"/>
      <c r="M4742" s="10"/>
      <c r="P4742" s="11"/>
      <c r="Q4742" s="12"/>
    </row>
    <row r="4743" spans="1:17">
      <c r="A4743" s="15">
        <v>45467</v>
      </c>
      <c r="B4743" s="8">
        <v>2256.519794561566</v>
      </c>
      <c r="G4743" s="10"/>
      <c r="M4743" s="10"/>
      <c r="P4743" s="11"/>
      <c r="Q4743" s="12"/>
    </row>
    <row r="4744" spans="1:17">
      <c r="A4744" s="15">
        <v>45468</v>
      </c>
      <c r="B4744" s="8">
        <v>2256.7186745240851</v>
      </c>
      <c r="G4744" s="10"/>
      <c r="M4744" s="10"/>
      <c r="P4744" s="11"/>
      <c r="Q4744" s="12"/>
    </row>
    <row r="4745" spans="1:17">
      <c r="A4745" s="15">
        <v>45469</v>
      </c>
      <c r="B4745" s="8">
        <v>2254.6358268688468</v>
      </c>
      <c r="G4745" s="10"/>
      <c r="M4745" s="10"/>
      <c r="P4745" s="11"/>
      <c r="Q4745" s="12"/>
    </row>
    <row r="4746" spans="1:17">
      <c r="A4746" s="15">
        <v>45470</v>
      </c>
      <c r="B4746" s="8">
        <v>2261.5587081937088</v>
      </c>
      <c r="G4746" s="10"/>
      <c r="M4746" s="10"/>
      <c r="P4746" s="11"/>
      <c r="Q4746" s="12"/>
    </row>
    <row r="4747" spans="1:17">
      <c r="A4747" s="15">
        <v>45471</v>
      </c>
      <c r="B4747" s="8">
        <v>2267.7285544897795</v>
      </c>
      <c r="G4747" s="10"/>
      <c r="M4747" s="10"/>
      <c r="P4747" s="11"/>
      <c r="Q4747" s="12"/>
    </row>
    <row r="4748" spans="1:17">
      <c r="A4748" s="15">
        <v>45474</v>
      </c>
      <c r="B4748" s="8">
        <v>2281.6338165527955</v>
      </c>
      <c r="G4748" s="10"/>
      <c r="M4748" s="10"/>
      <c r="P4748" s="11"/>
      <c r="Q4748" s="12"/>
    </row>
    <row r="4749" spans="1:17">
      <c r="A4749" s="15">
        <v>45475</v>
      </c>
      <c r="B4749" s="8">
        <v>2288.8461369571382</v>
      </c>
      <c r="G4749" s="10"/>
      <c r="M4749" s="10"/>
      <c r="P4749" s="11"/>
      <c r="Q4749" s="12"/>
    </row>
    <row r="4750" spans="1:17">
      <c r="A4750" s="15">
        <v>45476</v>
      </c>
      <c r="B4750" s="8">
        <v>2316.7093159708738</v>
      </c>
      <c r="G4750" s="10"/>
      <c r="M4750" s="10"/>
      <c r="P4750" s="11"/>
      <c r="Q4750" s="12"/>
    </row>
    <row r="4751" spans="1:17">
      <c r="A4751" s="15">
        <v>45477</v>
      </c>
      <c r="B4751" s="8">
        <v>2324.5275983619431</v>
      </c>
      <c r="G4751" s="10"/>
      <c r="M4751" s="10"/>
      <c r="P4751" s="11"/>
      <c r="Q4751" s="12"/>
    </row>
    <row r="4752" spans="1:17">
      <c r="A4752" s="15">
        <v>45478</v>
      </c>
      <c r="B4752" s="8">
        <v>2327.4195506751812</v>
      </c>
      <c r="G4752" s="10"/>
      <c r="M4752" s="10"/>
      <c r="P4752" s="11"/>
      <c r="Q4752" s="12"/>
    </row>
    <row r="4753" spans="1:17">
      <c r="A4753" s="15">
        <v>45481</v>
      </c>
      <c r="B4753" s="8">
        <v>2325.4594153914536</v>
      </c>
      <c r="G4753" s="10"/>
      <c r="M4753" s="10"/>
      <c r="P4753" s="11"/>
      <c r="Q4753" s="12"/>
    </row>
    <row r="4754" spans="1:17">
      <c r="A4754" s="15">
        <v>45482</v>
      </c>
      <c r="B4754" s="8">
        <v>2310.023123376614</v>
      </c>
      <c r="G4754" s="10"/>
      <c r="M4754" s="10"/>
      <c r="P4754" s="11"/>
      <c r="Q4754" s="12"/>
    </row>
    <row r="4755" spans="1:17">
      <c r="A4755" s="15">
        <v>45483</v>
      </c>
      <c r="B4755" s="8">
        <v>2326.6681638000246</v>
      </c>
      <c r="G4755" s="10"/>
      <c r="M4755" s="10"/>
      <c r="P4755" s="11"/>
      <c r="Q4755" s="12"/>
    </row>
    <row r="4756" spans="1:17">
      <c r="A4756" s="15">
        <v>45484</v>
      </c>
      <c r="B4756" s="8">
        <v>2322.1504156617002</v>
      </c>
      <c r="G4756" s="10"/>
      <c r="M4756" s="10"/>
      <c r="P4756" s="11"/>
      <c r="Q4756" s="12"/>
    </row>
    <row r="4757" spans="1:17">
      <c r="A4757" s="15">
        <v>45485</v>
      </c>
      <c r="B4757" s="8">
        <v>2345.9102998843814</v>
      </c>
      <c r="G4757" s="10"/>
      <c r="M4757" s="10"/>
      <c r="P4757" s="11"/>
      <c r="Q4757" s="12"/>
    </row>
    <row r="4758" spans="1:17">
      <c r="A4758" s="15">
        <v>45488</v>
      </c>
      <c r="B4758" s="8">
        <v>2342.3087998529768</v>
      </c>
      <c r="G4758" s="10"/>
      <c r="M4758" s="10"/>
      <c r="P4758" s="11"/>
      <c r="Q4758" s="12"/>
    </row>
    <row r="4759" spans="1:17">
      <c r="A4759" s="15">
        <v>45489</v>
      </c>
      <c r="B4759" s="8">
        <v>2350.6746098076751</v>
      </c>
      <c r="G4759" s="10"/>
      <c r="M4759" s="10"/>
      <c r="P4759" s="11"/>
      <c r="Q4759" s="12"/>
    </row>
    <row r="4760" spans="1:17">
      <c r="A4760" s="15">
        <v>45490</v>
      </c>
      <c r="B4760" s="8">
        <v>2323.1452110650171</v>
      </c>
      <c r="G4760" s="10"/>
      <c r="M4760" s="10"/>
      <c r="P4760" s="11"/>
      <c r="Q4760" s="12"/>
    </row>
    <row r="4761" spans="1:17">
      <c r="A4761" s="15">
        <v>45491</v>
      </c>
      <c r="B4761" s="8">
        <v>2304.5590602906459</v>
      </c>
      <c r="G4761" s="10"/>
      <c r="M4761" s="10"/>
      <c r="P4761" s="11"/>
      <c r="Q4761" s="12"/>
    </row>
    <row r="4762" spans="1:17">
      <c r="A4762" s="15">
        <v>45492</v>
      </c>
      <c r="B4762" s="8">
        <v>2287.4665630126187</v>
      </c>
      <c r="G4762" s="10"/>
      <c r="M4762" s="10"/>
      <c r="P4762" s="11"/>
      <c r="Q4762" s="12"/>
    </row>
    <row r="4763" spans="1:17">
      <c r="A4763" s="15">
        <v>45495</v>
      </c>
      <c r="B4763" s="8">
        <v>2321.6462457118414</v>
      </c>
      <c r="G4763" s="10"/>
      <c r="M4763" s="10"/>
      <c r="P4763" s="11"/>
      <c r="Q4763" s="12"/>
    </row>
    <row r="4764" spans="1:17">
      <c r="A4764" s="15">
        <v>45496</v>
      </c>
      <c r="B4764" s="8">
        <v>2318.7618626731914</v>
      </c>
      <c r="G4764" s="10"/>
      <c r="M4764" s="10"/>
      <c r="P4764" s="11"/>
      <c r="Q4764" s="12"/>
    </row>
    <row r="4765" spans="1:17">
      <c r="A4765" s="15">
        <v>45497</v>
      </c>
      <c r="B4765" s="8">
        <v>2273.1231816050927</v>
      </c>
      <c r="G4765" s="10"/>
      <c r="M4765" s="10"/>
      <c r="P4765" s="11"/>
      <c r="Q4765" s="12"/>
    </row>
    <row r="4766" spans="1:17">
      <c r="A4766" s="15">
        <v>45498</v>
      </c>
      <c r="B4766" s="8">
        <v>2254.6595657660314</v>
      </c>
      <c r="G4766" s="10"/>
      <c r="M4766" s="10"/>
      <c r="P4766" s="11"/>
      <c r="Q4766" s="12"/>
    </row>
    <row r="4767" spans="1:17">
      <c r="A4767" s="15">
        <v>45499</v>
      </c>
      <c r="B4767" s="8">
        <v>2278.2363955976921</v>
      </c>
      <c r="G4767" s="10"/>
      <c r="M4767" s="10"/>
      <c r="P4767" s="11"/>
      <c r="Q4767" s="12"/>
    </row>
    <row r="4768" spans="1:17">
      <c r="A4768" s="15">
        <v>45502</v>
      </c>
      <c r="B4768" s="8">
        <v>2268.8740299292299</v>
      </c>
      <c r="G4768" s="10"/>
      <c r="M4768" s="10"/>
      <c r="P4768" s="11"/>
      <c r="Q4768" s="12"/>
    </row>
    <row r="4769" spans="1:17">
      <c r="A4769" s="15">
        <v>45503</v>
      </c>
      <c r="B4769" s="8">
        <v>2266.446895825301</v>
      </c>
      <c r="G4769" s="10"/>
      <c r="M4769" s="10"/>
      <c r="P4769" s="11"/>
      <c r="Q4769" s="12"/>
    </row>
    <row r="4770" spans="1:17">
      <c r="A4770" s="15">
        <v>45504</v>
      </c>
      <c r="B4770" s="8">
        <v>2300.7428907630342</v>
      </c>
      <c r="G4770" s="10"/>
      <c r="M4770" s="10"/>
      <c r="P4770" s="11"/>
      <c r="Q4770" s="12"/>
    </row>
    <row r="4771" spans="1:17">
      <c r="A4771" s="15">
        <v>45505</v>
      </c>
      <c r="B4771" s="8">
        <v>2232.6615692923233</v>
      </c>
      <c r="G4771" s="10"/>
      <c r="M4771" s="10"/>
      <c r="P4771" s="11"/>
      <c r="Q4771" s="12"/>
    </row>
    <row r="4772" spans="1:17">
      <c r="A4772" s="15">
        <v>45506</v>
      </c>
      <c r="B4772" s="8">
        <v>2152.1677159332889</v>
      </c>
      <c r="G4772" s="10"/>
      <c r="M4772" s="10"/>
      <c r="P4772" s="11"/>
      <c r="Q4772" s="12"/>
    </row>
    <row r="4773" spans="1:17">
      <c r="A4773" s="15">
        <v>45509</v>
      </c>
      <c r="B4773" s="8">
        <v>2108.351774770033</v>
      </c>
      <c r="G4773" s="10"/>
      <c r="M4773" s="10"/>
      <c r="P4773" s="11"/>
      <c r="Q4773" s="12"/>
    </row>
    <row r="4774" spans="1:17">
      <c r="A4774" s="15">
        <v>45510</v>
      </c>
      <c r="B4774" s="8">
        <v>2121.7756697121927</v>
      </c>
      <c r="G4774" s="10"/>
      <c r="M4774" s="10"/>
      <c r="P4774" s="11"/>
      <c r="Q4774" s="12"/>
    </row>
    <row r="4775" spans="1:17">
      <c r="A4775" s="15">
        <v>45511</v>
      </c>
      <c r="B4775" s="8">
        <v>2130.4562463783222</v>
      </c>
      <c r="G4775" s="10"/>
      <c r="M4775" s="10"/>
      <c r="P4775" s="11"/>
      <c r="Q4775" s="12"/>
    </row>
    <row r="4776" spans="1:17">
      <c r="A4776" s="15">
        <v>45512</v>
      </c>
      <c r="B4776" s="8">
        <v>2161.715918754328</v>
      </c>
      <c r="G4776" s="10"/>
      <c r="M4776" s="10"/>
      <c r="P4776" s="11"/>
      <c r="Q4776" s="12"/>
    </row>
    <row r="4777" spans="1:17">
      <c r="A4777" s="15">
        <v>45513</v>
      </c>
      <c r="B4777" s="8">
        <v>2170.0300773465747</v>
      </c>
      <c r="G4777" s="10"/>
      <c r="M4777" s="10"/>
      <c r="P4777" s="11"/>
      <c r="Q4777" s="12"/>
    </row>
    <row r="4778" spans="1:17">
      <c r="A4778" s="15">
        <v>45516</v>
      </c>
      <c r="B4778" s="8">
        <v>2166.9142599479806</v>
      </c>
      <c r="G4778" s="10"/>
      <c r="M4778" s="10"/>
      <c r="P4778" s="11"/>
      <c r="Q4778" s="12"/>
    </row>
    <row r="4779" spans="1:17">
      <c r="A4779" s="15">
        <v>45517</v>
      </c>
      <c r="B4779" s="8">
        <v>2194.3826979014752</v>
      </c>
      <c r="G4779" s="10"/>
      <c r="M4779" s="10"/>
      <c r="P4779" s="11"/>
      <c r="Q4779" s="12"/>
    </row>
    <row r="4780" spans="1:17">
      <c r="A4780" s="15">
        <v>45518</v>
      </c>
      <c r="B4780" s="8">
        <v>2205.0529482476873</v>
      </c>
      <c r="G4780" s="10"/>
      <c r="M4780" s="10"/>
      <c r="P4780" s="11"/>
      <c r="Q4780" s="12"/>
    </row>
    <row r="4781" spans="1:17">
      <c r="A4781" s="15">
        <v>45519</v>
      </c>
      <c r="B4781" s="8">
        <v>2244.1899568794393</v>
      </c>
      <c r="G4781" s="10"/>
      <c r="M4781" s="10"/>
      <c r="P4781" s="11"/>
      <c r="Q4781" s="12"/>
    </row>
    <row r="4782" spans="1:17">
      <c r="A4782" s="15">
        <v>45520</v>
      </c>
      <c r="B4782" s="8">
        <v>2254.3589302579826</v>
      </c>
      <c r="G4782" s="10"/>
      <c r="M4782" s="10"/>
      <c r="P4782" s="11"/>
      <c r="Q4782" s="12"/>
    </row>
    <row r="4783" spans="1:17">
      <c r="A4783" s="15">
        <v>45523</v>
      </c>
      <c r="B4783" s="8">
        <v>2277.6737545369169</v>
      </c>
      <c r="G4783" s="10"/>
      <c r="M4783" s="10"/>
      <c r="P4783" s="11"/>
      <c r="Q4783" s="12"/>
    </row>
    <row r="4784" spans="1:17">
      <c r="A4784" s="15">
        <v>45524</v>
      </c>
      <c r="B4784" s="8">
        <v>2274.9766700042642</v>
      </c>
      <c r="G4784" s="10"/>
      <c r="M4784" s="10"/>
      <c r="P4784" s="11"/>
      <c r="Q4784" s="12"/>
    </row>
    <row r="4785" spans="1:17">
      <c r="A4785" s="15">
        <v>45525</v>
      </c>
      <c r="B4785" s="8">
        <v>2285.5163027201443</v>
      </c>
      <c r="G4785" s="10"/>
      <c r="M4785" s="10"/>
      <c r="P4785" s="11"/>
      <c r="Q4785" s="12"/>
    </row>
    <row r="4786" spans="1:17">
      <c r="A4786" s="15">
        <v>45526</v>
      </c>
      <c r="B4786" s="8">
        <v>2273.6033546378067</v>
      </c>
      <c r="G4786" s="10"/>
      <c r="M4786" s="10"/>
      <c r="P4786" s="11"/>
      <c r="Q4786" s="12"/>
    </row>
    <row r="4787" spans="1:17">
      <c r="A4787" s="15">
        <v>45527</v>
      </c>
      <c r="B4787" s="8">
        <v>2297.37413288789</v>
      </c>
      <c r="G4787" s="10"/>
      <c r="M4787" s="10"/>
      <c r="P4787" s="11"/>
      <c r="Q4787" s="12"/>
    </row>
    <row r="4788" spans="1:17">
      <c r="A4788" s="15">
        <v>45530</v>
      </c>
      <c r="B4788" s="8">
        <v>2285.5933860599648</v>
      </c>
      <c r="G4788" s="10"/>
      <c r="M4788" s="10"/>
      <c r="P4788" s="11"/>
      <c r="Q4788" s="12"/>
    </row>
    <row r="4789" spans="1:17">
      <c r="A4789" s="15">
        <v>45531</v>
      </c>
      <c r="B4789" s="8">
        <v>2292.769531587337</v>
      </c>
      <c r="G4789" s="10"/>
      <c r="M4789" s="10"/>
      <c r="P4789" s="11"/>
      <c r="Q4789" s="12"/>
    </row>
    <row r="4790" spans="1:17">
      <c r="A4790" s="15">
        <v>45532</v>
      </c>
      <c r="B4790" s="8">
        <v>2285.7971827112465</v>
      </c>
      <c r="G4790" s="10"/>
      <c r="M4790" s="10"/>
      <c r="P4790" s="11"/>
      <c r="Q4790" s="12"/>
    </row>
    <row r="4791" spans="1:17">
      <c r="A4791" s="15">
        <v>45533</v>
      </c>
      <c r="B4791" s="8">
        <v>2301.3228251309924</v>
      </c>
      <c r="G4791" s="10"/>
      <c r="M4791" s="10"/>
      <c r="P4791" s="11"/>
      <c r="Q4791" s="12"/>
    </row>
    <row r="4792" spans="1:17">
      <c r="A4792" s="15">
        <v>45534</v>
      </c>
      <c r="B4792" s="8">
        <v>2322.0674073310565</v>
      </c>
      <c r="G4792" s="10"/>
      <c r="M4792" s="10"/>
      <c r="P4792" s="11"/>
      <c r="Q4792" s="12"/>
    </row>
    <row r="4793" spans="1:17">
      <c r="A4793" s="15">
        <v>45537</v>
      </c>
      <c r="B4793" s="8">
        <v>2321.4709256126084</v>
      </c>
      <c r="G4793" s="10"/>
      <c r="M4793" s="10"/>
      <c r="P4793" s="11"/>
      <c r="Q4793" s="12"/>
    </row>
    <row r="4794" spans="1:17">
      <c r="A4794" s="15">
        <v>45538</v>
      </c>
      <c r="B4794" s="8">
        <v>2273.2712723146542</v>
      </c>
      <c r="G4794" s="10"/>
      <c r="M4794" s="10"/>
      <c r="P4794" s="11"/>
      <c r="Q4794" s="12"/>
    </row>
    <row r="4795" spans="1:17">
      <c r="A4795" s="15">
        <v>45539</v>
      </c>
      <c r="B4795" s="8">
        <v>2259.3413459182871</v>
      </c>
      <c r="G4795" s="10"/>
      <c r="M4795" s="10"/>
      <c r="P4795" s="11"/>
      <c r="Q4795" s="12"/>
    </row>
    <row r="4796" spans="1:17">
      <c r="A4796" s="15">
        <v>45540</v>
      </c>
      <c r="B4796" s="8">
        <v>2252.4173028744508</v>
      </c>
      <c r="G4796" s="10"/>
      <c r="M4796" s="10"/>
      <c r="P4796" s="11"/>
      <c r="Q4796" s="12"/>
    </row>
    <row r="4797" spans="1:17">
      <c r="A4797" s="15">
        <v>45541</v>
      </c>
      <c r="B4797" s="8">
        <v>2202.887472723547</v>
      </c>
      <c r="G4797" s="10"/>
      <c r="M4797" s="10"/>
      <c r="P4797" s="11"/>
      <c r="Q4797" s="12"/>
    </row>
    <row r="4798" spans="1:17">
      <c r="A4798" s="15">
        <v>45544</v>
      </c>
      <c r="B4798" s="8">
        <v>2235.4472802463797</v>
      </c>
      <c r="G4798" s="10"/>
      <c r="M4798" s="10"/>
      <c r="P4798" s="11"/>
      <c r="Q4798" s="12"/>
    </row>
    <row r="4799" spans="1:17">
      <c r="A4799" s="15">
        <v>45545</v>
      </c>
      <c r="B4799" s="8">
        <v>2227.8008741890699</v>
      </c>
      <c r="G4799" s="10"/>
      <c r="M4799" s="10"/>
      <c r="P4799" s="11"/>
      <c r="Q4799" s="12"/>
    </row>
    <row r="4800" spans="1:17">
      <c r="A4800" s="15">
        <v>45546</v>
      </c>
      <c r="B4800" s="8">
        <v>2245.6956258858245</v>
      </c>
      <c r="G4800" s="10"/>
      <c r="M4800" s="10"/>
      <c r="P4800" s="11"/>
      <c r="Q4800" s="12"/>
    </row>
    <row r="4801" spans="1:17">
      <c r="A4801" s="15">
        <v>45547</v>
      </c>
      <c r="B4801" s="8">
        <v>2271.8714014256193</v>
      </c>
      <c r="G4801" s="10"/>
      <c r="M4801" s="10"/>
      <c r="P4801" s="11"/>
      <c r="Q4801" s="12"/>
    </row>
    <row r="4802" spans="1:17">
      <c r="A4802" s="15">
        <v>45548</v>
      </c>
      <c r="B4802" s="8">
        <v>2289.3626470632184</v>
      </c>
      <c r="G4802" s="10"/>
      <c r="M4802" s="10"/>
      <c r="P4802" s="11"/>
      <c r="Q4802" s="12"/>
    </row>
    <row r="4803" spans="1:17">
      <c r="A4803" s="15">
        <v>45551</v>
      </c>
      <c r="B4803" s="8">
        <v>2286.2150349201247</v>
      </c>
      <c r="G4803" s="10"/>
      <c r="M4803" s="10"/>
      <c r="P4803" s="11"/>
      <c r="Q4803" s="12"/>
    </row>
    <row r="4804" spans="1:17">
      <c r="A4804" s="15">
        <v>45552</v>
      </c>
      <c r="B4804" s="8">
        <v>2303.5409097825413</v>
      </c>
      <c r="G4804" s="10"/>
      <c r="M4804" s="10"/>
      <c r="P4804" s="11"/>
      <c r="Q4804" s="12"/>
    </row>
    <row r="4805" spans="1:17">
      <c r="A4805" s="15">
        <v>45553</v>
      </c>
      <c r="B4805" s="8">
        <v>2296.388825423785</v>
      </c>
      <c r="G4805" s="10"/>
      <c r="M4805" s="10"/>
      <c r="P4805" s="11"/>
      <c r="Q4805" s="12"/>
    </row>
    <row r="4806" spans="1:17">
      <c r="A4806" s="15">
        <v>45554</v>
      </c>
      <c r="B4806" s="8">
        <v>2354.5150158053229</v>
      </c>
      <c r="G4806" s="10"/>
      <c r="M4806" s="10"/>
      <c r="P4806" s="11"/>
      <c r="Q4806" s="12"/>
    </row>
    <row r="4807" spans="1:17">
      <c r="A4807" s="15">
        <v>45555</v>
      </c>
      <c r="B4807" s="8">
        <v>2335.776812841495</v>
      </c>
      <c r="G4807" s="10"/>
      <c r="M4807" s="10"/>
      <c r="P4807" s="11"/>
      <c r="Q4807" s="12"/>
    </row>
    <row r="4808" spans="1:17">
      <c r="A4808" s="15">
        <v>45558</v>
      </c>
      <c r="B4808" s="8">
        <v>2337.0094192290512</v>
      </c>
      <c r="G4808" s="10"/>
      <c r="M4808" s="10"/>
      <c r="P4808" s="11"/>
      <c r="Q4808" s="12"/>
    </row>
    <row r="4809" spans="1:17">
      <c r="A4809" s="15">
        <v>45559</v>
      </c>
      <c r="B4809" s="8">
        <v>2354.3300542485722</v>
      </c>
      <c r="G4809" s="10"/>
      <c r="M4809" s="10"/>
      <c r="P4809" s="11"/>
      <c r="Q4809" s="12"/>
    </row>
    <row r="4810" spans="1:17">
      <c r="A4810" s="15">
        <v>45560</v>
      </c>
      <c r="B4810" s="8">
        <v>2349.5576363252903</v>
      </c>
      <c r="G4810" s="10"/>
      <c r="M4810" s="10"/>
      <c r="P4810" s="11"/>
      <c r="Q4810" s="12"/>
    </row>
    <row r="4811" spans="1:17">
      <c r="A4811" s="15">
        <v>45561</v>
      </c>
      <c r="B4811" s="8">
        <v>2392.6509522461029</v>
      </c>
      <c r="G4811" s="10"/>
      <c r="M4811" s="10"/>
      <c r="P4811" s="11"/>
      <c r="Q4811" s="12"/>
    </row>
    <row r="4812" spans="1:17">
      <c r="A4812" s="15">
        <v>45562</v>
      </c>
      <c r="B4812" s="8">
        <v>2397.323922842786</v>
      </c>
      <c r="G4812" s="10"/>
      <c r="M4812" s="10"/>
      <c r="P4812" s="11"/>
      <c r="Q4812" s="12"/>
    </row>
    <row r="4813" spans="1:17">
      <c r="A4813" s="15">
        <v>45565</v>
      </c>
      <c r="B4813" s="8">
        <v>2383.2076649468795</v>
      </c>
      <c r="G4813" s="10"/>
      <c r="M4813" s="10"/>
      <c r="P4813" s="11"/>
      <c r="Q4813" s="12"/>
    </row>
    <row r="4814" spans="1:17">
      <c r="A4814" s="15">
        <v>45566</v>
      </c>
      <c r="B4814" s="8">
        <v>2349.9578481054873</v>
      </c>
      <c r="G4814" s="10"/>
      <c r="M4814" s="10"/>
      <c r="P4814" s="11"/>
      <c r="Q4814" s="12"/>
    </row>
    <row r="4815" spans="1:17">
      <c r="A4815" s="15">
        <v>45567</v>
      </c>
      <c r="B4815" s="8">
        <v>2358.7157434650999</v>
      </c>
      <c r="G4815" s="10"/>
      <c r="M4815" s="10"/>
      <c r="P4815" s="11"/>
      <c r="Q4815" s="12"/>
    </row>
    <row r="4816" spans="1:17">
      <c r="A4816" s="15">
        <v>45568</v>
      </c>
      <c r="B4816" s="8">
        <v>2346.9508105485893</v>
      </c>
      <c r="G4816" s="10"/>
      <c r="M4816" s="10"/>
      <c r="P4816" s="11"/>
      <c r="Q4816" s="12"/>
    </row>
    <row r="4817" spans="1:17">
      <c r="A4817" s="15">
        <v>45569</v>
      </c>
      <c r="B4817" s="8">
        <v>2377.4113059657116</v>
      </c>
      <c r="G4817" s="10"/>
      <c r="M4817" s="10"/>
      <c r="P4817" s="11"/>
      <c r="Q4817" s="12"/>
    </row>
    <row r="4818" spans="1:17">
      <c r="A4818" s="15">
        <v>45572</v>
      </c>
      <c r="B4818" s="8">
        <v>2374.2390554481431</v>
      </c>
      <c r="G4818" s="10"/>
      <c r="M4818" s="10"/>
      <c r="P4818" s="11"/>
      <c r="Q4818" s="12"/>
    </row>
    <row r="4819" spans="1:17">
      <c r="A4819" s="15">
        <v>45573</v>
      </c>
      <c r="B4819" s="8">
        <v>2384.8399478861511</v>
      </c>
      <c r="G4819" s="10"/>
      <c r="M4819" s="10"/>
      <c r="P4819" s="11"/>
      <c r="Q4819" s="12"/>
    </row>
    <row r="4820" spans="1:17">
      <c r="A4820" s="15">
        <v>45574</v>
      </c>
      <c r="B4820" s="8">
        <v>2401.7610451416094</v>
      </c>
      <c r="G4820" s="10"/>
      <c r="M4820" s="10"/>
      <c r="P4820" s="11"/>
      <c r="Q4820" s="12"/>
    </row>
    <row r="4821" spans="1:17">
      <c r="A4821" s="15">
        <v>45575</v>
      </c>
      <c r="B4821" s="8">
        <v>2393.9842907419438</v>
      </c>
      <c r="G4821" s="10"/>
      <c r="M4821" s="10"/>
      <c r="P4821" s="11"/>
      <c r="Q4821" s="12"/>
    </row>
    <row r="4822" spans="1:17">
      <c r="A4822" s="15">
        <v>45576</v>
      </c>
      <c r="B4822" s="8">
        <v>2408.6709738105437</v>
      </c>
      <c r="G4822" s="10"/>
      <c r="M4822" s="10"/>
      <c r="P4822" s="11"/>
      <c r="Q4822" s="12"/>
    </row>
    <row r="4823" spans="1:17">
      <c r="A4823" s="15">
        <v>45579</v>
      </c>
      <c r="B4823" s="8">
        <v>2427.4527365394079</v>
      </c>
      <c r="G4823" s="10"/>
      <c r="M4823" s="10"/>
      <c r="P4823" s="11"/>
      <c r="Q4823" s="12"/>
    </row>
    <row r="4824" spans="1:17">
      <c r="A4824" s="15">
        <v>45580</v>
      </c>
      <c r="B4824" s="8">
        <v>2393.1389790874691</v>
      </c>
      <c r="G4824" s="10"/>
      <c r="M4824" s="10"/>
      <c r="P4824" s="11"/>
      <c r="Q4824" s="12"/>
    </row>
    <row r="4825" spans="1:17">
      <c r="A4825" s="15">
        <v>45581</v>
      </c>
      <c r="B4825" s="8">
        <v>2394.3170194612221</v>
      </c>
      <c r="G4825" s="10"/>
      <c r="M4825" s="10"/>
      <c r="P4825" s="11"/>
      <c r="Q4825" s="12"/>
    </row>
    <row r="4826" spans="1:17">
      <c r="A4826" s="15">
        <v>45582</v>
      </c>
      <c r="B4826" s="8">
        <v>2402.2431028659735</v>
      </c>
      <c r="G4826" s="10"/>
      <c r="M4826" s="10"/>
      <c r="P4826" s="11"/>
      <c r="Q4826" s="12"/>
    </row>
    <row r="4827" spans="1:17">
      <c r="A4827" s="15">
        <v>45583</v>
      </c>
      <c r="B4827" s="8">
        <v>2418.5912654776362</v>
      </c>
      <c r="G4827" s="10"/>
      <c r="M4827" s="10"/>
      <c r="P4827" s="11"/>
      <c r="Q4827" s="12"/>
    </row>
    <row r="4828" spans="1:17">
      <c r="A4828" s="15">
        <v>45586</v>
      </c>
      <c r="B4828" s="8">
        <v>2404.774834266675</v>
      </c>
      <c r="G4828" s="10"/>
      <c r="M4828" s="10"/>
      <c r="P4828" s="11"/>
      <c r="Q4828" s="12"/>
    </row>
    <row r="4829" spans="1:17">
      <c r="A4829" s="15">
        <v>45587</v>
      </c>
      <c r="B4829" s="8">
        <v>2401.5080637169226</v>
      </c>
      <c r="G4829" s="10"/>
      <c r="M4829" s="10"/>
      <c r="P4829" s="11"/>
      <c r="Q4829" s="12"/>
    </row>
    <row r="4830" spans="1:17">
      <c r="A4830" s="15">
        <v>45588</v>
      </c>
      <c r="B4830" s="8">
        <v>2387.2506126785138</v>
      </c>
      <c r="G4830" s="10"/>
      <c r="M4830" s="10"/>
      <c r="P4830" s="11"/>
      <c r="Q4830" s="12"/>
    </row>
    <row r="4831" spans="1:17">
      <c r="A4831" s="15">
        <v>45589</v>
      </c>
      <c r="B4831" s="8">
        <v>2405.5190916428155</v>
      </c>
      <c r="G4831" s="10"/>
      <c r="M4831" s="10"/>
      <c r="P4831" s="11"/>
      <c r="Q4831" s="12"/>
    </row>
    <row r="4832" spans="1:17">
      <c r="A4832" s="15">
        <v>45590</v>
      </c>
      <c r="B4832" s="8">
        <v>2405.2688657723206</v>
      </c>
      <c r="G4832" s="10"/>
      <c r="M4832" s="10"/>
      <c r="P4832" s="11"/>
      <c r="Q4832" s="12"/>
    </row>
    <row r="4833" spans="1:17">
      <c r="A4833" s="15">
        <v>45593</v>
      </c>
      <c r="B4833" s="8">
        <v>2413.1755017593969</v>
      </c>
      <c r="G4833" s="10"/>
      <c r="M4833" s="10"/>
      <c r="P4833" s="11"/>
      <c r="Q4833" s="12"/>
    </row>
    <row r="4834" spans="1:17">
      <c r="A4834" s="15">
        <v>45594</v>
      </c>
      <c r="B4834" s="8">
        <v>2414.8815531409205</v>
      </c>
      <c r="G4834" s="10"/>
      <c r="M4834" s="10"/>
      <c r="P4834" s="11"/>
      <c r="Q4834" s="12"/>
    </row>
    <row r="4835" spans="1:17">
      <c r="A4835" s="15">
        <v>45595</v>
      </c>
      <c r="B4835" s="8">
        <v>2395.9268559379639</v>
      </c>
      <c r="G4835" s="10"/>
      <c r="M4835" s="10"/>
      <c r="P4835" s="11"/>
      <c r="Q4835" s="12"/>
    </row>
    <row r="4836" spans="1:17">
      <c r="A4836" s="15">
        <v>45596</v>
      </c>
      <c r="B4836" s="8">
        <v>2381.6397908535769</v>
      </c>
      <c r="G4836" s="10"/>
      <c r="M4836" s="10"/>
      <c r="P4836" s="11"/>
      <c r="Q4836" s="12"/>
    </row>
    <row r="4837" spans="1:17">
      <c r="A4837" s="15">
        <v>45597</v>
      </c>
      <c r="B4837" s="8">
        <v>2408.7282219219737</v>
      </c>
      <c r="G4837" s="10"/>
      <c r="M4837" s="10"/>
      <c r="P4837" s="11"/>
      <c r="Q4837" s="12"/>
    </row>
    <row r="4838" spans="1:17">
      <c r="A4838" s="15">
        <v>45600</v>
      </c>
      <c r="B4838" s="8">
        <v>2399.4140217812201</v>
      </c>
      <c r="G4838" s="10"/>
      <c r="M4838" s="10"/>
      <c r="P4838" s="11"/>
      <c r="Q4838" s="12"/>
    </row>
    <row r="4839" spans="1:17">
      <c r="A4839" s="15">
        <v>45601</v>
      </c>
      <c r="B4839" s="8">
        <v>2421.3990053158036</v>
      </c>
      <c r="G4839" s="10"/>
      <c r="M4839" s="10"/>
      <c r="P4839" s="11"/>
      <c r="Q4839" s="12"/>
    </row>
    <row r="4840" spans="1:17">
      <c r="A4840" s="15">
        <v>45602</v>
      </c>
      <c r="B4840" s="8">
        <v>2451.2436622908467</v>
      </c>
      <c r="G4840" s="10"/>
      <c r="M4840" s="10"/>
      <c r="P4840" s="11"/>
      <c r="Q4840" s="12"/>
    </row>
    <row r="4841" spans="1:17">
      <c r="A4841" s="15">
        <v>45603</v>
      </c>
      <c r="B4841" s="8">
        <v>2460.8819981533293</v>
      </c>
      <c r="G4841" s="10"/>
      <c r="M4841" s="10"/>
      <c r="P4841" s="11"/>
      <c r="Q4841" s="12"/>
    </row>
    <row r="4842" spans="1:17">
      <c r="A4842" s="15">
        <v>45604</v>
      </c>
      <c r="B4842" s="8">
        <v>2457.0896187040953</v>
      </c>
      <c r="G4842" s="10"/>
      <c r="M4842" s="10"/>
      <c r="P4842" s="11"/>
      <c r="Q4842" s="12"/>
    </row>
    <row r="4843" spans="1:17">
      <c r="A4843" s="15">
        <v>45607</v>
      </c>
      <c r="B4843" s="8">
        <v>2490.9963625077216</v>
      </c>
      <c r="G4843" s="10"/>
      <c r="M4843" s="10"/>
      <c r="P4843" s="11"/>
      <c r="Q4843" s="12"/>
    </row>
    <row r="4844" spans="1:17">
      <c r="A4844" s="15">
        <v>45608</v>
      </c>
      <c r="B4844" s="8">
        <v>2458.6635905878411</v>
      </c>
      <c r="G4844" s="10"/>
      <c r="M4844" s="10"/>
      <c r="P4844" s="11"/>
      <c r="Q4844" s="12"/>
    </row>
    <row r="4845" spans="1:17">
      <c r="A4845" s="15">
        <v>45609</v>
      </c>
      <c r="B4845" s="8">
        <v>2469.9786571268087</v>
      </c>
      <c r="G4845" s="10"/>
      <c r="M4845" s="10"/>
      <c r="P4845" s="11"/>
      <c r="Q4845" s="12"/>
    </row>
    <row r="4846" spans="1:17">
      <c r="A4846" s="15">
        <v>45610</v>
      </c>
      <c r="B4846" s="8">
        <v>2486.9136359996205</v>
      </c>
      <c r="G4846" s="10"/>
      <c r="M4846" s="10"/>
      <c r="P4846" s="11"/>
      <c r="Q4846" s="12"/>
    </row>
    <row r="4847" spans="1:17">
      <c r="A4847" s="15">
        <v>45611</v>
      </c>
      <c r="B4847" s="8">
        <v>2472.7200590527577</v>
      </c>
      <c r="G4847" s="10"/>
      <c r="M4847" s="10"/>
      <c r="P4847" s="11"/>
      <c r="Q4847" s="12"/>
    </row>
    <row r="4848" spans="1:17">
      <c r="A4848" s="15">
        <v>45614</v>
      </c>
      <c r="B4848" s="8">
        <v>2479.0468075343906</v>
      </c>
      <c r="G4848" s="10"/>
      <c r="M4848" s="10"/>
      <c r="P4848" s="11"/>
      <c r="Q4848" s="12"/>
    </row>
    <row r="4849" spans="1:17">
      <c r="A4849" s="15">
        <v>45615</v>
      </c>
      <c r="B4849" s="8">
        <v>2463.7871931036602</v>
      </c>
      <c r="G4849" s="10"/>
      <c r="M4849" s="10"/>
      <c r="P4849" s="11"/>
      <c r="Q4849" s="12"/>
    </row>
    <row r="4850" spans="1:17">
      <c r="A4850" s="15">
        <v>45616</v>
      </c>
      <c r="B4850" s="8">
        <v>2456.9310408766255</v>
      </c>
      <c r="G4850" s="10"/>
      <c r="M4850" s="10"/>
      <c r="P4850" s="11"/>
      <c r="Q4850" s="12"/>
    </row>
    <row r="4851" spans="1:17">
      <c r="A4851" s="15">
        <v>45617</v>
      </c>
      <c r="B4851" s="8">
        <v>2481.6736381356372</v>
      </c>
      <c r="G4851" s="10"/>
      <c r="M4851" s="10"/>
      <c r="P4851" s="11"/>
      <c r="Q4851" s="12"/>
    </row>
    <row r="4852" spans="1:17">
      <c r="A4852" s="15">
        <v>45618</v>
      </c>
      <c r="B4852" s="8">
        <v>2484.4967158261984</v>
      </c>
      <c r="G4852" s="10"/>
      <c r="M4852" s="10"/>
      <c r="P4852" s="11"/>
      <c r="Q4852" s="12"/>
    </row>
    <row r="4853" spans="1:17">
      <c r="A4853" s="15">
        <v>45621</v>
      </c>
      <c r="B4853" s="8">
        <v>2486.6117939601941</v>
      </c>
      <c r="G4853" s="10"/>
      <c r="M4853" s="10"/>
      <c r="P4853" s="11"/>
      <c r="Q4853" s="12"/>
    </row>
    <row r="4854" spans="1:17">
      <c r="A4854" s="15">
        <v>45622</v>
      </c>
      <c r="B4854" s="8">
        <v>2480.4508966086109</v>
      </c>
      <c r="G4854" s="10"/>
      <c r="M4854" s="10"/>
      <c r="P4854" s="11"/>
      <c r="Q4854" s="12"/>
    </row>
    <row r="4855" spans="1:17">
      <c r="A4855" s="15">
        <v>45623</v>
      </c>
      <c r="B4855" s="8">
        <v>2460.0956329222277</v>
      </c>
      <c r="G4855" s="10"/>
      <c r="M4855" s="10"/>
      <c r="P4855" s="11"/>
      <c r="Q4855" s="12"/>
    </row>
    <row r="4856" spans="1:17">
      <c r="A4856" s="15">
        <v>45624</v>
      </c>
      <c r="B4856" s="8">
        <v>2470.5058284215843</v>
      </c>
      <c r="G4856" s="10"/>
      <c r="M4856" s="10"/>
      <c r="P4856" s="11"/>
      <c r="Q4856" s="12"/>
    </row>
    <row r="4857" spans="1:17">
      <c r="A4857" s="15">
        <v>45625</v>
      </c>
      <c r="B4857" s="8">
        <v>2490.3885334478864</v>
      </c>
      <c r="G4857" s="10"/>
      <c r="M4857" s="10"/>
      <c r="P4857" s="11"/>
      <c r="Q4857" s="12"/>
    </row>
    <row r="4858" spans="1:17">
      <c r="A4858" s="15">
        <v>45628</v>
      </c>
      <c r="B4858" s="8">
        <v>2497.7870381171538</v>
      </c>
      <c r="G4858" s="10"/>
      <c r="M4858" s="10"/>
      <c r="P4858" s="11"/>
      <c r="Q4858" s="12"/>
    </row>
    <row r="4859" spans="1:17">
      <c r="A4859" s="15">
        <v>45629</v>
      </c>
      <c r="B4859" s="8">
        <v>2507.9486822558638</v>
      </c>
      <c r="G4859" s="10"/>
      <c r="M4859" s="10"/>
      <c r="P4859" s="11"/>
      <c r="Q4859" s="12"/>
    </row>
    <row r="4860" spans="1:17">
      <c r="A4860" s="15">
        <v>45630</v>
      </c>
      <c r="B4860" s="8">
        <v>2534.5333341072287</v>
      </c>
      <c r="G4860" s="10"/>
      <c r="M4860" s="10"/>
      <c r="P4860" s="11"/>
      <c r="Q4860" s="12"/>
    </row>
    <row r="4861" spans="1:17">
      <c r="A4861" s="15">
        <v>45631</v>
      </c>
      <c r="B4861" s="8">
        <v>2557.875926422023</v>
      </c>
      <c r="G4861" s="10"/>
      <c r="M4861" s="10"/>
      <c r="P4861" s="11"/>
      <c r="Q4861" s="12"/>
    </row>
    <row r="4862" spans="1:17">
      <c r="A4862" s="15">
        <v>45632</v>
      </c>
      <c r="B4862" s="8">
        <v>2576.5670068037607</v>
      </c>
      <c r="G4862" s="10"/>
      <c r="M4862" s="10"/>
      <c r="P4862" s="11"/>
      <c r="Q4862" s="12"/>
    </row>
    <row r="4863" spans="1:17">
      <c r="A4863" s="15">
        <v>45635</v>
      </c>
      <c r="B4863" s="8">
        <v>2568.1009643604216</v>
      </c>
      <c r="G4863" s="10"/>
      <c r="M4863" s="10"/>
      <c r="P4863" s="11"/>
      <c r="Q4863" s="12"/>
    </row>
    <row r="4864" spans="1:17">
      <c r="A4864" s="15">
        <v>45636</v>
      </c>
      <c r="B4864" s="8">
        <v>2552.9366487349985</v>
      </c>
      <c r="G4864" s="10"/>
      <c r="M4864" s="10"/>
      <c r="P4864" s="11"/>
      <c r="Q4864" s="12"/>
    </row>
    <row r="4865" spans="1:17">
      <c r="A4865" s="15">
        <v>45637</v>
      </c>
      <c r="B4865" s="8">
        <v>2573.8011002152507</v>
      </c>
      <c r="G4865" s="10"/>
      <c r="M4865" s="10"/>
      <c r="P4865" s="11"/>
      <c r="Q4865" s="12"/>
    </row>
    <row r="4866" spans="1:17">
      <c r="A4866" s="15">
        <v>45638</v>
      </c>
      <c r="B4866" s="8">
        <v>2552.5309438396794</v>
      </c>
      <c r="G4866" s="10"/>
      <c r="M4866" s="10"/>
      <c r="P4866" s="11"/>
      <c r="Q4866" s="12"/>
    </row>
    <row r="4867" spans="1:17">
      <c r="A4867" s="15">
        <v>45639</v>
      </c>
      <c r="B4867" s="8">
        <v>2548.768061217324</v>
      </c>
      <c r="G4867" s="10"/>
      <c r="M4867" s="10"/>
      <c r="P4867" s="11"/>
      <c r="Q4867" s="12"/>
    </row>
    <row r="4868" spans="1:17">
      <c r="A4868" s="15">
        <v>45642</v>
      </c>
      <c r="B4868" s="8">
        <v>2552.2101655618908</v>
      </c>
      <c r="G4868" s="10"/>
      <c r="M4868" s="10"/>
      <c r="P4868" s="11"/>
      <c r="Q4868" s="12"/>
    </row>
    <row r="4869" spans="1:17">
      <c r="A4869" s="15">
        <v>45643</v>
      </c>
      <c r="B4869" s="8">
        <v>2541.5014621607083</v>
      </c>
      <c r="G4869" s="10"/>
      <c r="M4869" s="10"/>
      <c r="P4869" s="11"/>
      <c r="Q4869" s="12"/>
    </row>
    <row r="4870" spans="1:17">
      <c r="A4870" s="15">
        <v>45644</v>
      </c>
      <c r="B4870" s="8">
        <v>2503.2758416160432</v>
      </c>
      <c r="G4870" s="10"/>
      <c r="M4870" s="10"/>
      <c r="P4870" s="11"/>
      <c r="Q4870" s="12"/>
    </row>
    <row r="4871" spans="1:17">
      <c r="A4871" s="15">
        <v>45645</v>
      </c>
      <c r="B4871" s="8">
        <v>2476.6873213356375</v>
      </c>
      <c r="G4871" s="10"/>
      <c r="M4871" s="10"/>
      <c r="P4871" s="11"/>
      <c r="Q4871" s="12"/>
    </row>
    <row r="4872" spans="1:17">
      <c r="A4872" s="15">
        <v>45646</v>
      </c>
      <c r="B4872" s="8">
        <v>2487.9965458366196</v>
      </c>
      <c r="G4872" s="10"/>
      <c r="M4872" s="10"/>
      <c r="P4872" s="11"/>
      <c r="Q4872" s="12"/>
    </row>
    <row r="4873" spans="1:17">
      <c r="A4873" s="15">
        <v>45649</v>
      </c>
      <c r="B4873" s="8">
        <v>2493.8919966293797</v>
      </c>
      <c r="G4873" s="10"/>
      <c r="M4873" s="10"/>
      <c r="P4873" s="11"/>
      <c r="Q4873" s="12"/>
    </row>
    <row r="4874" spans="1:17">
      <c r="A4874" s="15">
        <v>45650</v>
      </c>
      <c r="B4874" s="8">
        <v>2512.8154561702904</v>
      </c>
      <c r="G4874" s="10"/>
      <c r="M4874" s="10"/>
      <c r="P4874" s="11"/>
      <c r="Q4874" s="12"/>
    </row>
    <row r="4875" spans="1:17">
      <c r="A4875" s="15">
        <v>45651</v>
      </c>
      <c r="B4875" s="8">
        <v>2512.4337634928565</v>
      </c>
      <c r="G4875" s="10"/>
      <c r="M4875" s="10"/>
      <c r="P4875" s="11"/>
      <c r="Q4875" s="12"/>
    </row>
    <row r="4876" spans="1:17">
      <c r="A4876" s="15">
        <v>45652</v>
      </c>
      <c r="B4876" s="8">
        <v>2509.9035183730148</v>
      </c>
      <c r="G4876" s="10"/>
      <c r="M4876" s="10"/>
      <c r="P4876" s="11"/>
      <c r="Q4876" s="12"/>
    </row>
    <row r="4877" spans="1:17">
      <c r="A4877" s="15">
        <v>45653</v>
      </c>
      <c r="B4877" s="8">
        <v>2503.0597054399118</v>
      </c>
      <c r="G4877" s="10"/>
      <c r="M4877" s="10"/>
      <c r="P4877" s="11"/>
      <c r="Q4877" s="12"/>
    </row>
    <row r="4878" spans="1:17">
      <c r="A4878" s="15">
        <v>45656</v>
      </c>
      <c r="B4878" s="8">
        <v>2483.6366802318494</v>
      </c>
      <c r="G4878" s="10"/>
      <c r="M4878" s="10"/>
      <c r="P4878" s="11"/>
      <c r="Q4878" s="12"/>
    </row>
    <row r="4879" spans="1:17">
      <c r="A4879" s="15">
        <v>45657</v>
      </c>
      <c r="B4879" s="8">
        <v>2483.5270254236839</v>
      </c>
      <c r="G4879" s="10"/>
      <c r="M4879" s="10"/>
      <c r="P4879" s="11"/>
      <c r="Q4879" s="12"/>
    </row>
    <row r="4880" spans="1:17">
      <c r="A4880" s="15">
        <v>45658</v>
      </c>
      <c r="B4880" s="8">
        <v>2483.14533274625</v>
      </c>
      <c r="G4880" s="10"/>
      <c r="M4880" s="10"/>
      <c r="P4880" s="11"/>
      <c r="Q4880" s="12"/>
    </row>
    <row r="4881" spans="1:17">
      <c r="A4881" s="15">
        <v>45659</v>
      </c>
      <c r="B4881" s="8">
        <v>2476.9558823696439</v>
      </c>
      <c r="G4881" s="10"/>
      <c r="M4881" s="10"/>
      <c r="P4881" s="11"/>
      <c r="Q4881" s="12"/>
    </row>
    <row r="4882" spans="1:17">
      <c r="A4882" s="15">
        <v>45660</v>
      </c>
      <c r="B4882" s="8">
        <v>2482.8355468885043</v>
      </c>
      <c r="G4882" s="10"/>
      <c r="M4882" s="10"/>
      <c r="P4882" s="11"/>
      <c r="Q4882" s="12"/>
    </row>
    <row r="4883" spans="1:17">
      <c r="A4883" s="15">
        <v>45663</v>
      </c>
      <c r="B4883" s="8">
        <v>2526.7690495222118</v>
      </c>
      <c r="G4883" s="10"/>
      <c r="M4883" s="10"/>
      <c r="P4883" s="11"/>
      <c r="Q4883" s="12"/>
    </row>
    <row r="4884" spans="1:17">
      <c r="A4884" s="15">
        <v>45664</v>
      </c>
      <c r="B4884" s="8">
        <v>2508.4844813842687</v>
      </c>
      <c r="G4884" s="10"/>
      <c r="M4884" s="10"/>
      <c r="P4884" s="11"/>
      <c r="Q4884" s="12"/>
    </row>
    <row r="4885" spans="1:17">
      <c r="A4885" s="15">
        <v>45665</v>
      </c>
      <c r="B4885" s="8">
        <v>2501.4388847600962</v>
      </c>
      <c r="G4885" s="10"/>
      <c r="M4885" s="10"/>
      <c r="P4885" s="11"/>
      <c r="Q4885" s="12"/>
    </row>
    <row r="4886" spans="1:17">
      <c r="A4886" s="15">
        <v>45666</v>
      </c>
      <c r="B4886" s="8">
        <v>2507.3453714255334</v>
      </c>
      <c r="G4886" s="10"/>
      <c r="M4886" s="10"/>
      <c r="P4886" s="11"/>
      <c r="Q4886" s="12"/>
    </row>
    <row r="4887" spans="1:17">
      <c r="A4887" s="15">
        <v>45667</v>
      </c>
      <c r="B4887" s="8">
        <v>2472.6997284788717</v>
      </c>
      <c r="G4887" s="10"/>
      <c r="M4887" s="10"/>
      <c r="P4887" s="11"/>
      <c r="Q4887" s="12"/>
    </row>
    <row r="4888" spans="1:17">
      <c r="A4888" s="15">
        <v>45670</v>
      </c>
      <c r="B4888" s="8">
        <v>2471.5233470209969</v>
      </c>
      <c r="G4888" s="10"/>
      <c r="M4888" s="10"/>
      <c r="P4888" s="11"/>
      <c r="Q4888" s="12"/>
    </row>
    <row r="4889" spans="1:17">
      <c r="A4889" s="15">
        <v>45671</v>
      </c>
      <c r="B4889" s="8">
        <v>2494.9183734895387</v>
      </c>
      <c r="G4889" s="10"/>
      <c r="M4889" s="10"/>
      <c r="P4889" s="11"/>
      <c r="Q4889" s="12"/>
    </row>
    <row r="4890" spans="1:17">
      <c r="A4890" s="15">
        <v>45672</v>
      </c>
      <c r="B4890" s="8">
        <v>2540.5776506006709</v>
      </c>
      <c r="G4890" s="10"/>
      <c r="M4890" s="10"/>
      <c r="P4890" s="11"/>
      <c r="Q4890" s="12"/>
    </row>
    <row r="4891" spans="1:17">
      <c r="A4891" s="15">
        <v>45673</v>
      </c>
      <c r="B4891" s="8">
        <v>2544.9228192612904</v>
      </c>
      <c r="G4891" s="10"/>
      <c r="M4891" s="10"/>
      <c r="P4891" s="11"/>
      <c r="Q4891" s="12"/>
    </row>
    <row r="4892" spans="1:17">
      <c r="A4892" s="15">
        <v>45674</v>
      </c>
      <c r="B4892" s="8">
        <v>2572.1870438295232</v>
      </c>
      <c r="G4892" s="10"/>
      <c r="M4892" s="10"/>
      <c r="P4892" s="11"/>
      <c r="Q4892" s="12"/>
    </row>
    <row r="4893" spans="1:17">
      <c r="A4893" s="15">
        <v>45677</v>
      </c>
      <c r="B4893" s="8">
        <v>2580.1585674329067</v>
      </c>
      <c r="G4893" s="10"/>
      <c r="M4893" s="10"/>
      <c r="P4893" s="11"/>
      <c r="Q4893" s="12"/>
    </row>
    <row r="4894" spans="1:17">
      <c r="A4894" s="15">
        <v>45678</v>
      </c>
      <c r="B4894" s="8">
        <v>2595.5973520508974</v>
      </c>
      <c r="G4894" s="10"/>
      <c r="M4894" s="10"/>
      <c r="P4894" s="11"/>
      <c r="Q4894" s="12"/>
    </row>
    <row r="4895" spans="1:17">
      <c r="A4895" s="15">
        <v>45679</v>
      </c>
      <c r="B4895" s="8">
        <v>2616.7096876011678</v>
      </c>
      <c r="G4895" s="10"/>
      <c r="M4895" s="10"/>
      <c r="P4895" s="11"/>
      <c r="Q4895" s="12"/>
    </row>
    <row r="4896" spans="1:17">
      <c r="A4896" s="15">
        <v>45680</v>
      </c>
      <c r="B4896" s="8">
        <v>2639.4351198473219</v>
      </c>
      <c r="G4896" s="10"/>
      <c r="M4896" s="10"/>
      <c r="P4896" s="11"/>
      <c r="Q4896" s="12"/>
    </row>
    <row r="4897" spans="1:17">
      <c r="A4897" s="15">
        <v>45681</v>
      </c>
      <c r="B4897" s="8">
        <v>2636.3158348606721</v>
      </c>
      <c r="G4897" s="10"/>
      <c r="M4897" s="10"/>
      <c r="P4897" s="11"/>
      <c r="Q4897" s="12"/>
    </row>
    <row r="4898" spans="1:17">
      <c r="A4898" s="15">
        <v>45684</v>
      </c>
      <c r="B4898" s="8">
        <v>2587.974801925584</v>
      </c>
      <c r="G4898" s="10"/>
      <c r="M4898" s="10"/>
      <c r="P4898" s="11"/>
      <c r="Q4898" s="12"/>
    </row>
    <row r="4899" spans="1:17">
      <c r="A4899" s="15">
        <v>45685</v>
      </c>
      <c r="B4899" s="8">
        <v>2597.6661563176226</v>
      </c>
      <c r="G4899" s="10"/>
      <c r="M4899" s="10"/>
    </row>
    <row r="4900" spans="1:17">
      <c r="A4900" s="15">
        <v>45686</v>
      </c>
      <c r="B4900" s="8">
        <v>2605.9067241799394</v>
      </c>
      <c r="G4900" s="10"/>
      <c r="M4900" s="10"/>
    </row>
    <row r="4901" spans="1:17">
      <c r="A4901" s="15">
        <v>45687</v>
      </c>
      <c r="B4901" s="8">
        <v>2622.82516690066</v>
      </c>
      <c r="G4901" s="10"/>
      <c r="M4901" s="10"/>
    </row>
    <row r="4902" spans="1:17">
      <c r="A4902" s="15">
        <v>45688</v>
      </c>
      <c r="B4902" s="8">
        <v>2618.1707939276371</v>
      </c>
      <c r="G4902" s="10"/>
      <c r="M4902" s="10"/>
    </row>
    <row r="4903" spans="1:17">
      <c r="A4903" s="15">
        <v>45691</v>
      </c>
      <c r="B4903" s="8">
        <v>2577.5707437577412</v>
      </c>
      <c r="G4903" s="10"/>
      <c r="M4903" s="10"/>
    </row>
    <row r="4904" spans="1:17">
      <c r="A4904" s="15">
        <v>45692</v>
      </c>
      <c r="B4904" s="8">
        <v>2604.7257050404596</v>
      </c>
      <c r="G4904" s="10"/>
      <c r="M4904" s="10"/>
    </row>
    <row r="4905" spans="1:17">
      <c r="A4905" s="15">
        <v>45693</v>
      </c>
      <c r="B4905" s="8">
        <v>2624.7771080876823</v>
      </c>
      <c r="G4905" s="10"/>
      <c r="M4905" s="10"/>
    </row>
    <row r="4906" spans="1:17">
      <c r="A4906" s="15">
        <v>45694</v>
      </c>
      <c r="B4906" s="8">
        <v>2673.3578649555311</v>
      </c>
      <c r="G4906" s="10"/>
      <c r="M4906" s="10"/>
    </row>
    <row r="4907" spans="1:17">
      <c r="A4907" s="15">
        <v>45695</v>
      </c>
      <c r="B4907" s="8">
        <v>2667.8893959159936</v>
      </c>
      <c r="G4907" s="10"/>
      <c r="M4907" s="10"/>
    </row>
    <row r="4908" spans="1:17">
      <c r="A4908" s="15">
        <v>45698</v>
      </c>
      <c r="B4908" s="8">
        <v>2678.7270129276403</v>
      </c>
      <c r="G4908" s="10"/>
      <c r="M4908" s="10"/>
    </row>
    <row r="4909" spans="1:17">
      <c r="A4909" s="15">
        <v>45699</v>
      </c>
      <c r="B4909" s="8">
        <v>2689.197400556131</v>
      </c>
      <c r="G4909" s="10"/>
      <c r="M4909" s="10"/>
    </row>
    <row r="4910" spans="1:17">
      <c r="A4910" s="15">
        <v>45700</v>
      </c>
      <c r="B4910" s="8">
        <v>2690.9116665218235</v>
      </c>
      <c r="G4910" s="10"/>
      <c r="M4910" s="10"/>
    </row>
    <row r="4911" spans="1:17">
      <c r="A4911" s="15">
        <v>45701</v>
      </c>
      <c r="B4911" s="8">
        <v>2727.3931829141593</v>
      </c>
      <c r="G4911" s="10"/>
    </row>
    <row r="4912" spans="1:17">
      <c r="A4912" s="15">
        <v>45702</v>
      </c>
      <c r="B4912" s="8">
        <v>2742.8924509720423</v>
      </c>
      <c r="G4912" s="10"/>
    </row>
    <row r="4913" spans="1:7">
      <c r="A4913" s="15">
        <v>45705</v>
      </c>
      <c r="B4913" s="8">
        <v>2751.9474331053325</v>
      </c>
      <c r="G4913" s="10"/>
    </row>
    <row r="4914" spans="1:7">
      <c r="A4914" s="15">
        <v>45706</v>
      </c>
      <c r="B4914" s="8">
        <v>2777.2549848972899</v>
      </c>
      <c r="G4914" s="10"/>
    </row>
    <row r="4915" spans="1:7">
      <c r="A4915" s="15">
        <v>45707</v>
      </c>
      <c r="B4915" s="8">
        <v>2748.6952199422358</v>
      </c>
      <c r="G4915" s="10"/>
    </row>
    <row r="4916" spans="1:7">
      <c r="A4916" s="15">
        <v>45708</v>
      </c>
      <c r="B4916" s="8">
        <v>2737.3620340103885</v>
      </c>
      <c r="G4916" s="10"/>
    </row>
    <row r="4917" spans="1:7">
      <c r="A4917" s="15">
        <v>45709</v>
      </c>
      <c r="B4917" s="8">
        <v>2711.2774557139142</v>
      </c>
      <c r="G4917" s="10"/>
    </row>
    <row r="4918" spans="1:7">
      <c r="A4918" s="15">
        <v>45712</v>
      </c>
      <c r="B4918" s="8">
        <v>2679.7696167614276</v>
      </c>
      <c r="G4918" s="10"/>
    </row>
    <row r="4919" spans="1:7">
      <c r="A4919" s="15">
        <v>45713</v>
      </c>
      <c r="B4919" s="8">
        <v>2668.3492047889208</v>
      </c>
      <c r="G4919" s="10"/>
    </row>
    <row r="4920" spans="1:7">
      <c r="A4920" s="15">
        <v>45714</v>
      </c>
      <c r="B4920" s="8">
        <v>2713.1224093338742</v>
      </c>
      <c r="G4920" s="10"/>
    </row>
    <row r="4921" spans="1:7">
      <c r="A4921" s="15">
        <v>45715</v>
      </c>
      <c r="B4921" s="8">
        <v>2675.2986801742832</v>
      </c>
      <c r="G4921" s="10"/>
    </row>
    <row r="4922" spans="1:7">
      <c r="A4922" s="15">
        <v>45716</v>
      </c>
      <c r="B4922" s="8">
        <v>2695.243681551211</v>
      </c>
      <c r="G4922" s="10"/>
    </row>
    <row r="4923" spans="1:7">
      <c r="A4923" s="15">
        <v>45719</v>
      </c>
      <c r="B4923" s="8">
        <v>2683.582360412654</v>
      </c>
      <c r="G4923" s="10"/>
    </row>
    <row r="4924" spans="1:7">
      <c r="A4924" s="15">
        <v>45720</v>
      </c>
      <c r="B4924" s="8">
        <v>2603.3635480634352</v>
      </c>
      <c r="G4924" s="10"/>
    </row>
    <row r="4925" spans="1:7">
      <c r="A4925" s="15">
        <v>45721</v>
      </c>
      <c r="B4925" s="8">
        <v>2673.4934513957596</v>
      </c>
      <c r="G4925" s="10"/>
    </row>
    <row r="4926" spans="1:7">
      <c r="A4926" s="15">
        <v>45722</v>
      </c>
      <c r="B4926" s="8">
        <v>2670.8785736846276</v>
      </c>
      <c r="G4926" s="10"/>
    </row>
    <row r="4927" spans="1:7">
      <c r="A4927" s="15">
        <v>45723</v>
      </c>
      <c r="B4927" s="8">
        <v>2650.8994780486078</v>
      </c>
      <c r="G4927" s="10"/>
    </row>
    <row r="4928" spans="1:7">
      <c r="A4928" s="15">
        <v>45726</v>
      </c>
      <c r="B4928" s="8">
        <v>2564.1881371808263</v>
      </c>
      <c r="G4928" s="10"/>
    </row>
    <row r="4929" spans="1:7">
      <c r="A4929" s="15">
        <v>45727</v>
      </c>
      <c r="B4929" s="8">
        <v>2540.130613862641</v>
      </c>
      <c r="G4929" s="10"/>
    </row>
    <row r="4930" spans="1:7">
      <c r="A4930" s="15">
        <v>45728</v>
      </c>
      <c r="B4930" s="8">
        <v>2565.8347190581103</v>
      </c>
      <c r="G4930" s="10"/>
    </row>
    <row r="4931" spans="1:7">
      <c r="A4931" s="15">
        <v>45729</v>
      </c>
      <c r="B4931" s="8">
        <v>2528.3451893026149</v>
      </c>
      <c r="G4931" s="10"/>
    </row>
    <row r="4932" spans="1:7">
      <c r="A4932" s="15">
        <v>45730</v>
      </c>
      <c r="B4932" s="8">
        <v>2588.453508974686</v>
      </c>
      <c r="G4932" s="10"/>
    </row>
    <row r="4933" spans="1:7">
      <c r="A4933" s="15">
        <v>45733</v>
      </c>
      <c r="B4933" s="8">
        <v>2612.9436897572955</v>
      </c>
      <c r="G4933" s="10"/>
    </row>
    <row r="4934" spans="1:7">
      <c r="A4934" s="15">
        <v>45734</v>
      </c>
      <c r="B4934" s="8">
        <v>2618.9754210494434</v>
      </c>
      <c r="G4934" s="10"/>
    </row>
    <row r="4935" spans="1:7">
      <c r="A4935" s="15">
        <v>45735</v>
      </c>
      <c r="B4935" s="8">
        <v>2646.1646987737877</v>
      </c>
      <c r="G4935" s="10"/>
    </row>
    <row r="4936" spans="1:7">
      <c r="A4936" s="15">
        <v>45736</v>
      </c>
      <c r="B4936" s="8">
        <v>2616.4069435238957</v>
      </c>
      <c r="G4936" s="10"/>
    </row>
    <row r="4937" spans="1:7">
      <c r="A4937" s="15">
        <v>45737</v>
      </c>
      <c r="B4937" s="8">
        <v>2610.4117690435774</v>
      </c>
      <c r="G4937" s="10"/>
    </row>
    <row r="4938" spans="1:7">
      <c r="A4938" s="15">
        <v>45740</v>
      </c>
      <c r="B4938" s="8">
        <v>2643.7154453150074</v>
      </c>
      <c r="G4938" s="10"/>
    </row>
    <row r="4939" spans="1:7">
      <c r="A4939" s="15">
        <v>45741</v>
      </c>
      <c r="B4939" s="8">
        <v>2668.4360733394697</v>
      </c>
      <c r="G4939" s="10"/>
    </row>
    <row r="4940" spans="1:7">
      <c r="A4940" s="15">
        <v>45742</v>
      </c>
      <c r="B4940" s="8">
        <v>2634.2236448253907</v>
      </c>
      <c r="G4940" s="10"/>
    </row>
    <row r="4941" spans="1:7">
      <c r="A4941" s="15">
        <v>45743</v>
      </c>
      <c r="B4941" s="8">
        <v>2604.8015957684256</v>
      </c>
      <c r="G4941" s="10"/>
    </row>
    <row r="4942" spans="1:7">
      <c r="A4942" s="15">
        <v>45744</v>
      </c>
      <c r="B4942" s="8">
        <v>2547.9541003230829</v>
      </c>
      <c r="G4942" s="10"/>
    </row>
    <row r="4943" spans="1:7">
      <c r="A4943" s="15">
        <v>45747</v>
      </c>
      <c r="B4943" s="8">
        <v>2524.548308904928</v>
      </c>
      <c r="G4943" s="10"/>
    </row>
    <row r="4944" spans="1:7">
      <c r="A4944" s="15">
        <v>45748</v>
      </c>
      <c r="B4944" s="8">
        <v>2547.5916168359186</v>
      </c>
      <c r="G4944" s="10"/>
    </row>
    <row r="4945" spans="1:7">
      <c r="A4945" s="15">
        <v>45749</v>
      </c>
      <c r="B4945" s="8">
        <v>2558.0891137891881</v>
      </c>
      <c r="G4945" s="10"/>
    </row>
    <row r="4946" spans="1:7">
      <c r="A4946" s="15">
        <v>45750</v>
      </c>
      <c r="B4946" s="8">
        <v>2421.6008655889291</v>
      </c>
      <c r="G4946" s="10"/>
    </row>
    <row r="4947" spans="1:7">
      <c r="A4947" s="15">
        <v>45751</v>
      </c>
      <c r="B4947" s="8">
        <v>2266.7558511067591</v>
      </c>
      <c r="G4947" s="10"/>
    </row>
    <row r="4948" spans="1:7">
      <c r="A4948" s="15">
        <v>45754</v>
      </c>
      <c r="B4948" s="8">
        <v>2225.2203173726862</v>
      </c>
      <c r="G4948" s="10"/>
    </row>
    <row r="4949" spans="1:7">
      <c r="A4949" s="15">
        <v>45755</v>
      </c>
      <c r="B4949" s="8">
        <v>2239.6968780340831</v>
      </c>
      <c r="G4949" s="10"/>
    </row>
    <row r="4950" spans="1:7">
      <c r="A4950" s="15">
        <v>45756</v>
      </c>
      <c r="B4950" s="8">
        <v>2318.3444868329243</v>
      </c>
      <c r="G4950" s="10"/>
    </row>
    <row r="4951" spans="1:7">
      <c r="A4951" s="15">
        <v>45757</v>
      </c>
      <c r="B4951" s="8">
        <v>2331.4225778566397</v>
      </c>
      <c r="G4951" s="10"/>
    </row>
    <row r="4952" spans="1:7">
      <c r="A4952" s="15">
        <v>45758</v>
      </c>
      <c r="B4952" s="8">
        <v>2337.2605781652669</v>
      </c>
      <c r="G4952" s="10"/>
    </row>
    <row r="4953" spans="1:7">
      <c r="A4953" s="15">
        <v>45761</v>
      </c>
      <c r="B4953" s="8">
        <v>2383.1460594817804</v>
      </c>
      <c r="G4953" s="10"/>
    </row>
    <row r="4954" spans="1:7">
      <c r="A4954" s="15">
        <v>45762</v>
      </c>
      <c r="B4954" s="8">
        <v>2414.7968236751622</v>
      </c>
      <c r="G4954" s="10"/>
    </row>
    <row r="4955" spans="1:7">
      <c r="A4955" s="15">
        <v>45763</v>
      </c>
      <c r="B4955" s="8">
        <v>2382.3330752901848</v>
      </c>
      <c r="G4955" s="10"/>
    </row>
    <row r="4956" spans="1:7">
      <c r="A4956" s="15">
        <v>45764</v>
      </c>
      <c r="B4956" s="8">
        <v>2383.0552807659005</v>
      </c>
      <c r="G4956" s="10"/>
    </row>
    <row r="4957" spans="1:7">
      <c r="A4957" s="15">
        <v>45765</v>
      </c>
      <c r="B4957" s="8">
        <v>2382.6735880884694</v>
      </c>
      <c r="G4957" s="10"/>
    </row>
    <row r="4958" spans="1:7">
      <c r="A4958" s="15">
        <v>45768</v>
      </c>
      <c r="B4958" s="8">
        <v>2353.7054814846206</v>
      </c>
      <c r="G4958" s="10"/>
    </row>
    <row r="4959" spans="1:7">
      <c r="A4959" s="15">
        <v>45769</v>
      </c>
      <c r="B4959" s="8">
        <v>2392.7323817917741</v>
      </c>
      <c r="G4959" s="10"/>
    </row>
    <row r="4960" spans="1:7">
      <c r="A4960" s="15">
        <v>45770</v>
      </c>
      <c r="B4960" s="8">
        <v>2457.618739431115</v>
      </c>
      <c r="G4960" s="10"/>
    </row>
    <row r="4961" spans="1:7">
      <c r="A4961" s="15">
        <v>45771</v>
      </c>
      <c r="B4961" s="8">
        <v>2493.2237298715836</v>
      </c>
      <c r="G4961" s="10"/>
    </row>
    <row r="4962" spans="1:7">
      <c r="A4962" s="15">
        <v>45772</v>
      </c>
      <c r="B4962" s="8">
        <v>2528.4406703165928</v>
      </c>
      <c r="G4962" s="10"/>
    </row>
    <row r="4963" spans="1:7">
      <c r="A4963" s="15">
        <v>45775</v>
      </c>
      <c r="B4963" s="8">
        <v>2532.7353230181402</v>
      </c>
      <c r="G4963" s="10"/>
    </row>
    <row r="4964" spans="1:7">
      <c r="A4964" s="15">
        <v>45776</v>
      </c>
      <c r="B4964" s="8">
        <v>2542.7155958033118</v>
      </c>
      <c r="G4964" s="10"/>
    </row>
    <row r="4965" spans="1:7">
      <c r="A4965" s="15">
        <v>45777</v>
      </c>
      <c r="B4965" s="8">
        <v>2539.979490150869</v>
      </c>
      <c r="G4965" s="10"/>
    </row>
    <row r="4966" spans="1:7">
      <c r="A4966" s="15">
        <v>45778</v>
      </c>
      <c r="B4966" s="8">
        <v>2537.599427305352</v>
      </c>
      <c r="G4966" s="10"/>
    </row>
    <row r="4967" spans="1:7">
      <c r="A4967" s="15">
        <v>45779</v>
      </c>
      <c r="B4967" s="8">
        <v>2605.9016765122915</v>
      </c>
      <c r="G4967" s="10"/>
    </row>
    <row r="4968" spans="1:7">
      <c r="A4968" s="15">
        <v>45782</v>
      </c>
      <c r="B4968" s="8">
        <v>2599.1623292134423</v>
      </c>
      <c r="G4968" s="10"/>
    </row>
    <row r="4969" spans="1:7">
      <c r="A4969" s="15">
        <v>45783</v>
      </c>
      <c r="B4969" s="8">
        <v>2586.733454247857</v>
      </c>
      <c r="G4969" s="10"/>
    </row>
    <row r="4970" spans="1:7">
      <c r="A4970" s="15">
        <v>45784</v>
      </c>
      <c r="B4970" s="8">
        <v>2587.9988720130641</v>
      </c>
      <c r="G4970" s="10"/>
    </row>
    <row r="4971" spans="1:7">
      <c r="A4971" s="15">
        <v>45785</v>
      </c>
      <c r="B4971" s="8">
        <v>2621.3339622453923</v>
      </c>
      <c r="G4971" s="10"/>
    </row>
    <row r="4972" spans="1:7">
      <c r="A4972" s="15">
        <v>45786</v>
      </c>
      <c r="B4972" s="8">
        <v>2633.5128773841752</v>
      </c>
      <c r="G4972" s="10"/>
    </row>
    <row r="4973" spans="1:7">
      <c r="A4973" s="15">
        <v>45789</v>
      </c>
      <c r="B4973" s="8">
        <v>2715.1166090849715</v>
      </c>
      <c r="G4973" s="10"/>
    </row>
    <row r="4974" spans="1:7">
      <c r="A4974" s="15">
        <v>45790</v>
      </c>
      <c r="B4974" s="8">
        <v>2740.0530755837176</v>
      </c>
      <c r="G4974" s="10"/>
    </row>
    <row r="4975" spans="1:7">
      <c r="A4975" s="15">
        <v>45791</v>
      </c>
      <c r="B4975" s="8">
        <v>2748.1872775206239</v>
      </c>
      <c r="G4975" s="10"/>
    </row>
    <row r="4976" spans="1:7">
      <c r="A4976" s="15"/>
      <c r="B4976" s="8"/>
      <c r="G4976" s="10"/>
    </row>
    <row r="4977" spans="1:7">
      <c r="A4977" s="15"/>
      <c r="B4977" s="8"/>
      <c r="G4977" s="10"/>
    </row>
    <row r="4978" spans="1:7">
      <c r="G4978" s="10"/>
    </row>
    <row r="4979" spans="1:7">
      <c r="G4979" s="10"/>
    </row>
    <row r="4980" spans="1:7">
      <c r="G4980" s="10"/>
    </row>
    <row r="4981" spans="1:7">
      <c r="G4981" s="10"/>
    </row>
    <row r="4982" spans="1:7">
      <c r="G4982" s="10"/>
    </row>
    <row r="4983" spans="1:7">
      <c r="G4983" s="10"/>
    </row>
    <row r="4984" spans="1:7">
      <c r="G4984" s="10"/>
    </row>
    <row r="4985" spans="1:7">
      <c r="G4985" s="10"/>
    </row>
    <row r="4986" spans="1:7">
      <c r="G4986" s="10"/>
    </row>
    <row r="4987" spans="1:7">
      <c r="G4987" s="10"/>
    </row>
    <row r="4988" spans="1:7">
      <c r="G4988" s="10"/>
    </row>
    <row r="4989" spans="1:7">
      <c r="G4989" s="10"/>
    </row>
    <row r="4990" spans="1:7">
      <c r="G4990" s="10"/>
    </row>
    <row r="4991" spans="1:7">
      <c r="G4991" s="10"/>
    </row>
    <row r="4992" spans="1:7">
      <c r="G4992" s="10"/>
    </row>
    <row r="4993" spans="7:7">
      <c r="G4993" s="10"/>
    </row>
    <row r="4994" spans="7:7">
      <c r="G4994" s="10"/>
    </row>
    <row r="4995" spans="7:7">
      <c r="G4995" s="10"/>
    </row>
    <row r="4996" spans="7:7">
      <c r="G4996" s="10"/>
    </row>
    <row r="4997" spans="7:7">
      <c r="G4997" s="10"/>
    </row>
    <row r="4998" spans="7:7">
      <c r="G4998" s="10"/>
    </row>
    <row r="4999" spans="7:7">
      <c r="G4999" s="10"/>
    </row>
    <row r="5000" spans="7:7">
      <c r="G5000" s="10"/>
    </row>
    <row r="5001" spans="7:7">
      <c r="G5001" s="10"/>
    </row>
    <row r="5002" spans="7:7">
      <c r="G5002" s="10"/>
    </row>
    <row r="5003" spans="7:7">
      <c r="G5003" s="10"/>
    </row>
    <row r="5004" spans="7:7">
      <c r="G5004" s="10"/>
    </row>
    <row r="5005" spans="7:7">
      <c r="G5005" s="10"/>
    </row>
    <row r="5006" spans="7:7">
      <c r="G5006" s="10"/>
    </row>
    <row r="5007" spans="7:7">
      <c r="G5007" s="10"/>
    </row>
    <row r="5008" spans="7:7">
      <c r="G5008" s="10"/>
    </row>
    <row r="5009" spans="7:7">
      <c r="G5009" s="10"/>
    </row>
    <row r="5010" spans="7:7">
      <c r="G5010" s="10"/>
    </row>
    <row r="5011" spans="7:7">
      <c r="G5011" s="10"/>
    </row>
    <row r="5012" spans="7:7">
      <c r="G5012" s="10"/>
    </row>
    <row r="5013" spans="7:7">
      <c r="G5013" s="10"/>
    </row>
    <row r="5014" spans="7:7">
      <c r="G5014" s="10"/>
    </row>
    <row r="5015" spans="7:7">
      <c r="G5015" s="10"/>
    </row>
    <row r="5016" spans="7:7">
      <c r="G5016" s="10"/>
    </row>
    <row r="5017" spans="7:7">
      <c r="G5017" s="10"/>
    </row>
    <row r="5018" spans="7:7">
      <c r="G5018" s="10"/>
    </row>
    <row r="5019" spans="7:7">
      <c r="G5019" s="10"/>
    </row>
    <row r="5020" spans="7:7">
      <c r="G5020" s="10"/>
    </row>
    <row r="5021" spans="7:7">
      <c r="G5021" s="10"/>
    </row>
    <row r="5022" spans="7:7">
      <c r="G5022" s="10"/>
    </row>
    <row r="5023" spans="7:7">
      <c r="G5023" s="10"/>
    </row>
    <row r="5024" spans="7:7">
      <c r="G5024" s="10"/>
    </row>
    <row r="5025" spans="7:7">
      <c r="G5025" s="10"/>
    </row>
    <row r="5026" spans="7:7">
      <c r="G5026" s="10"/>
    </row>
    <row r="5027" spans="7:7">
      <c r="G5027" s="10"/>
    </row>
    <row r="5028" spans="7:7">
      <c r="G5028" s="10"/>
    </row>
    <row r="5029" spans="7:7">
      <c r="G5029" s="10"/>
    </row>
    <row r="5030" spans="7:7">
      <c r="G5030" s="10"/>
    </row>
    <row r="5031" spans="7:7">
      <c r="G5031" s="10"/>
    </row>
    <row r="5032" spans="7:7">
      <c r="G5032" s="10"/>
    </row>
    <row r="5033" spans="7:7">
      <c r="G5033" s="10"/>
    </row>
    <row r="5034" spans="7:7">
      <c r="G5034" s="10"/>
    </row>
    <row r="5035" spans="7:7">
      <c r="G5035" s="10"/>
    </row>
    <row r="5036" spans="7:7">
      <c r="G5036" s="10"/>
    </row>
    <row r="5037" spans="7:7">
      <c r="G5037" s="10"/>
    </row>
    <row r="5038" spans="7:7">
      <c r="G5038" s="10"/>
    </row>
    <row r="5039" spans="7:7">
      <c r="G5039" s="10"/>
    </row>
    <row r="5040" spans="7:7">
      <c r="G5040" s="10"/>
    </row>
    <row r="5041" spans="7:7">
      <c r="G5041" s="10"/>
    </row>
    <row r="5042" spans="7:7">
      <c r="G5042" s="10"/>
    </row>
    <row r="5043" spans="7:7">
      <c r="G5043" s="10"/>
    </row>
    <row r="5044" spans="7:7">
      <c r="G5044" s="10"/>
    </row>
    <row r="5045" spans="7:7">
      <c r="G5045" s="10"/>
    </row>
    <row r="5046" spans="7:7">
      <c r="G5046" s="10"/>
    </row>
    <row r="5047" spans="7:7">
      <c r="G5047" s="10"/>
    </row>
    <row r="5048" spans="7:7">
      <c r="G5048" s="10"/>
    </row>
    <row r="5049" spans="7:7">
      <c r="G5049" s="10"/>
    </row>
    <row r="5050" spans="7:7">
      <c r="G5050" s="10"/>
    </row>
    <row r="5051" spans="7:7">
      <c r="G5051" s="10"/>
    </row>
    <row r="5052" spans="7:7">
      <c r="G5052" s="10"/>
    </row>
    <row r="5053" spans="7:7">
      <c r="G5053" s="10"/>
    </row>
    <row r="5054" spans="7:7">
      <c r="G5054" s="10"/>
    </row>
    <row r="5055" spans="7:7">
      <c r="G5055" s="10"/>
    </row>
    <row r="5056" spans="7:7">
      <c r="G5056" s="10"/>
    </row>
    <row r="5057" spans="7:7">
      <c r="G5057" s="10"/>
    </row>
    <row r="5058" spans="7:7">
      <c r="G5058" s="10"/>
    </row>
    <row r="5059" spans="7:7">
      <c r="G5059" s="10"/>
    </row>
    <row r="5060" spans="7:7">
      <c r="G5060" s="10"/>
    </row>
    <row r="5061" spans="7:7">
      <c r="G5061" s="10"/>
    </row>
    <row r="5062" spans="7:7">
      <c r="G5062" s="10"/>
    </row>
    <row r="5063" spans="7:7">
      <c r="G5063" s="10"/>
    </row>
    <row r="5064" spans="7:7">
      <c r="G5064" s="10"/>
    </row>
    <row r="5065" spans="7:7">
      <c r="G5065" s="10"/>
    </row>
    <row r="5066" spans="7:7">
      <c r="G5066" s="10"/>
    </row>
    <row r="5067" spans="7:7">
      <c r="G5067" s="10"/>
    </row>
    <row r="5068" spans="7:7">
      <c r="G5068" s="10"/>
    </row>
    <row r="5069" spans="7:7">
      <c r="G5069" s="10"/>
    </row>
    <row r="5070" spans="7:7">
      <c r="G5070" s="10"/>
    </row>
    <row r="5071" spans="7:7">
      <c r="G5071" s="10"/>
    </row>
    <row r="5072" spans="7:7">
      <c r="G5072" s="10"/>
    </row>
    <row r="5073" spans="7:7">
      <c r="G5073" s="10"/>
    </row>
    <row r="5074" spans="7:7">
      <c r="G5074" s="10"/>
    </row>
    <row r="5075" spans="7:7">
      <c r="G5075" s="10"/>
    </row>
    <row r="5076" spans="7:7">
      <c r="G5076" s="10"/>
    </row>
    <row r="5077" spans="7:7">
      <c r="G5077" s="10"/>
    </row>
    <row r="5078" spans="7:7">
      <c r="G5078" s="10"/>
    </row>
    <row r="5079" spans="7:7">
      <c r="G5079" s="10"/>
    </row>
    <row r="5080" spans="7:7">
      <c r="G5080" s="10"/>
    </row>
    <row r="5081" spans="7:7">
      <c r="G5081" s="10"/>
    </row>
    <row r="5082" spans="7:7">
      <c r="G5082" s="10"/>
    </row>
    <row r="5083" spans="7:7">
      <c r="G5083" s="10"/>
    </row>
    <row r="5084" spans="7:7">
      <c r="G5084" s="10"/>
    </row>
    <row r="5085" spans="7:7">
      <c r="G5085" s="10"/>
    </row>
    <row r="5086" spans="7:7">
      <c r="G5086" s="10"/>
    </row>
    <row r="5087" spans="7:7">
      <c r="G5087" s="10"/>
    </row>
    <row r="5088" spans="7:7">
      <c r="G5088" s="10"/>
    </row>
    <row r="5089" spans="7:7">
      <c r="G5089" s="10"/>
    </row>
    <row r="5090" spans="7:7">
      <c r="G5090" s="10"/>
    </row>
    <row r="5091" spans="7:7">
      <c r="G5091" s="10"/>
    </row>
    <row r="5092" spans="7:7">
      <c r="G5092" s="10"/>
    </row>
    <row r="5093" spans="7:7">
      <c r="G5093" s="10"/>
    </row>
    <row r="5094" spans="7:7">
      <c r="G5094" s="10"/>
    </row>
    <row r="5095" spans="7:7">
      <c r="G5095" s="10"/>
    </row>
    <row r="5096" spans="7:7">
      <c r="G5096" s="10"/>
    </row>
    <row r="5097" spans="7:7">
      <c r="G5097" s="10"/>
    </row>
    <row r="5098" spans="7:7">
      <c r="G5098" s="10"/>
    </row>
    <row r="5099" spans="7:7">
      <c r="G5099" s="10"/>
    </row>
    <row r="5100" spans="7:7">
      <c r="G5100" s="10"/>
    </row>
    <row r="5101" spans="7:7">
      <c r="G5101" s="10"/>
    </row>
    <row r="5102" spans="7:7">
      <c r="G5102" s="10"/>
    </row>
    <row r="5103" spans="7:7">
      <c r="G5103" s="10"/>
    </row>
    <row r="5104" spans="7:7">
      <c r="G5104" s="10"/>
    </row>
    <row r="5105" spans="7:7">
      <c r="G5105" s="10"/>
    </row>
    <row r="5106" spans="7:7">
      <c r="G5106" s="10"/>
    </row>
    <row r="5107" spans="7:7">
      <c r="G5107" s="10"/>
    </row>
    <row r="5108" spans="7:7">
      <c r="G5108" s="10"/>
    </row>
    <row r="5109" spans="7:7">
      <c r="G5109" s="10"/>
    </row>
    <row r="5110" spans="7:7">
      <c r="G5110" s="10"/>
    </row>
    <row r="5111" spans="7:7">
      <c r="G5111" s="10"/>
    </row>
    <row r="5112" spans="7:7">
      <c r="G5112" s="10"/>
    </row>
    <row r="5113" spans="7:7">
      <c r="G5113" s="10"/>
    </row>
    <row r="5114" spans="7:7">
      <c r="G5114" s="10"/>
    </row>
    <row r="5115" spans="7:7">
      <c r="G5115" s="10"/>
    </row>
    <row r="5116" spans="7:7">
      <c r="G5116" s="10"/>
    </row>
    <row r="5117" spans="7:7">
      <c r="G5117" s="10"/>
    </row>
    <row r="5118" spans="7:7">
      <c r="G5118" s="10"/>
    </row>
    <row r="5119" spans="7:7">
      <c r="G5119" s="10"/>
    </row>
    <row r="5120" spans="7:7">
      <c r="G5120" s="10"/>
    </row>
    <row r="5121" spans="7:7">
      <c r="G5121" s="10"/>
    </row>
    <row r="5122" spans="7:7">
      <c r="G5122" s="10"/>
    </row>
    <row r="5123" spans="7:7">
      <c r="G5123" s="10"/>
    </row>
    <row r="5124" spans="7:7">
      <c r="G5124" s="10"/>
    </row>
    <row r="5125" spans="7:7">
      <c r="G5125" s="10"/>
    </row>
    <row r="5126" spans="7:7">
      <c r="G5126" s="10"/>
    </row>
    <row r="5127" spans="7:7">
      <c r="G5127" s="10"/>
    </row>
    <row r="5128" spans="7:7">
      <c r="G5128" s="10"/>
    </row>
    <row r="5129" spans="7:7">
      <c r="G5129" s="10"/>
    </row>
    <row r="5130" spans="7:7">
      <c r="G5130" s="10"/>
    </row>
    <row r="5131" spans="7:7">
      <c r="G5131" s="10"/>
    </row>
    <row r="5132" spans="7:7">
      <c r="G5132" s="10"/>
    </row>
    <row r="5133" spans="7:7">
      <c r="G5133" s="10"/>
    </row>
    <row r="5134" spans="7:7">
      <c r="G5134" s="10"/>
    </row>
    <row r="5135" spans="7:7">
      <c r="G5135" s="10"/>
    </row>
    <row r="5136" spans="7:7">
      <c r="G5136" s="10"/>
    </row>
    <row r="5137" spans="7:7">
      <c r="G5137" s="10"/>
    </row>
    <row r="5138" spans="7:7">
      <c r="G5138" s="10"/>
    </row>
    <row r="5139" spans="7:7">
      <c r="G5139" s="10"/>
    </row>
    <row r="5140" spans="7:7">
      <c r="G5140" s="10"/>
    </row>
    <row r="5141" spans="7:7">
      <c r="G5141" s="10"/>
    </row>
    <row r="5142" spans="7:7">
      <c r="G5142" s="10"/>
    </row>
    <row r="5143" spans="7:7">
      <c r="G5143" s="10"/>
    </row>
    <row r="5144" spans="7:7">
      <c r="G5144" s="10"/>
    </row>
    <row r="5145" spans="7:7">
      <c r="G5145" s="10"/>
    </row>
    <row r="5146" spans="7:7">
      <c r="G5146" s="10"/>
    </row>
    <row r="5147" spans="7:7">
      <c r="G5147" s="10"/>
    </row>
    <row r="5148" spans="7:7">
      <c r="G5148" s="10"/>
    </row>
    <row r="5149" spans="7:7">
      <c r="G5149" s="10"/>
    </row>
    <row r="5150" spans="7:7">
      <c r="G5150" s="10"/>
    </row>
    <row r="5151" spans="7:7">
      <c r="G5151" s="10"/>
    </row>
    <row r="5152" spans="7:7">
      <c r="G5152" s="10"/>
    </row>
    <row r="5153" spans="7:7">
      <c r="G5153" s="10"/>
    </row>
    <row r="5154" spans="7:7">
      <c r="G5154" s="10"/>
    </row>
    <row r="5155" spans="7:7">
      <c r="G5155" s="10"/>
    </row>
    <row r="5156" spans="7:7">
      <c r="G5156" s="10"/>
    </row>
    <row r="5157" spans="7:7">
      <c r="G5157" s="10"/>
    </row>
    <row r="5158" spans="7:7">
      <c r="G5158" s="10"/>
    </row>
    <row r="5159" spans="7:7">
      <c r="G5159" s="10"/>
    </row>
    <row r="5160" spans="7:7">
      <c r="G5160" s="10"/>
    </row>
  </sheetData>
  <pageMargins left="0.7" right="0.7" top="0.75" bottom="0.75" header="0.3" footer="0.3"/>
  <pageSetup paperSize="9" orientation="portrait" r:id="rId1"/>
  <headerFooter>
    <oddFooter>&amp;L&amp;1#&amp;"Calibri"&amp;1&amp;KFFFFFFC2 - Internal Natixis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B749-3F06-41E2-9BE2-42691417524A}">
  <sheetPr codeName="Feuil2"/>
  <dimension ref="A1:M1505"/>
  <sheetViews>
    <sheetView zoomScale="80" zoomScaleNormal="80" workbookViewId="0">
      <selection activeCell="P7" sqref="P7"/>
    </sheetView>
  </sheetViews>
  <sheetFormatPr baseColWidth="10" defaultColWidth="9.109375" defaultRowHeight="14.4"/>
  <cols>
    <col min="1" max="1" width="32.6640625" style="3" customWidth="1"/>
    <col min="2" max="2" width="38.109375" style="3" customWidth="1"/>
    <col min="3" max="10" width="9.109375" style="3"/>
    <col min="11" max="11" width="13.109375" style="3" customWidth="1"/>
    <col min="12" max="16384" width="9.109375" style="3"/>
  </cols>
  <sheetData>
    <row r="1" spans="1:13">
      <c r="A1" s="3" t="s">
        <v>1</v>
      </c>
      <c r="B1" s="2" t="s">
        <v>2</v>
      </c>
    </row>
    <row r="2" spans="1:13">
      <c r="A2" s="3">
        <v>1</v>
      </c>
      <c r="B2" s="4">
        <v>2.2360000000000001E-2</v>
      </c>
    </row>
    <row r="3" spans="1:13">
      <c r="A3" s="3">
        <v>2</v>
      </c>
      <c r="B3" s="4">
        <v>2.0930000000000001E-2</v>
      </c>
    </row>
    <row r="4" spans="1:13">
      <c r="A4" s="3">
        <v>3</v>
      </c>
      <c r="B4" s="4">
        <v>2.0930000000000001E-2</v>
      </c>
      <c r="M4" s="4"/>
    </row>
    <row r="5" spans="1:13">
      <c r="A5" s="3">
        <v>4</v>
      </c>
      <c r="B5" s="4">
        <v>2.12E-2</v>
      </c>
      <c r="K5" s="6"/>
      <c r="L5" s="5"/>
      <c r="M5" s="4"/>
    </row>
    <row r="6" spans="1:13">
      <c r="A6" s="3">
        <v>5</v>
      </c>
      <c r="B6" s="4">
        <v>2.1420000000000002E-2</v>
      </c>
      <c r="K6" s="6"/>
      <c r="L6" s="5"/>
      <c r="M6" s="4"/>
    </row>
    <row r="7" spans="1:13">
      <c r="A7" s="3">
        <v>6</v>
      </c>
      <c r="B7" s="4">
        <v>2.1700000000000001E-2</v>
      </c>
      <c r="K7" s="6"/>
      <c r="L7" s="5"/>
      <c r="M7" s="4"/>
    </row>
    <row r="8" spans="1:13">
      <c r="A8" s="3">
        <v>7</v>
      </c>
      <c r="B8" s="4">
        <v>2.198E-2</v>
      </c>
      <c r="K8" s="6"/>
      <c r="L8" s="5"/>
      <c r="M8" s="4"/>
    </row>
    <row r="9" spans="1:13">
      <c r="A9" s="3">
        <v>8</v>
      </c>
      <c r="B9" s="4">
        <v>2.222E-2</v>
      </c>
      <c r="K9" s="6"/>
      <c r="L9" s="5"/>
      <c r="M9" s="4"/>
    </row>
    <row r="10" spans="1:13">
      <c r="A10" s="3">
        <v>9</v>
      </c>
      <c r="B10" s="4">
        <v>2.2429999999999999E-2</v>
      </c>
      <c r="K10" s="6"/>
      <c r="L10" s="5"/>
      <c r="M10" s="4"/>
    </row>
    <row r="11" spans="1:13">
      <c r="A11" s="3">
        <v>10</v>
      </c>
      <c r="B11" s="4">
        <v>2.2669999999999999E-2</v>
      </c>
      <c r="K11" s="6"/>
      <c r="L11" s="5"/>
      <c r="M11" s="4"/>
    </row>
    <row r="12" spans="1:13">
      <c r="A12" s="3">
        <v>11</v>
      </c>
      <c r="B12" s="4">
        <v>2.2859999999999998E-2</v>
      </c>
      <c r="K12" s="6"/>
      <c r="L12" s="5"/>
      <c r="M12" s="4"/>
    </row>
    <row r="13" spans="1:13">
      <c r="A13" s="3">
        <v>12</v>
      </c>
      <c r="B13" s="4">
        <v>2.308E-2</v>
      </c>
      <c r="D13" s="9"/>
      <c r="K13" s="6"/>
      <c r="L13" s="5"/>
      <c r="M13" s="4"/>
    </row>
    <row r="14" spans="1:13">
      <c r="A14" s="3">
        <v>13</v>
      </c>
      <c r="B14" s="4">
        <v>2.325E-2</v>
      </c>
      <c r="D14" s="9"/>
      <c r="K14" s="6"/>
      <c r="L14" s="5"/>
      <c r="M14" s="4"/>
    </row>
    <row r="15" spans="1:13">
      <c r="A15" s="3">
        <v>14</v>
      </c>
      <c r="B15" s="4">
        <v>2.334E-2</v>
      </c>
      <c r="D15" s="9"/>
      <c r="K15" s="6"/>
      <c r="L15" s="5"/>
      <c r="M15" s="4"/>
    </row>
    <row r="16" spans="1:13">
      <c r="A16" s="3">
        <v>15</v>
      </c>
      <c r="B16" s="4">
        <v>2.332E-2</v>
      </c>
      <c r="D16" s="9"/>
      <c r="K16" s="6"/>
      <c r="L16" s="5"/>
      <c r="M16" s="4"/>
    </row>
    <row r="17" spans="1:13">
      <c r="A17" s="3">
        <v>16</v>
      </c>
      <c r="B17" s="4">
        <v>2.3189999999999999E-2</v>
      </c>
      <c r="D17" s="9"/>
      <c r="K17" s="6"/>
      <c r="L17" s="5"/>
      <c r="M17" s="4"/>
    </row>
    <row r="18" spans="1:13">
      <c r="A18" s="3">
        <v>17</v>
      </c>
      <c r="B18" s="4">
        <v>2.3009999999999999E-2</v>
      </c>
      <c r="D18" s="9"/>
      <c r="K18" s="6"/>
      <c r="L18" s="5"/>
      <c r="M18" s="4"/>
    </row>
    <row r="19" spans="1:13">
      <c r="A19" s="3">
        <v>18</v>
      </c>
      <c r="B19" s="4">
        <v>2.283E-2</v>
      </c>
      <c r="D19" s="9"/>
      <c r="K19" s="6"/>
      <c r="L19" s="5"/>
      <c r="M19" s="4"/>
    </row>
    <row r="20" spans="1:13">
      <c r="A20" s="3">
        <v>19</v>
      </c>
      <c r="B20" s="4">
        <v>2.2679999999999999E-2</v>
      </c>
      <c r="D20" s="9"/>
      <c r="K20" s="6"/>
      <c r="L20" s="5"/>
      <c r="M20" s="4"/>
    </row>
    <row r="21" spans="1:13">
      <c r="A21" s="3">
        <v>20</v>
      </c>
      <c r="B21" s="4">
        <v>2.2589999999999999E-2</v>
      </c>
      <c r="D21" s="9"/>
      <c r="K21" s="6"/>
      <c r="L21" s="5"/>
      <c r="M21" s="4"/>
    </row>
    <row r="22" spans="1:13">
      <c r="A22" s="3">
        <v>21</v>
      </c>
      <c r="B22" s="4">
        <v>2.257E-2</v>
      </c>
      <c r="D22" s="9"/>
      <c r="K22" s="6"/>
      <c r="L22" s="5"/>
      <c r="M22" s="4"/>
    </row>
    <row r="23" spans="1:13">
      <c r="A23" s="3">
        <v>22</v>
      </c>
      <c r="B23" s="4">
        <v>2.2610000000000002E-2</v>
      </c>
      <c r="D23" s="9"/>
      <c r="K23" s="6"/>
      <c r="L23" s="5"/>
      <c r="M23" s="4"/>
    </row>
    <row r="24" spans="1:13">
      <c r="A24" s="3">
        <v>23</v>
      </c>
      <c r="B24" s="4">
        <v>2.2700000000000001E-2</v>
      </c>
      <c r="D24" s="9"/>
      <c r="K24" s="6"/>
      <c r="L24" s="5"/>
      <c r="M24" s="4"/>
    </row>
    <row r="25" spans="1:13">
      <c r="A25" s="3">
        <v>24</v>
      </c>
      <c r="B25" s="4">
        <v>2.281E-2</v>
      </c>
      <c r="D25" s="9"/>
      <c r="K25" s="6"/>
      <c r="L25" s="5"/>
      <c r="M25" s="4"/>
    </row>
    <row r="26" spans="1:13">
      <c r="A26" s="3">
        <v>25</v>
      </c>
      <c r="B26" s="4">
        <v>2.2960000000000001E-2</v>
      </c>
      <c r="D26" s="9"/>
      <c r="K26" s="6"/>
      <c r="L26" s="5"/>
      <c r="M26" s="4"/>
    </row>
    <row r="27" spans="1:13">
      <c r="A27" s="3">
        <v>26</v>
      </c>
      <c r="B27" s="4">
        <v>2.3120000000000002E-2</v>
      </c>
      <c r="D27" s="9"/>
      <c r="K27" s="6"/>
      <c r="L27" s="5"/>
      <c r="M27" s="4"/>
    </row>
    <row r="28" spans="1:13">
      <c r="A28" s="3">
        <v>27</v>
      </c>
      <c r="B28" s="4">
        <v>2.3290000000000002E-2</v>
      </c>
      <c r="D28" s="9"/>
      <c r="K28" s="6"/>
      <c r="L28" s="5"/>
      <c r="M28" s="4"/>
    </row>
    <row r="29" spans="1:13">
      <c r="A29" s="3">
        <v>28</v>
      </c>
      <c r="B29" s="4">
        <v>2.3470000000000001E-2</v>
      </c>
      <c r="D29" s="9"/>
      <c r="K29" s="6"/>
      <c r="L29" s="5"/>
      <c r="M29" s="4"/>
    </row>
    <row r="30" spans="1:13">
      <c r="A30" s="3">
        <v>29</v>
      </c>
      <c r="B30" s="4">
        <v>2.366E-2</v>
      </c>
      <c r="D30" s="9"/>
      <c r="K30" s="6"/>
      <c r="L30" s="5"/>
      <c r="M30" s="4"/>
    </row>
    <row r="31" spans="1:13">
      <c r="A31" s="3">
        <v>30</v>
      </c>
      <c r="B31" s="4">
        <v>2.385E-2</v>
      </c>
      <c r="D31" s="9"/>
      <c r="K31" s="6"/>
      <c r="L31" s="5"/>
      <c r="M31" s="4"/>
    </row>
    <row r="32" spans="1:13">
      <c r="A32" s="3">
        <v>31</v>
      </c>
      <c r="B32" s="4">
        <v>2.4039999999999999E-2</v>
      </c>
      <c r="D32" s="9"/>
      <c r="K32" s="6"/>
      <c r="L32" s="5"/>
      <c r="M32" s="4"/>
    </row>
    <row r="33" spans="1:13">
      <c r="A33" s="3">
        <v>32</v>
      </c>
      <c r="B33" s="4">
        <v>2.4230000000000002E-2</v>
      </c>
      <c r="D33" s="9"/>
      <c r="K33" s="6"/>
      <c r="L33" s="5"/>
      <c r="M33" s="4"/>
    </row>
    <row r="34" spans="1:13">
      <c r="A34" s="3">
        <v>33</v>
      </c>
      <c r="B34" s="4">
        <v>2.4420000000000001E-2</v>
      </c>
      <c r="D34" s="9"/>
      <c r="K34" s="6"/>
      <c r="L34" s="5"/>
      <c r="M34" s="4"/>
    </row>
    <row r="35" spans="1:13">
      <c r="A35" s="3">
        <v>34</v>
      </c>
      <c r="B35" s="4">
        <v>2.461E-2</v>
      </c>
      <c r="D35" s="9"/>
      <c r="K35" s="6"/>
      <c r="L35" s="5"/>
      <c r="M35" s="4"/>
    </row>
    <row r="36" spans="1:13">
      <c r="A36" s="3">
        <v>35</v>
      </c>
      <c r="B36" s="4">
        <v>2.479E-2</v>
      </c>
      <c r="K36" s="6"/>
      <c r="L36" s="5"/>
      <c r="M36" s="4"/>
    </row>
    <row r="37" spans="1:13">
      <c r="A37" s="3">
        <v>36</v>
      </c>
      <c r="B37" s="4">
        <v>2.4969999999999999E-2</v>
      </c>
      <c r="K37" s="6"/>
      <c r="L37" s="5"/>
      <c r="M37" s="4"/>
    </row>
    <row r="38" spans="1:13">
      <c r="A38" s="3">
        <v>37</v>
      </c>
      <c r="B38" s="4">
        <v>2.5139999999999999E-2</v>
      </c>
      <c r="K38" s="6"/>
      <c r="L38" s="5"/>
      <c r="M38" s="4"/>
    </row>
    <row r="39" spans="1:13">
      <c r="A39" s="3">
        <v>38</v>
      </c>
      <c r="B39" s="4">
        <v>2.5309999999999999E-2</v>
      </c>
      <c r="K39" s="6"/>
      <c r="L39" s="5"/>
      <c r="M39" s="4"/>
    </row>
    <row r="40" spans="1:13">
      <c r="A40" s="3">
        <v>39</v>
      </c>
      <c r="B40" s="4">
        <v>2.547E-2</v>
      </c>
      <c r="K40" s="6"/>
      <c r="L40" s="5"/>
      <c r="M40" s="4"/>
    </row>
    <row r="41" spans="1:13">
      <c r="A41" s="3">
        <v>40</v>
      </c>
      <c r="B41" s="4">
        <v>2.563E-2</v>
      </c>
      <c r="K41" s="6"/>
      <c r="L41" s="5"/>
      <c r="M41" s="4"/>
    </row>
    <row r="42" spans="1:13">
      <c r="A42" s="3">
        <v>41</v>
      </c>
      <c r="B42" s="4">
        <v>2.579E-2</v>
      </c>
      <c r="K42" s="6"/>
      <c r="L42" s="5"/>
      <c r="M42" s="4"/>
    </row>
    <row r="43" spans="1:13">
      <c r="A43" s="3">
        <v>42</v>
      </c>
      <c r="B43" s="4">
        <v>2.5940000000000001E-2</v>
      </c>
      <c r="K43" s="6"/>
      <c r="L43" s="5"/>
      <c r="M43" s="4"/>
    </row>
    <row r="44" spans="1:13">
      <c r="A44" s="3">
        <v>43</v>
      </c>
      <c r="B44" s="4">
        <v>2.6079999999999999E-2</v>
      </c>
      <c r="K44" s="6"/>
      <c r="L44" s="5"/>
      <c r="M44" s="4"/>
    </row>
    <row r="45" spans="1:13">
      <c r="A45" s="3">
        <v>44</v>
      </c>
      <c r="B45" s="4">
        <v>2.623E-2</v>
      </c>
      <c r="K45" s="6"/>
      <c r="L45" s="5"/>
      <c r="M45" s="4"/>
    </row>
    <row r="46" spans="1:13">
      <c r="A46" s="3">
        <v>45</v>
      </c>
      <c r="B46" s="4">
        <v>2.6360000000000001E-2</v>
      </c>
      <c r="K46" s="6"/>
      <c r="L46" s="5"/>
      <c r="M46" s="4"/>
    </row>
    <row r="47" spans="1:13">
      <c r="A47" s="3">
        <v>46</v>
      </c>
      <c r="B47" s="4">
        <v>2.649E-2</v>
      </c>
      <c r="K47" s="6"/>
      <c r="L47" s="5"/>
      <c r="M47" s="4"/>
    </row>
    <row r="48" spans="1:13">
      <c r="A48" s="3">
        <v>47</v>
      </c>
      <c r="B48" s="4">
        <v>2.6620000000000001E-2</v>
      </c>
      <c r="D48" s="4"/>
      <c r="K48" s="6"/>
      <c r="L48" s="5"/>
      <c r="M48" s="4"/>
    </row>
    <row r="49" spans="1:13">
      <c r="A49" s="3">
        <v>48</v>
      </c>
      <c r="B49" s="4">
        <v>2.674E-2</v>
      </c>
      <c r="K49" s="6"/>
      <c r="L49" s="5"/>
      <c r="M49" s="4"/>
    </row>
    <row r="50" spans="1:13">
      <c r="A50" s="3">
        <v>49</v>
      </c>
      <c r="B50" s="4">
        <v>2.6859999999999998E-2</v>
      </c>
      <c r="K50" s="6"/>
      <c r="L50" s="5"/>
      <c r="M50" s="4"/>
    </row>
    <row r="51" spans="1:13">
      <c r="A51" s="3">
        <v>50</v>
      </c>
      <c r="B51" s="4">
        <v>2.6980000000000001E-2</v>
      </c>
      <c r="K51" s="6"/>
      <c r="L51" s="5"/>
      <c r="M51" s="4"/>
    </row>
    <row r="52" spans="1:13">
      <c r="A52" s="3">
        <v>51</v>
      </c>
      <c r="B52" s="4">
        <v>2.7089999999999999E-2</v>
      </c>
      <c r="K52" s="6"/>
      <c r="L52" s="5"/>
      <c r="M52" s="4"/>
    </row>
    <row r="53" spans="1:13">
      <c r="A53" s="3">
        <v>52</v>
      </c>
      <c r="B53" s="4">
        <v>2.7199999999999998E-2</v>
      </c>
      <c r="K53" s="6"/>
      <c r="L53" s="5"/>
      <c r="M53" s="4"/>
    </row>
    <row r="54" spans="1:13">
      <c r="A54" s="3">
        <v>53</v>
      </c>
      <c r="B54" s="4">
        <v>2.7300000000000001E-2</v>
      </c>
      <c r="K54" s="6"/>
      <c r="L54" s="5"/>
      <c r="M54" s="4"/>
    </row>
    <row r="55" spans="1:13">
      <c r="A55" s="3">
        <v>54</v>
      </c>
      <c r="B55" s="4">
        <v>2.7400000000000001E-2</v>
      </c>
      <c r="K55" s="6"/>
      <c r="L55" s="5"/>
      <c r="M55" s="4"/>
    </row>
    <row r="56" spans="1:13">
      <c r="A56" s="3">
        <v>55</v>
      </c>
      <c r="B56" s="4">
        <v>2.75E-2</v>
      </c>
      <c r="K56" s="6"/>
      <c r="L56" s="5"/>
      <c r="M56" s="4"/>
    </row>
    <row r="57" spans="1:13">
      <c r="A57" s="3">
        <v>56</v>
      </c>
      <c r="B57" s="4">
        <v>2.76E-2</v>
      </c>
      <c r="K57" s="6"/>
      <c r="L57" s="5"/>
      <c r="M57" s="4"/>
    </row>
    <row r="58" spans="1:13">
      <c r="A58" s="3">
        <v>57</v>
      </c>
      <c r="B58" s="4">
        <v>2.7689999999999999E-2</v>
      </c>
      <c r="K58" s="6"/>
      <c r="L58" s="5"/>
      <c r="M58" s="4"/>
    </row>
    <row r="59" spans="1:13">
      <c r="A59" s="3">
        <v>58</v>
      </c>
      <c r="B59" s="4">
        <v>2.7779999999999999E-2</v>
      </c>
      <c r="K59" s="6"/>
      <c r="L59" s="5"/>
      <c r="M59" s="4"/>
    </row>
    <row r="60" spans="1:13">
      <c r="A60" s="3">
        <v>59</v>
      </c>
      <c r="B60" s="4">
        <v>2.7859999999999999E-2</v>
      </c>
      <c r="K60" s="6"/>
      <c r="L60" s="5"/>
      <c r="M60" s="4"/>
    </row>
    <row r="61" spans="1:13">
      <c r="A61" s="3">
        <v>60</v>
      </c>
      <c r="B61" s="4">
        <v>2.7949999999999999E-2</v>
      </c>
      <c r="K61" s="6"/>
      <c r="L61" s="5"/>
      <c r="M61" s="4"/>
    </row>
    <row r="62" spans="1:13">
      <c r="A62" s="3">
        <v>61</v>
      </c>
      <c r="B62" s="4">
        <v>2.8029999999999999E-2</v>
      </c>
      <c r="K62" s="6"/>
      <c r="L62" s="5"/>
      <c r="M62" s="4"/>
    </row>
    <row r="63" spans="1:13">
      <c r="A63" s="3">
        <v>62</v>
      </c>
      <c r="B63" s="4">
        <v>2.811E-2</v>
      </c>
      <c r="K63" s="6"/>
      <c r="L63" s="5"/>
      <c r="M63" s="4"/>
    </row>
    <row r="64" spans="1:13">
      <c r="A64" s="3">
        <v>63</v>
      </c>
      <c r="B64" s="4">
        <v>2.818E-2</v>
      </c>
      <c r="K64" s="6"/>
      <c r="L64" s="5"/>
      <c r="M64" s="4"/>
    </row>
    <row r="65" spans="1:13">
      <c r="A65" s="3">
        <v>64</v>
      </c>
      <c r="B65" s="4">
        <v>2.826E-2</v>
      </c>
      <c r="K65" s="6"/>
      <c r="L65" s="5"/>
      <c r="M65" s="4"/>
    </row>
    <row r="66" spans="1:13">
      <c r="A66" s="3">
        <v>65</v>
      </c>
      <c r="B66" s="4">
        <v>2.8330000000000001E-2</v>
      </c>
      <c r="K66" s="6"/>
      <c r="L66" s="5"/>
      <c r="M66" s="4"/>
    </row>
    <row r="67" spans="1:13">
      <c r="A67" s="3">
        <v>66</v>
      </c>
      <c r="B67" s="4">
        <v>2.8400000000000002E-2</v>
      </c>
      <c r="K67" s="6"/>
      <c r="L67" s="5"/>
      <c r="M67" s="4"/>
    </row>
    <row r="68" spans="1:13">
      <c r="A68" s="3">
        <v>67</v>
      </c>
      <c r="B68" s="4">
        <v>2.8469999999999999E-2</v>
      </c>
      <c r="K68" s="6"/>
      <c r="L68" s="5"/>
      <c r="M68" s="4"/>
    </row>
    <row r="69" spans="1:13">
      <c r="A69" s="3">
        <v>68</v>
      </c>
      <c r="B69" s="4">
        <v>2.853E-2</v>
      </c>
      <c r="K69" s="6"/>
      <c r="L69" s="5"/>
      <c r="M69" s="4"/>
    </row>
    <row r="70" spans="1:13">
      <c r="A70" s="3">
        <v>69</v>
      </c>
      <c r="B70" s="4">
        <v>2.86E-2</v>
      </c>
      <c r="K70" s="6"/>
      <c r="L70" s="5"/>
      <c r="M70" s="4"/>
    </row>
    <row r="71" spans="1:13">
      <c r="A71" s="3">
        <v>70</v>
      </c>
      <c r="B71" s="4">
        <v>2.8660000000000001E-2</v>
      </c>
      <c r="K71" s="6"/>
      <c r="L71" s="5"/>
      <c r="M71" s="4"/>
    </row>
    <row r="72" spans="1:13">
      <c r="A72" s="3">
        <v>71</v>
      </c>
      <c r="B72" s="4">
        <v>2.8719999999999999E-2</v>
      </c>
      <c r="K72" s="6"/>
      <c r="L72" s="5"/>
      <c r="M72" s="4"/>
    </row>
    <row r="73" spans="1:13">
      <c r="A73" s="3">
        <v>72</v>
      </c>
      <c r="B73" s="4">
        <v>2.878E-2</v>
      </c>
      <c r="K73" s="6"/>
      <c r="L73" s="5"/>
      <c r="M73" s="4"/>
    </row>
    <row r="74" spans="1:13">
      <c r="A74" s="3">
        <v>73</v>
      </c>
      <c r="B74" s="4">
        <v>2.8840000000000001E-2</v>
      </c>
      <c r="K74" s="6"/>
      <c r="L74" s="5"/>
      <c r="M74" s="4"/>
    </row>
    <row r="75" spans="1:13">
      <c r="A75" s="3">
        <v>74</v>
      </c>
      <c r="B75" s="4">
        <v>2.8889999999999999E-2</v>
      </c>
      <c r="K75" s="6"/>
      <c r="L75" s="5"/>
      <c r="M75" s="4"/>
    </row>
    <row r="76" spans="1:13">
      <c r="A76" s="3">
        <v>75</v>
      </c>
      <c r="B76" s="4">
        <v>2.895E-2</v>
      </c>
      <c r="K76" s="6"/>
      <c r="L76" s="5"/>
      <c r="M76" s="4"/>
    </row>
    <row r="77" spans="1:13">
      <c r="A77" s="3">
        <v>76</v>
      </c>
      <c r="B77" s="4">
        <v>2.9000000000000001E-2</v>
      </c>
      <c r="K77" s="6"/>
      <c r="L77" s="5"/>
      <c r="M77" s="4"/>
    </row>
    <row r="78" spans="1:13">
      <c r="A78" s="3">
        <v>77</v>
      </c>
      <c r="B78" s="4">
        <v>2.9049999999999999E-2</v>
      </c>
      <c r="K78" s="6"/>
      <c r="L78" s="5"/>
      <c r="M78" s="4"/>
    </row>
    <row r="79" spans="1:13">
      <c r="A79" s="3">
        <v>78</v>
      </c>
      <c r="B79" s="4">
        <v>2.9100000000000001E-2</v>
      </c>
      <c r="K79" s="6"/>
      <c r="L79" s="5"/>
      <c r="M79" s="4"/>
    </row>
    <row r="80" spans="1:13">
      <c r="A80" s="3">
        <v>79</v>
      </c>
      <c r="B80" s="4">
        <v>2.9149999999999999E-2</v>
      </c>
      <c r="K80" s="6"/>
      <c r="L80" s="5"/>
      <c r="M80" s="4"/>
    </row>
    <row r="81" spans="1:13">
      <c r="A81" s="3">
        <v>80</v>
      </c>
      <c r="B81" s="4">
        <v>2.92E-2</v>
      </c>
      <c r="K81" s="6"/>
      <c r="L81" s="5"/>
      <c r="M81" s="4"/>
    </row>
    <row r="82" spans="1:13">
      <c r="A82" s="3">
        <v>81</v>
      </c>
      <c r="B82" s="4">
        <v>2.9250000000000002E-2</v>
      </c>
      <c r="K82" s="6"/>
      <c r="L82" s="5"/>
      <c r="M82" s="4"/>
    </row>
    <row r="83" spans="1:13">
      <c r="A83" s="3">
        <v>82</v>
      </c>
      <c r="B83" s="4">
        <v>2.929E-2</v>
      </c>
      <c r="K83" s="6"/>
      <c r="L83" s="5"/>
      <c r="M83" s="4"/>
    </row>
    <row r="84" spans="1:13">
      <c r="A84" s="3">
        <v>83</v>
      </c>
      <c r="B84" s="4">
        <v>2.9340000000000001E-2</v>
      </c>
      <c r="K84" s="6"/>
      <c r="L84" s="5"/>
      <c r="M84" s="4"/>
    </row>
    <row r="85" spans="1:13">
      <c r="A85" s="3">
        <v>84</v>
      </c>
      <c r="B85" s="4">
        <v>2.938E-2</v>
      </c>
      <c r="K85" s="6"/>
      <c r="L85" s="5"/>
      <c r="M85" s="4"/>
    </row>
    <row r="86" spans="1:13">
      <c r="A86" s="3">
        <v>85</v>
      </c>
      <c r="B86" s="4">
        <v>2.9420000000000002E-2</v>
      </c>
      <c r="K86" s="6"/>
      <c r="L86" s="5"/>
      <c r="M86" s="4"/>
    </row>
    <row r="87" spans="1:13">
      <c r="A87" s="3">
        <v>86</v>
      </c>
      <c r="B87" s="4">
        <v>2.946E-2</v>
      </c>
      <c r="K87" s="6"/>
      <c r="L87" s="5"/>
      <c r="M87" s="4"/>
    </row>
    <row r="88" spans="1:13">
      <c r="A88" s="3">
        <v>87</v>
      </c>
      <c r="B88" s="4">
        <v>2.9499999999999998E-2</v>
      </c>
      <c r="K88" s="6"/>
      <c r="L88" s="5"/>
      <c r="M88" s="4"/>
    </row>
    <row r="89" spans="1:13">
      <c r="A89" s="3">
        <v>88</v>
      </c>
      <c r="B89" s="4">
        <v>2.954E-2</v>
      </c>
      <c r="K89" s="6"/>
      <c r="L89" s="5"/>
      <c r="M89" s="4"/>
    </row>
    <row r="90" spans="1:13">
      <c r="A90" s="3">
        <v>89</v>
      </c>
      <c r="B90" s="4">
        <v>2.9579999999999999E-2</v>
      </c>
      <c r="K90" s="6"/>
      <c r="L90" s="5"/>
      <c r="M90" s="4"/>
    </row>
    <row r="91" spans="1:13">
      <c r="A91" s="3">
        <v>90</v>
      </c>
      <c r="B91" s="4">
        <v>2.962E-2</v>
      </c>
      <c r="K91" s="6"/>
      <c r="L91" s="5"/>
      <c r="M91" s="4"/>
    </row>
    <row r="92" spans="1:13">
      <c r="A92" s="3">
        <v>91</v>
      </c>
      <c r="B92" s="4">
        <v>2.9659999999999999E-2</v>
      </c>
      <c r="K92" s="6"/>
      <c r="L92" s="5"/>
      <c r="M92" s="4"/>
    </row>
    <row r="93" spans="1:13">
      <c r="A93" s="3">
        <v>92</v>
      </c>
      <c r="B93" s="4">
        <v>2.9690000000000001E-2</v>
      </c>
      <c r="K93" s="6"/>
      <c r="L93" s="5"/>
      <c r="M93" s="4"/>
    </row>
    <row r="94" spans="1:13">
      <c r="A94" s="3">
        <v>93</v>
      </c>
      <c r="B94" s="4">
        <v>2.9729999999999999E-2</v>
      </c>
      <c r="K94" s="6"/>
      <c r="L94" s="5"/>
      <c r="M94" s="4"/>
    </row>
    <row r="95" spans="1:13">
      <c r="A95" s="3">
        <v>94</v>
      </c>
      <c r="B95" s="4">
        <v>2.9760000000000002E-2</v>
      </c>
      <c r="K95" s="6"/>
      <c r="L95" s="5"/>
      <c r="M95" s="4"/>
    </row>
    <row r="96" spans="1:13">
      <c r="A96" s="3">
        <v>95</v>
      </c>
      <c r="B96" s="4">
        <v>2.98E-2</v>
      </c>
      <c r="K96" s="6"/>
      <c r="L96" s="5"/>
      <c r="M96" s="4"/>
    </row>
    <row r="97" spans="1:13">
      <c r="A97" s="3">
        <v>96</v>
      </c>
      <c r="B97" s="4">
        <v>2.9829999999999999E-2</v>
      </c>
      <c r="K97" s="6"/>
      <c r="L97" s="5"/>
      <c r="M97" s="4"/>
    </row>
    <row r="98" spans="1:13">
      <c r="A98" s="3">
        <v>97</v>
      </c>
      <c r="B98" s="4">
        <v>2.9860000000000001E-2</v>
      </c>
      <c r="K98" s="6"/>
      <c r="L98" s="5"/>
      <c r="M98" s="4"/>
    </row>
    <row r="99" spans="1:13">
      <c r="A99" s="3">
        <v>98</v>
      </c>
      <c r="B99" s="4">
        <v>2.9899999999999999E-2</v>
      </c>
      <c r="K99" s="6"/>
      <c r="L99" s="5"/>
      <c r="M99" s="4"/>
    </row>
    <row r="100" spans="1:13">
      <c r="A100" s="3">
        <v>99</v>
      </c>
      <c r="B100" s="4">
        <v>2.9929999999999998E-2</v>
      </c>
      <c r="K100" s="6"/>
      <c r="L100" s="5"/>
      <c r="M100" s="4"/>
    </row>
    <row r="101" spans="1:13">
      <c r="A101" s="3">
        <v>100</v>
      </c>
      <c r="B101" s="4">
        <v>2.9960000000000001E-2</v>
      </c>
      <c r="K101" s="6"/>
      <c r="L101" s="5"/>
      <c r="M101" s="4"/>
    </row>
    <row r="102" spans="1:13">
      <c r="A102" s="3">
        <v>101</v>
      </c>
      <c r="B102" s="4">
        <v>2.9989999999999999E-2</v>
      </c>
      <c r="K102" s="6"/>
      <c r="L102" s="5"/>
      <c r="M102" s="4"/>
    </row>
    <row r="103" spans="1:13">
      <c r="A103" s="3">
        <v>102</v>
      </c>
      <c r="B103" s="4">
        <v>3.0020000000000002E-2</v>
      </c>
      <c r="K103" s="6"/>
      <c r="L103" s="5"/>
      <c r="M103" s="4"/>
    </row>
    <row r="104" spans="1:13">
      <c r="A104" s="3">
        <v>103</v>
      </c>
      <c r="B104" s="4">
        <v>3.005E-2</v>
      </c>
      <c r="K104" s="6"/>
      <c r="L104" s="5"/>
      <c r="M104" s="4"/>
    </row>
    <row r="105" spans="1:13">
      <c r="A105" s="3">
        <v>104</v>
      </c>
      <c r="B105" s="4">
        <v>3.007E-2</v>
      </c>
      <c r="K105" s="6"/>
      <c r="L105" s="5"/>
      <c r="M105" s="4"/>
    </row>
    <row r="106" spans="1:13">
      <c r="A106" s="3">
        <v>105</v>
      </c>
      <c r="B106" s="4">
        <v>3.0099999999999998E-2</v>
      </c>
      <c r="K106" s="6"/>
      <c r="L106" s="5"/>
      <c r="M106" s="4"/>
    </row>
    <row r="107" spans="1:13">
      <c r="A107" s="3">
        <v>106</v>
      </c>
      <c r="B107" s="4">
        <v>3.0130000000000001E-2</v>
      </c>
      <c r="K107" s="6"/>
      <c r="L107" s="5"/>
      <c r="M107" s="4"/>
    </row>
    <row r="108" spans="1:13">
      <c r="A108" s="3">
        <v>107</v>
      </c>
      <c r="B108" s="4">
        <v>3.0159999999999999E-2</v>
      </c>
      <c r="K108" s="6"/>
      <c r="L108" s="5"/>
      <c r="M108" s="4"/>
    </row>
    <row r="109" spans="1:13">
      <c r="A109" s="3">
        <v>108</v>
      </c>
      <c r="B109" s="4">
        <v>3.0179999999999998E-2</v>
      </c>
      <c r="K109" s="6"/>
      <c r="L109" s="5"/>
      <c r="M109" s="4"/>
    </row>
    <row r="110" spans="1:13">
      <c r="A110" s="3">
        <v>109</v>
      </c>
      <c r="B110" s="4">
        <v>3.0210000000000001E-2</v>
      </c>
      <c r="K110" s="6"/>
      <c r="L110" s="5"/>
      <c r="M110" s="4"/>
    </row>
    <row r="111" spans="1:13">
      <c r="A111" s="3">
        <v>110</v>
      </c>
      <c r="B111" s="4">
        <v>3.023E-2</v>
      </c>
      <c r="K111" s="6"/>
      <c r="L111" s="5"/>
      <c r="M111" s="4"/>
    </row>
    <row r="112" spans="1:13">
      <c r="A112" s="3">
        <v>111</v>
      </c>
      <c r="B112" s="4">
        <v>3.0259999999999999E-2</v>
      </c>
      <c r="K112" s="6"/>
      <c r="L112" s="5"/>
      <c r="M112" s="4"/>
    </row>
    <row r="113" spans="1:13">
      <c r="A113" s="3">
        <v>112</v>
      </c>
      <c r="B113" s="4">
        <v>3.0280000000000001E-2</v>
      </c>
      <c r="K113" s="6"/>
      <c r="L113" s="5"/>
      <c r="M113" s="4"/>
    </row>
    <row r="114" spans="1:13">
      <c r="A114" s="3">
        <v>113</v>
      </c>
      <c r="B114" s="4">
        <v>3.031E-2</v>
      </c>
      <c r="K114" s="6"/>
      <c r="L114" s="5"/>
      <c r="M114" s="4"/>
    </row>
    <row r="115" spans="1:13">
      <c r="A115" s="3">
        <v>114</v>
      </c>
      <c r="B115" s="4">
        <v>3.0329999999999999E-2</v>
      </c>
      <c r="K115" s="6"/>
      <c r="L115" s="5"/>
      <c r="M115" s="4"/>
    </row>
    <row r="116" spans="1:13">
      <c r="A116" s="3">
        <v>115</v>
      </c>
      <c r="B116" s="4">
        <v>3.0349999999999999E-2</v>
      </c>
      <c r="K116" s="6"/>
      <c r="L116" s="5"/>
      <c r="M116" s="4"/>
    </row>
    <row r="117" spans="1:13">
      <c r="A117" s="3">
        <v>116</v>
      </c>
      <c r="B117" s="4">
        <v>3.0380000000000001E-2</v>
      </c>
      <c r="K117" s="6"/>
      <c r="L117" s="5"/>
      <c r="M117" s="4"/>
    </row>
    <row r="118" spans="1:13">
      <c r="A118" s="3">
        <v>117</v>
      </c>
      <c r="B118" s="4">
        <v>3.04E-2</v>
      </c>
      <c r="K118" s="6"/>
      <c r="L118" s="5"/>
      <c r="M118" s="4"/>
    </row>
    <row r="119" spans="1:13">
      <c r="A119" s="3">
        <v>118</v>
      </c>
      <c r="B119" s="4">
        <v>3.0419999999999999E-2</v>
      </c>
      <c r="K119" s="6"/>
      <c r="L119" s="5"/>
      <c r="M119" s="4"/>
    </row>
    <row r="120" spans="1:13">
      <c r="A120" s="3">
        <v>119</v>
      </c>
      <c r="B120" s="4">
        <v>3.0439999999999998E-2</v>
      </c>
      <c r="K120" s="6"/>
      <c r="L120" s="5"/>
      <c r="M120" s="4"/>
    </row>
    <row r="121" spans="1:13">
      <c r="A121" s="3">
        <v>120</v>
      </c>
      <c r="B121" s="4">
        <v>3.0460000000000001E-2</v>
      </c>
      <c r="K121" s="6"/>
      <c r="L121" s="5"/>
      <c r="M121" s="4"/>
    </row>
    <row r="122" spans="1:13">
      <c r="A122" s="3">
        <v>121</v>
      </c>
      <c r="B122" s="4">
        <v>3.048E-2</v>
      </c>
      <c r="K122" s="6"/>
      <c r="L122" s="5"/>
      <c r="M122" s="4"/>
    </row>
    <row r="123" spans="1:13">
      <c r="A123" s="3">
        <v>122</v>
      </c>
      <c r="B123" s="4">
        <v>3.0509999999999999E-2</v>
      </c>
      <c r="K123" s="6"/>
      <c r="L123" s="5"/>
      <c r="M123" s="4"/>
    </row>
    <row r="124" spans="1:13">
      <c r="A124" s="3">
        <v>123</v>
      </c>
      <c r="B124" s="4">
        <v>3.0530000000000002E-2</v>
      </c>
      <c r="K124" s="6"/>
      <c r="L124" s="5"/>
      <c r="M124" s="4"/>
    </row>
    <row r="125" spans="1:13">
      <c r="A125" s="3">
        <v>124</v>
      </c>
      <c r="B125" s="4">
        <v>3.0550000000000001E-2</v>
      </c>
      <c r="K125" s="6"/>
      <c r="L125" s="5"/>
      <c r="M125" s="4"/>
    </row>
    <row r="126" spans="1:13">
      <c r="A126" s="3">
        <v>125</v>
      </c>
      <c r="B126" s="4">
        <v>3.056E-2</v>
      </c>
      <c r="K126" s="6"/>
      <c r="L126" s="5"/>
      <c r="M126" s="4"/>
    </row>
    <row r="127" spans="1:13">
      <c r="A127" s="3">
        <v>126</v>
      </c>
      <c r="B127" s="4">
        <v>3.058E-2</v>
      </c>
      <c r="K127" s="6"/>
      <c r="L127" s="5"/>
      <c r="M127" s="4"/>
    </row>
    <row r="128" spans="1:13">
      <c r="A128" s="3">
        <v>127</v>
      </c>
      <c r="B128" s="4">
        <v>3.0599999999999999E-2</v>
      </c>
      <c r="K128" s="6"/>
      <c r="L128" s="5"/>
      <c r="M128" s="4"/>
    </row>
    <row r="129" spans="1:13">
      <c r="A129" s="3">
        <v>128</v>
      </c>
      <c r="B129" s="4">
        <v>3.0620000000000001E-2</v>
      </c>
      <c r="K129" s="6"/>
      <c r="L129" s="5"/>
      <c r="M129" s="4"/>
    </row>
    <row r="130" spans="1:13">
      <c r="A130" s="3">
        <v>129</v>
      </c>
      <c r="B130" s="4">
        <v>3.0640000000000001E-2</v>
      </c>
      <c r="K130" s="6"/>
      <c r="L130" s="5"/>
      <c r="M130" s="4"/>
    </row>
    <row r="131" spans="1:13">
      <c r="A131" s="3">
        <v>130</v>
      </c>
      <c r="B131" s="4">
        <v>3.066E-2</v>
      </c>
      <c r="K131" s="6"/>
      <c r="L131" s="5"/>
      <c r="M131" s="4"/>
    </row>
    <row r="132" spans="1:13">
      <c r="A132" s="3">
        <v>131</v>
      </c>
      <c r="B132" s="4">
        <v>3.0679999999999999E-2</v>
      </c>
      <c r="K132" s="6"/>
      <c r="L132" s="5"/>
      <c r="M132" s="4"/>
    </row>
    <row r="133" spans="1:13">
      <c r="A133" s="3">
        <v>132</v>
      </c>
      <c r="B133" s="4">
        <v>3.0689999999999999E-2</v>
      </c>
      <c r="K133" s="6"/>
      <c r="L133" s="5"/>
      <c r="M133" s="4"/>
    </row>
    <row r="134" spans="1:13">
      <c r="A134" s="3">
        <v>133</v>
      </c>
      <c r="B134" s="4">
        <v>3.0710000000000001E-2</v>
      </c>
      <c r="K134" s="6"/>
      <c r="L134" s="5"/>
      <c r="M134" s="4"/>
    </row>
    <row r="135" spans="1:13">
      <c r="A135" s="3">
        <v>134</v>
      </c>
      <c r="B135" s="4">
        <v>3.073E-2</v>
      </c>
      <c r="K135" s="6"/>
      <c r="L135" s="5"/>
      <c r="M135" s="4"/>
    </row>
    <row r="136" spans="1:13">
      <c r="A136" s="3">
        <v>135</v>
      </c>
      <c r="B136" s="4">
        <v>3.075E-2</v>
      </c>
      <c r="K136" s="6"/>
      <c r="L136" s="5"/>
      <c r="M136" s="4"/>
    </row>
    <row r="137" spans="1:13">
      <c r="A137" s="3">
        <v>136</v>
      </c>
      <c r="B137" s="4">
        <v>3.0759999999999999E-2</v>
      </c>
      <c r="K137" s="6"/>
      <c r="L137" s="5"/>
      <c r="M137" s="4"/>
    </row>
    <row r="138" spans="1:13">
      <c r="A138" s="3">
        <v>137</v>
      </c>
      <c r="B138" s="4">
        <v>3.0779999999999998E-2</v>
      </c>
      <c r="K138" s="6"/>
      <c r="L138" s="5"/>
      <c r="M138" s="4"/>
    </row>
    <row r="139" spans="1:13">
      <c r="A139" s="3">
        <v>138</v>
      </c>
      <c r="B139" s="4">
        <v>3.0790000000000001E-2</v>
      </c>
      <c r="K139" s="6"/>
      <c r="L139" s="5"/>
      <c r="M139" s="4"/>
    </row>
    <row r="140" spans="1:13">
      <c r="A140" s="3">
        <v>139</v>
      </c>
      <c r="B140" s="4">
        <v>3.0810000000000001E-2</v>
      </c>
      <c r="K140" s="6"/>
      <c r="L140" s="5"/>
      <c r="M140" s="4"/>
    </row>
    <row r="141" spans="1:13">
      <c r="A141" s="3">
        <v>140</v>
      </c>
      <c r="B141" s="4">
        <v>3.083E-2</v>
      </c>
      <c r="K141" s="6"/>
      <c r="L141" s="5"/>
      <c r="M141" s="4"/>
    </row>
    <row r="142" spans="1:13">
      <c r="A142" s="3">
        <v>141</v>
      </c>
      <c r="B142" s="4">
        <v>3.0839999999999999E-2</v>
      </c>
      <c r="K142" s="6"/>
      <c r="L142" s="5"/>
      <c r="M142" s="4"/>
    </row>
    <row r="143" spans="1:13">
      <c r="A143" s="3">
        <v>142</v>
      </c>
      <c r="B143" s="4">
        <v>3.0859999999999999E-2</v>
      </c>
      <c r="K143" s="6"/>
      <c r="L143" s="5"/>
      <c r="M143" s="4"/>
    </row>
    <row r="144" spans="1:13">
      <c r="A144" s="3">
        <v>143</v>
      </c>
      <c r="B144" s="4">
        <v>3.0870000000000002E-2</v>
      </c>
      <c r="K144" s="6"/>
      <c r="L144" s="5"/>
      <c r="M144" s="4"/>
    </row>
    <row r="145" spans="1:13">
      <c r="A145" s="3">
        <v>144</v>
      </c>
      <c r="B145" s="4">
        <v>3.0890000000000001E-2</v>
      </c>
      <c r="K145" s="6"/>
      <c r="L145" s="5"/>
      <c r="M145" s="4"/>
    </row>
    <row r="146" spans="1:13">
      <c r="A146" s="3">
        <v>145</v>
      </c>
      <c r="B146" s="4">
        <v>3.09E-2</v>
      </c>
      <c r="K146" s="6"/>
      <c r="L146" s="5"/>
      <c r="M146" s="4"/>
    </row>
    <row r="147" spans="1:13">
      <c r="A147" s="3">
        <v>146</v>
      </c>
      <c r="B147" s="4">
        <v>3.091E-2</v>
      </c>
      <c r="K147" s="6"/>
      <c r="L147" s="5"/>
      <c r="M147" s="4"/>
    </row>
    <row r="148" spans="1:13">
      <c r="A148" s="3">
        <v>147</v>
      </c>
      <c r="B148" s="4">
        <v>3.0929999999999999E-2</v>
      </c>
      <c r="K148" s="6"/>
      <c r="L148" s="5"/>
      <c r="M148" s="4"/>
    </row>
    <row r="149" spans="1:13">
      <c r="A149" s="3">
        <v>148</v>
      </c>
      <c r="B149" s="4">
        <v>3.0939999999999999E-2</v>
      </c>
      <c r="K149" s="6"/>
      <c r="L149" s="5"/>
      <c r="M149" s="4"/>
    </row>
    <row r="150" spans="1:13">
      <c r="A150" s="3">
        <v>149</v>
      </c>
      <c r="B150" s="4">
        <v>3.0960000000000001E-2</v>
      </c>
      <c r="K150" s="6"/>
      <c r="L150" s="5"/>
      <c r="M150" s="4"/>
    </row>
    <row r="151" spans="1:13">
      <c r="A151" s="3">
        <v>150</v>
      </c>
      <c r="B151" s="4">
        <v>3.0970000000000001E-2</v>
      </c>
      <c r="K151" s="6"/>
      <c r="L151" s="5"/>
      <c r="M151" s="4"/>
    </row>
    <row r="152" spans="1:13">
      <c r="K152" s="6"/>
      <c r="L152" s="5"/>
      <c r="M152" s="4"/>
    </row>
    <row r="153" spans="1:13">
      <c r="K153" s="6"/>
      <c r="L153" s="5"/>
      <c r="M153" s="4"/>
    </row>
    <row r="154" spans="1:13">
      <c r="K154" s="6"/>
      <c r="L154" s="5"/>
      <c r="M154" s="4"/>
    </row>
    <row r="155" spans="1:13">
      <c r="K155" s="6"/>
      <c r="L155" s="5"/>
      <c r="M155" s="4"/>
    </row>
    <row r="156" spans="1:13">
      <c r="K156" s="6"/>
      <c r="L156" s="5"/>
      <c r="M156" s="4"/>
    </row>
    <row r="157" spans="1:13">
      <c r="K157" s="6"/>
      <c r="L157" s="5"/>
      <c r="M157" s="4"/>
    </row>
    <row r="158" spans="1:13">
      <c r="K158" s="6"/>
      <c r="L158" s="5"/>
      <c r="M158" s="4"/>
    </row>
    <row r="159" spans="1:13">
      <c r="K159" s="6"/>
      <c r="L159" s="5"/>
      <c r="M159" s="4"/>
    </row>
    <row r="160" spans="1:13">
      <c r="K160" s="6"/>
      <c r="L160" s="5"/>
      <c r="M160" s="4"/>
    </row>
    <row r="161" spans="11:13">
      <c r="K161" s="6"/>
      <c r="L161" s="5"/>
      <c r="M161" s="4"/>
    </row>
    <row r="162" spans="11:13">
      <c r="K162" s="6"/>
      <c r="L162" s="5"/>
      <c r="M162" s="4"/>
    </row>
    <row r="163" spans="11:13">
      <c r="K163" s="6"/>
      <c r="L163" s="5"/>
      <c r="M163" s="4"/>
    </row>
    <row r="164" spans="11:13">
      <c r="K164" s="6"/>
      <c r="L164" s="5"/>
      <c r="M164" s="4"/>
    </row>
    <row r="165" spans="11:13">
      <c r="K165" s="6"/>
      <c r="L165" s="5"/>
      <c r="M165" s="4"/>
    </row>
    <row r="166" spans="11:13">
      <c r="K166" s="6"/>
      <c r="L166" s="5"/>
      <c r="M166" s="4"/>
    </row>
    <row r="167" spans="11:13">
      <c r="K167" s="6"/>
      <c r="L167" s="5"/>
      <c r="M167" s="4"/>
    </row>
    <row r="168" spans="11:13">
      <c r="K168" s="6"/>
      <c r="L168" s="5"/>
      <c r="M168" s="4"/>
    </row>
    <row r="169" spans="11:13">
      <c r="K169" s="6"/>
      <c r="L169" s="5"/>
      <c r="M169" s="4"/>
    </row>
    <row r="170" spans="11:13">
      <c r="K170" s="6"/>
      <c r="L170" s="5"/>
      <c r="M170" s="4"/>
    </row>
    <row r="171" spans="11:13">
      <c r="K171" s="6"/>
      <c r="L171" s="5"/>
      <c r="M171" s="4"/>
    </row>
    <row r="172" spans="11:13">
      <c r="K172" s="6"/>
      <c r="L172" s="5"/>
      <c r="M172" s="4"/>
    </row>
    <row r="173" spans="11:13">
      <c r="K173" s="6"/>
      <c r="L173" s="5"/>
      <c r="M173" s="4"/>
    </row>
    <row r="174" spans="11:13">
      <c r="K174" s="6"/>
      <c r="L174" s="5"/>
      <c r="M174" s="4"/>
    </row>
    <row r="175" spans="11:13">
      <c r="K175" s="6"/>
      <c r="L175" s="5"/>
      <c r="M175" s="4"/>
    </row>
    <row r="176" spans="11:13">
      <c r="K176" s="6"/>
      <c r="L176" s="5"/>
      <c r="M176" s="4"/>
    </row>
    <row r="177" spans="11:13">
      <c r="K177" s="6"/>
      <c r="L177" s="5"/>
      <c r="M177" s="4"/>
    </row>
    <row r="178" spans="11:13">
      <c r="K178" s="6"/>
      <c r="L178" s="5"/>
      <c r="M178" s="4"/>
    </row>
    <row r="179" spans="11:13">
      <c r="K179" s="6"/>
      <c r="L179" s="5"/>
      <c r="M179" s="4"/>
    </row>
    <row r="180" spans="11:13">
      <c r="K180" s="6"/>
      <c r="L180" s="5"/>
      <c r="M180" s="4"/>
    </row>
    <row r="181" spans="11:13">
      <c r="K181" s="6"/>
      <c r="L181" s="5"/>
      <c r="M181" s="4"/>
    </row>
    <row r="182" spans="11:13">
      <c r="K182" s="6"/>
      <c r="L182" s="5"/>
      <c r="M182" s="4"/>
    </row>
    <row r="183" spans="11:13">
      <c r="K183" s="6"/>
      <c r="L183" s="5"/>
      <c r="M183" s="4"/>
    </row>
    <row r="184" spans="11:13">
      <c r="K184" s="6"/>
      <c r="L184" s="5"/>
      <c r="M184" s="4"/>
    </row>
    <row r="185" spans="11:13">
      <c r="K185" s="6"/>
      <c r="L185" s="5"/>
      <c r="M185" s="4"/>
    </row>
    <row r="186" spans="11:13">
      <c r="K186" s="6"/>
      <c r="L186" s="5"/>
      <c r="M186" s="4"/>
    </row>
    <row r="187" spans="11:13">
      <c r="K187" s="6"/>
      <c r="L187" s="5"/>
      <c r="M187" s="4"/>
    </row>
    <row r="188" spans="11:13">
      <c r="K188" s="6"/>
      <c r="L188" s="5"/>
      <c r="M188" s="4"/>
    </row>
    <row r="189" spans="11:13">
      <c r="K189" s="6"/>
      <c r="L189" s="5"/>
      <c r="M189" s="4"/>
    </row>
    <row r="190" spans="11:13">
      <c r="K190" s="6"/>
      <c r="L190" s="5"/>
      <c r="M190" s="4"/>
    </row>
    <row r="191" spans="11:13">
      <c r="K191" s="6"/>
      <c r="L191" s="5"/>
      <c r="M191" s="4"/>
    </row>
    <row r="192" spans="11:13">
      <c r="K192" s="6"/>
      <c r="L192" s="5"/>
      <c r="M192" s="4"/>
    </row>
    <row r="193" spans="11:13">
      <c r="K193" s="6"/>
      <c r="L193" s="5"/>
      <c r="M193" s="4"/>
    </row>
    <row r="194" spans="11:13">
      <c r="K194" s="6"/>
      <c r="L194" s="5"/>
      <c r="M194" s="4"/>
    </row>
    <row r="195" spans="11:13">
      <c r="K195" s="6"/>
      <c r="L195" s="5"/>
      <c r="M195" s="4"/>
    </row>
    <row r="196" spans="11:13">
      <c r="K196" s="6"/>
      <c r="L196" s="5"/>
      <c r="M196" s="4"/>
    </row>
    <row r="197" spans="11:13">
      <c r="K197" s="6"/>
      <c r="L197" s="5"/>
      <c r="M197" s="4"/>
    </row>
    <row r="198" spans="11:13">
      <c r="K198" s="6"/>
      <c r="L198" s="5"/>
      <c r="M198" s="4"/>
    </row>
    <row r="199" spans="11:13">
      <c r="K199" s="6"/>
      <c r="L199" s="5"/>
      <c r="M199" s="4"/>
    </row>
    <row r="200" spans="11:13">
      <c r="K200" s="6"/>
      <c r="L200" s="5"/>
      <c r="M200" s="4"/>
    </row>
    <row r="201" spans="11:13">
      <c r="K201" s="6"/>
      <c r="L201" s="5"/>
      <c r="M201" s="4"/>
    </row>
    <row r="202" spans="11:13">
      <c r="K202" s="6"/>
      <c r="L202" s="5"/>
      <c r="M202" s="4"/>
    </row>
    <row r="203" spans="11:13">
      <c r="K203" s="6"/>
      <c r="L203" s="5"/>
      <c r="M203" s="4"/>
    </row>
    <row r="204" spans="11:13">
      <c r="K204" s="6"/>
      <c r="L204" s="5"/>
      <c r="M204" s="4"/>
    </row>
    <row r="205" spans="11:13">
      <c r="K205" s="6"/>
      <c r="L205" s="5"/>
      <c r="M205" s="4"/>
    </row>
    <row r="206" spans="11:13">
      <c r="K206" s="6"/>
      <c r="L206" s="5"/>
      <c r="M206" s="4"/>
    </row>
    <row r="207" spans="11:13">
      <c r="K207" s="6"/>
      <c r="L207" s="5"/>
      <c r="M207" s="4"/>
    </row>
    <row r="208" spans="11:13">
      <c r="K208" s="6"/>
      <c r="L208" s="5"/>
      <c r="M208" s="4"/>
    </row>
    <row r="209" spans="11:13">
      <c r="K209" s="6"/>
      <c r="L209" s="5"/>
      <c r="M209" s="4"/>
    </row>
    <row r="210" spans="11:13">
      <c r="K210" s="6"/>
      <c r="L210" s="5"/>
      <c r="M210" s="4"/>
    </row>
    <row r="211" spans="11:13">
      <c r="K211" s="6"/>
      <c r="L211" s="5"/>
      <c r="M211" s="4"/>
    </row>
    <row r="212" spans="11:13">
      <c r="K212" s="6"/>
      <c r="L212" s="5"/>
      <c r="M212" s="4"/>
    </row>
    <row r="213" spans="11:13">
      <c r="K213" s="6"/>
      <c r="L213" s="5"/>
      <c r="M213" s="4"/>
    </row>
    <row r="214" spans="11:13">
      <c r="K214" s="6"/>
      <c r="L214" s="5"/>
      <c r="M214" s="4"/>
    </row>
    <row r="215" spans="11:13">
      <c r="K215" s="6"/>
      <c r="L215" s="5"/>
      <c r="M215" s="4"/>
    </row>
    <row r="216" spans="11:13">
      <c r="K216" s="6"/>
      <c r="L216" s="5"/>
      <c r="M216" s="4"/>
    </row>
    <row r="217" spans="11:13">
      <c r="K217" s="6"/>
      <c r="L217" s="5"/>
      <c r="M217" s="4"/>
    </row>
    <row r="218" spans="11:13">
      <c r="K218" s="6"/>
      <c r="L218" s="5"/>
      <c r="M218" s="4"/>
    </row>
    <row r="219" spans="11:13">
      <c r="K219" s="6"/>
      <c r="L219" s="5"/>
      <c r="M219" s="4"/>
    </row>
    <row r="220" spans="11:13">
      <c r="K220" s="6"/>
      <c r="L220" s="5"/>
      <c r="M220" s="4"/>
    </row>
    <row r="221" spans="11:13">
      <c r="K221" s="6"/>
      <c r="L221" s="5"/>
      <c r="M221" s="4"/>
    </row>
    <row r="222" spans="11:13">
      <c r="K222" s="6"/>
      <c r="L222" s="5"/>
      <c r="M222" s="4"/>
    </row>
    <row r="223" spans="11:13">
      <c r="K223" s="6"/>
      <c r="L223" s="5"/>
      <c r="M223" s="4"/>
    </row>
    <row r="224" spans="11:13">
      <c r="K224" s="6"/>
      <c r="L224" s="5"/>
      <c r="M224" s="4"/>
    </row>
    <row r="225" spans="11:13">
      <c r="K225" s="6"/>
      <c r="L225" s="5"/>
      <c r="M225" s="4"/>
    </row>
    <row r="226" spans="11:13">
      <c r="K226" s="6"/>
      <c r="L226" s="5"/>
      <c r="M226" s="4"/>
    </row>
    <row r="227" spans="11:13">
      <c r="K227" s="6"/>
      <c r="L227" s="5"/>
      <c r="M227" s="4"/>
    </row>
    <row r="228" spans="11:13">
      <c r="K228" s="6"/>
      <c r="L228" s="5"/>
      <c r="M228" s="4"/>
    </row>
    <row r="229" spans="11:13">
      <c r="K229" s="6"/>
      <c r="L229" s="5"/>
      <c r="M229" s="4"/>
    </row>
    <row r="230" spans="11:13">
      <c r="K230" s="6"/>
      <c r="L230" s="5"/>
      <c r="M230" s="4"/>
    </row>
    <row r="231" spans="11:13">
      <c r="K231" s="6"/>
      <c r="L231" s="5"/>
      <c r="M231" s="4"/>
    </row>
    <row r="232" spans="11:13">
      <c r="K232" s="6"/>
      <c r="L232" s="5"/>
      <c r="M232" s="4"/>
    </row>
    <row r="233" spans="11:13">
      <c r="K233" s="6"/>
      <c r="L233" s="5"/>
      <c r="M233" s="4"/>
    </row>
    <row r="234" spans="11:13">
      <c r="K234" s="6"/>
      <c r="L234" s="5"/>
      <c r="M234" s="4"/>
    </row>
    <row r="235" spans="11:13">
      <c r="K235" s="6"/>
      <c r="L235" s="5"/>
      <c r="M235" s="4"/>
    </row>
    <row r="236" spans="11:13">
      <c r="K236" s="6"/>
      <c r="L236" s="5"/>
      <c r="M236" s="4"/>
    </row>
    <row r="237" spans="11:13">
      <c r="K237" s="6"/>
      <c r="L237" s="5"/>
      <c r="M237" s="4"/>
    </row>
    <row r="238" spans="11:13">
      <c r="K238" s="6"/>
      <c r="L238" s="5"/>
      <c r="M238" s="4"/>
    </row>
    <row r="239" spans="11:13">
      <c r="K239" s="6"/>
      <c r="L239" s="5"/>
      <c r="M239" s="4"/>
    </row>
    <row r="240" spans="11:13">
      <c r="K240" s="6"/>
      <c r="L240" s="5"/>
      <c r="M240" s="4"/>
    </row>
    <row r="241" spans="11:13">
      <c r="K241" s="6"/>
      <c r="L241" s="5"/>
      <c r="M241" s="4"/>
    </row>
    <row r="242" spans="11:13">
      <c r="K242" s="6"/>
      <c r="L242" s="5"/>
      <c r="M242" s="4"/>
    </row>
    <row r="243" spans="11:13">
      <c r="K243" s="6"/>
      <c r="L243" s="5"/>
      <c r="M243" s="4"/>
    </row>
    <row r="244" spans="11:13">
      <c r="K244" s="6"/>
      <c r="L244" s="5"/>
      <c r="M244" s="4"/>
    </row>
    <row r="245" spans="11:13">
      <c r="K245" s="6"/>
      <c r="L245" s="5"/>
      <c r="M245" s="4"/>
    </row>
    <row r="246" spans="11:13">
      <c r="K246" s="6"/>
      <c r="L246" s="5"/>
      <c r="M246" s="4"/>
    </row>
    <row r="247" spans="11:13">
      <c r="K247" s="6"/>
      <c r="L247" s="5"/>
      <c r="M247" s="4"/>
    </row>
    <row r="248" spans="11:13">
      <c r="K248" s="6"/>
      <c r="L248" s="5"/>
      <c r="M248" s="4"/>
    </row>
    <row r="249" spans="11:13">
      <c r="K249" s="6"/>
      <c r="L249" s="5"/>
      <c r="M249" s="4"/>
    </row>
    <row r="250" spans="11:13">
      <c r="K250" s="6"/>
      <c r="L250" s="5"/>
      <c r="M250" s="4"/>
    </row>
    <row r="251" spans="11:13">
      <c r="K251" s="6"/>
      <c r="L251" s="5"/>
      <c r="M251" s="4"/>
    </row>
    <row r="252" spans="11:13">
      <c r="K252" s="6"/>
      <c r="L252" s="5"/>
      <c r="M252" s="4"/>
    </row>
    <row r="253" spans="11:13">
      <c r="K253" s="6"/>
      <c r="L253" s="5"/>
      <c r="M253" s="4"/>
    </row>
    <row r="254" spans="11:13">
      <c r="K254" s="6"/>
      <c r="L254" s="5"/>
      <c r="M254" s="4"/>
    </row>
    <row r="255" spans="11:13">
      <c r="K255" s="6"/>
      <c r="L255" s="5"/>
      <c r="M255" s="4"/>
    </row>
    <row r="256" spans="11:13">
      <c r="K256" s="6"/>
      <c r="L256" s="5"/>
      <c r="M256" s="4"/>
    </row>
    <row r="257" spans="11:13">
      <c r="K257" s="6"/>
      <c r="L257" s="5"/>
      <c r="M257" s="4"/>
    </row>
    <row r="258" spans="11:13">
      <c r="K258" s="6"/>
      <c r="L258" s="5"/>
      <c r="M258" s="4"/>
    </row>
    <row r="259" spans="11:13">
      <c r="K259" s="6"/>
      <c r="L259" s="5"/>
      <c r="M259" s="4"/>
    </row>
    <row r="260" spans="11:13">
      <c r="K260" s="6"/>
      <c r="L260" s="5"/>
      <c r="M260" s="4"/>
    </row>
    <row r="261" spans="11:13">
      <c r="K261" s="6"/>
      <c r="L261" s="5"/>
      <c r="M261" s="4"/>
    </row>
    <row r="262" spans="11:13">
      <c r="K262" s="6"/>
      <c r="L262" s="5"/>
      <c r="M262" s="4"/>
    </row>
    <row r="263" spans="11:13">
      <c r="K263" s="6"/>
      <c r="L263" s="5"/>
      <c r="M263" s="4"/>
    </row>
    <row r="264" spans="11:13">
      <c r="K264" s="6"/>
      <c r="L264" s="5"/>
      <c r="M264" s="4"/>
    </row>
    <row r="265" spans="11:13">
      <c r="K265" s="6"/>
      <c r="L265" s="5"/>
      <c r="M265" s="4"/>
    </row>
    <row r="266" spans="11:13">
      <c r="K266" s="6"/>
      <c r="L266" s="5"/>
      <c r="M266" s="4"/>
    </row>
    <row r="267" spans="11:13">
      <c r="K267" s="6"/>
      <c r="L267" s="5"/>
      <c r="M267" s="4"/>
    </row>
    <row r="268" spans="11:13">
      <c r="K268" s="6"/>
      <c r="L268" s="5"/>
      <c r="M268" s="4"/>
    </row>
    <row r="269" spans="11:13">
      <c r="K269" s="6"/>
      <c r="L269" s="5"/>
      <c r="M269" s="4"/>
    </row>
    <row r="270" spans="11:13">
      <c r="K270" s="6"/>
      <c r="L270" s="5"/>
      <c r="M270" s="4"/>
    </row>
    <row r="271" spans="11:13">
      <c r="K271" s="6"/>
      <c r="L271" s="5"/>
      <c r="M271" s="4"/>
    </row>
    <row r="272" spans="11:13">
      <c r="K272" s="6"/>
      <c r="L272" s="5"/>
      <c r="M272" s="4"/>
    </row>
    <row r="273" spans="11:13">
      <c r="K273" s="6"/>
      <c r="L273" s="5"/>
      <c r="M273" s="4"/>
    </row>
    <row r="274" spans="11:13">
      <c r="K274" s="6"/>
      <c r="L274" s="5"/>
      <c r="M274" s="4"/>
    </row>
    <row r="275" spans="11:13">
      <c r="K275" s="6"/>
      <c r="L275" s="5"/>
      <c r="M275" s="4"/>
    </row>
    <row r="276" spans="11:13">
      <c r="K276" s="6"/>
      <c r="L276" s="5"/>
      <c r="M276" s="4"/>
    </row>
    <row r="277" spans="11:13">
      <c r="K277" s="6"/>
      <c r="L277" s="5"/>
      <c r="M277" s="4"/>
    </row>
    <row r="278" spans="11:13">
      <c r="K278" s="6"/>
      <c r="L278" s="5"/>
      <c r="M278" s="4"/>
    </row>
    <row r="279" spans="11:13">
      <c r="K279" s="6"/>
      <c r="L279" s="5"/>
      <c r="M279" s="4"/>
    </row>
    <row r="280" spans="11:13">
      <c r="K280" s="6"/>
      <c r="L280" s="5"/>
      <c r="M280" s="4"/>
    </row>
    <row r="281" spans="11:13">
      <c r="K281" s="6"/>
      <c r="L281" s="5"/>
      <c r="M281" s="4"/>
    </row>
    <row r="282" spans="11:13">
      <c r="K282" s="6"/>
      <c r="L282" s="5"/>
      <c r="M282" s="4"/>
    </row>
    <row r="283" spans="11:13">
      <c r="K283" s="6"/>
      <c r="L283" s="5"/>
      <c r="M283" s="4"/>
    </row>
    <row r="284" spans="11:13">
      <c r="K284" s="6"/>
      <c r="L284" s="5"/>
      <c r="M284" s="4"/>
    </row>
    <row r="285" spans="11:13">
      <c r="K285" s="6"/>
      <c r="L285" s="5"/>
      <c r="M285" s="4"/>
    </row>
    <row r="286" spans="11:13">
      <c r="K286" s="6"/>
      <c r="L286" s="5"/>
      <c r="M286" s="4"/>
    </row>
    <row r="287" spans="11:13">
      <c r="K287" s="6"/>
      <c r="L287" s="5"/>
      <c r="M287" s="4"/>
    </row>
    <row r="288" spans="11:13">
      <c r="K288" s="6"/>
      <c r="L288" s="5"/>
      <c r="M288" s="4"/>
    </row>
    <row r="289" spans="11:13">
      <c r="K289" s="6"/>
      <c r="L289" s="5"/>
      <c r="M289" s="4"/>
    </row>
    <row r="290" spans="11:13">
      <c r="K290" s="6"/>
      <c r="L290" s="5"/>
      <c r="M290" s="4"/>
    </row>
    <row r="291" spans="11:13">
      <c r="K291" s="6"/>
      <c r="L291" s="5"/>
      <c r="M291" s="4"/>
    </row>
    <row r="292" spans="11:13">
      <c r="K292" s="6"/>
      <c r="L292" s="5"/>
      <c r="M292" s="4"/>
    </row>
    <row r="293" spans="11:13">
      <c r="K293" s="6"/>
      <c r="L293" s="5"/>
      <c r="M293" s="4"/>
    </row>
    <row r="294" spans="11:13">
      <c r="K294" s="6"/>
      <c r="L294" s="5"/>
      <c r="M294" s="4"/>
    </row>
    <row r="295" spans="11:13">
      <c r="K295" s="6"/>
      <c r="L295" s="5"/>
      <c r="M295" s="4"/>
    </row>
    <row r="296" spans="11:13">
      <c r="K296" s="6"/>
      <c r="L296" s="5"/>
      <c r="M296" s="4"/>
    </row>
    <row r="297" spans="11:13">
      <c r="K297" s="6"/>
      <c r="L297" s="5"/>
      <c r="M297" s="4"/>
    </row>
    <row r="298" spans="11:13">
      <c r="K298" s="6"/>
      <c r="L298" s="5"/>
      <c r="M298" s="4"/>
    </row>
    <row r="299" spans="11:13">
      <c r="K299" s="6"/>
      <c r="L299" s="5"/>
      <c r="M299" s="4"/>
    </row>
    <row r="300" spans="11:13">
      <c r="K300" s="6"/>
      <c r="L300" s="5"/>
      <c r="M300" s="4"/>
    </row>
    <row r="301" spans="11:13">
      <c r="K301" s="6"/>
      <c r="L301" s="5"/>
      <c r="M301" s="4"/>
    </row>
    <row r="302" spans="11:13">
      <c r="K302" s="6"/>
      <c r="L302" s="5"/>
      <c r="M302" s="4"/>
    </row>
    <row r="303" spans="11:13">
      <c r="K303" s="6"/>
      <c r="L303" s="5"/>
      <c r="M303" s="4"/>
    </row>
    <row r="304" spans="11:13">
      <c r="K304" s="6"/>
      <c r="L304" s="5"/>
      <c r="M304" s="4"/>
    </row>
    <row r="305" spans="11:13">
      <c r="K305" s="6"/>
      <c r="L305" s="5"/>
      <c r="M305" s="4"/>
    </row>
    <row r="306" spans="11:13">
      <c r="K306" s="6"/>
      <c r="L306" s="5"/>
      <c r="M306" s="4"/>
    </row>
    <row r="307" spans="11:13">
      <c r="K307" s="6"/>
      <c r="L307" s="5"/>
      <c r="M307" s="4"/>
    </row>
    <row r="308" spans="11:13">
      <c r="K308" s="6"/>
      <c r="L308" s="5"/>
      <c r="M308" s="4"/>
    </row>
    <row r="309" spans="11:13">
      <c r="K309" s="6"/>
      <c r="L309" s="5"/>
      <c r="M309" s="4"/>
    </row>
    <row r="310" spans="11:13">
      <c r="K310" s="6"/>
      <c r="L310" s="5"/>
      <c r="M310" s="4"/>
    </row>
    <row r="311" spans="11:13">
      <c r="K311" s="6"/>
      <c r="L311" s="5"/>
      <c r="M311" s="4"/>
    </row>
    <row r="312" spans="11:13">
      <c r="K312" s="6"/>
      <c r="L312" s="5"/>
      <c r="M312" s="4"/>
    </row>
    <row r="313" spans="11:13">
      <c r="K313" s="6"/>
      <c r="L313" s="5"/>
      <c r="M313" s="4"/>
    </row>
    <row r="314" spans="11:13">
      <c r="K314" s="6"/>
      <c r="L314" s="5"/>
      <c r="M314" s="4"/>
    </row>
    <row r="315" spans="11:13">
      <c r="K315" s="6"/>
      <c r="L315" s="5"/>
      <c r="M315" s="4"/>
    </row>
    <row r="316" spans="11:13">
      <c r="K316" s="6"/>
      <c r="L316" s="5"/>
      <c r="M316" s="4"/>
    </row>
    <row r="317" spans="11:13">
      <c r="K317" s="6"/>
      <c r="L317" s="5"/>
      <c r="M317" s="4"/>
    </row>
    <row r="318" spans="11:13">
      <c r="K318" s="6"/>
      <c r="L318" s="5"/>
      <c r="M318" s="4"/>
    </row>
    <row r="319" spans="11:13">
      <c r="K319" s="6"/>
      <c r="L319" s="5"/>
      <c r="M319" s="4"/>
    </row>
    <row r="320" spans="11:13">
      <c r="K320" s="6"/>
      <c r="L320" s="5"/>
      <c r="M320" s="4"/>
    </row>
    <row r="321" spans="11:13">
      <c r="K321" s="6"/>
      <c r="L321" s="5"/>
      <c r="M321" s="4"/>
    </row>
    <row r="322" spans="11:13">
      <c r="K322" s="6"/>
      <c r="L322" s="5"/>
      <c r="M322" s="4"/>
    </row>
    <row r="323" spans="11:13">
      <c r="K323" s="6"/>
      <c r="L323" s="5"/>
      <c r="M323" s="4"/>
    </row>
    <row r="324" spans="11:13">
      <c r="K324" s="6"/>
      <c r="L324" s="5"/>
      <c r="M324" s="4"/>
    </row>
    <row r="325" spans="11:13">
      <c r="K325" s="6"/>
      <c r="L325" s="5"/>
      <c r="M325" s="4"/>
    </row>
    <row r="326" spans="11:13">
      <c r="K326" s="6"/>
      <c r="L326" s="5"/>
      <c r="M326" s="4"/>
    </row>
    <row r="327" spans="11:13">
      <c r="K327" s="6"/>
      <c r="L327" s="5"/>
      <c r="M327" s="4"/>
    </row>
    <row r="328" spans="11:13">
      <c r="K328" s="6"/>
      <c r="L328" s="5"/>
      <c r="M328" s="4"/>
    </row>
    <row r="329" spans="11:13">
      <c r="K329" s="6"/>
      <c r="L329" s="5"/>
      <c r="M329" s="4"/>
    </row>
    <row r="330" spans="11:13">
      <c r="K330" s="6"/>
      <c r="L330" s="5"/>
      <c r="M330" s="4"/>
    </row>
    <row r="331" spans="11:13">
      <c r="K331" s="6"/>
      <c r="L331" s="5"/>
      <c r="M331" s="4"/>
    </row>
    <row r="332" spans="11:13">
      <c r="K332" s="6"/>
      <c r="L332" s="5"/>
      <c r="M332" s="4"/>
    </row>
    <row r="333" spans="11:13">
      <c r="K333" s="6"/>
      <c r="L333" s="5"/>
      <c r="M333" s="4"/>
    </row>
    <row r="334" spans="11:13">
      <c r="K334" s="6"/>
      <c r="L334" s="5"/>
      <c r="M334" s="4"/>
    </row>
    <row r="335" spans="11:13">
      <c r="K335" s="6"/>
      <c r="L335" s="5"/>
      <c r="M335" s="4"/>
    </row>
    <row r="336" spans="11:13">
      <c r="K336" s="6"/>
      <c r="L336" s="5"/>
      <c r="M336" s="4"/>
    </row>
    <row r="337" spans="11:13">
      <c r="K337" s="6"/>
      <c r="L337" s="5"/>
      <c r="M337" s="4"/>
    </row>
    <row r="338" spans="11:13">
      <c r="K338" s="6"/>
      <c r="L338" s="5"/>
      <c r="M338" s="4"/>
    </row>
    <row r="339" spans="11:13">
      <c r="K339" s="6"/>
      <c r="L339" s="5"/>
      <c r="M339" s="4"/>
    </row>
    <row r="340" spans="11:13">
      <c r="K340" s="6"/>
      <c r="L340" s="5"/>
      <c r="M340" s="4"/>
    </row>
    <row r="341" spans="11:13">
      <c r="K341" s="6"/>
      <c r="L341" s="5"/>
      <c r="M341" s="4"/>
    </row>
    <row r="342" spans="11:13">
      <c r="K342" s="6"/>
      <c r="L342" s="5"/>
      <c r="M342" s="4"/>
    </row>
    <row r="343" spans="11:13">
      <c r="K343" s="6"/>
      <c r="L343" s="5"/>
      <c r="M343" s="4"/>
    </row>
    <row r="344" spans="11:13">
      <c r="K344" s="6"/>
      <c r="L344" s="5"/>
      <c r="M344" s="4"/>
    </row>
    <row r="345" spans="11:13">
      <c r="K345" s="6"/>
      <c r="L345" s="5"/>
      <c r="M345" s="4"/>
    </row>
    <row r="346" spans="11:13">
      <c r="K346" s="6"/>
      <c r="L346" s="5"/>
      <c r="M346" s="4"/>
    </row>
    <row r="347" spans="11:13">
      <c r="K347" s="6"/>
      <c r="L347" s="5"/>
      <c r="M347" s="4"/>
    </row>
    <row r="348" spans="11:13">
      <c r="K348" s="6"/>
      <c r="L348" s="5"/>
      <c r="M348" s="4"/>
    </row>
    <row r="349" spans="11:13">
      <c r="K349" s="6"/>
      <c r="L349" s="5"/>
      <c r="M349" s="4"/>
    </row>
    <row r="350" spans="11:13">
      <c r="K350" s="6"/>
      <c r="L350" s="5"/>
      <c r="M350" s="4"/>
    </row>
    <row r="351" spans="11:13">
      <c r="K351" s="6"/>
      <c r="L351" s="5"/>
      <c r="M351" s="4"/>
    </row>
    <row r="352" spans="11:13">
      <c r="K352" s="6"/>
      <c r="L352" s="5"/>
      <c r="M352" s="4"/>
    </row>
    <row r="353" spans="11:13">
      <c r="K353" s="6"/>
      <c r="L353" s="5"/>
      <c r="M353" s="4"/>
    </row>
    <row r="354" spans="11:13">
      <c r="K354" s="6"/>
      <c r="L354" s="5"/>
      <c r="M354" s="4"/>
    </row>
    <row r="355" spans="11:13">
      <c r="K355" s="6"/>
      <c r="L355" s="5"/>
      <c r="M355" s="4"/>
    </row>
    <row r="356" spans="11:13">
      <c r="K356" s="6"/>
      <c r="L356" s="5"/>
      <c r="M356" s="4"/>
    </row>
    <row r="357" spans="11:13">
      <c r="K357" s="6"/>
      <c r="L357" s="5"/>
      <c r="M357" s="4"/>
    </row>
    <row r="358" spans="11:13">
      <c r="K358" s="6"/>
      <c r="L358" s="5"/>
      <c r="M358" s="4"/>
    </row>
    <row r="359" spans="11:13">
      <c r="K359" s="6"/>
      <c r="L359" s="5"/>
      <c r="M359" s="4"/>
    </row>
    <row r="360" spans="11:13">
      <c r="K360" s="6"/>
      <c r="L360" s="5"/>
      <c r="M360" s="4"/>
    </row>
    <row r="361" spans="11:13">
      <c r="K361" s="6"/>
      <c r="L361" s="5"/>
      <c r="M361" s="4"/>
    </row>
    <row r="362" spans="11:13">
      <c r="K362" s="6"/>
      <c r="L362" s="5"/>
      <c r="M362" s="4"/>
    </row>
    <row r="363" spans="11:13">
      <c r="K363" s="6"/>
      <c r="L363" s="5"/>
      <c r="M363" s="4"/>
    </row>
    <row r="364" spans="11:13">
      <c r="K364" s="6"/>
      <c r="L364" s="5"/>
      <c r="M364" s="4"/>
    </row>
    <row r="365" spans="11:13">
      <c r="K365" s="6"/>
      <c r="L365" s="5"/>
      <c r="M365" s="4"/>
    </row>
    <row r="366" spans="11:13">
      <c r="K366" s="6"/>
      <c r="L366" s="5"/>
      <c r="M366" s="4"/>
    </row>
    <row r="367" spans="11:13">
      <c r="K367" s="6"/>
      <c r="L367" s="5"/>
      <c r="M367" s="4"/>
    </row>
    <row r="368" spans="11:13">
      <c r="K368" s="6"/>
      <c r="L368" s="5"/>
      <c r="M368" s="4"/>
    </row>
    <row r="369" spans="11:13">
      <c r="K369" s="6"/>
      <c r="L369" s="5"/>
      <c r="M369" s="4"/>
    </row>
    <row r="370" spans="11:13">
      <c r="K370" s="6"/>
      <c r="L370" s="5"/>
      <c r="M370" s="4"/>
    </row>
    <row r="371" spans="11:13">
      <c r="K371" s="6"/>
      <c r="L371" s="5"/>
      <c r="M371" s="4"/>
    </row>
    <row r="372" spans="11:13">
      <c r="K372" s="6"/>
      <c r="L372" s="5"/>
      <c r="M372" s="4"/>
    </row>
    <row r="373" spans="11:13">
      <c r="K373" s="6"/>
      <c r="L373" s="5"/>
      <c r="M373" s="4"/>
    </row>
    <row r="374" spans="11:13">
      <c r="K374" s="6"/>
      <c r="L374" s="5"/>
      <c r="M374" s="4"/>
    </row>
    <row r="375" spans="11:13">
      <c r="K375" s="6"/>
      <c r="L375" s="5"/>
      <c r="M375" s="4"/>
    </row>
    <row r="376" spans="11:13">
      <c r="K376" s="6"/>
      <c r="L376" s="5"/>
      <c r="M376" s="4"/>
    </row>
    <row r="377" spans="11:13">
      <c r="K377" s="6"/>
      <c r="L377" s="5"/>
      <c r="M377" s="4"/>
    </row>
    <row r="378" spans="11:13">
      <c r="K378" s="6"/>
      <c r="L378" s="5"/>
      <c r="M378" s="4"/>
    </row>
    <row r="379" spans="11:13">
      <c r="K379" s="6"/>
      <c r="L379" s="5"/>
      <c r="M379" s="4"/>
    </row>
    <row r="380" spans="11:13">
      <c r="K380" s="6"/>
      <c r="L380" s="5"/>
      <c r="M380" s="4"/>
    </row>
    <row r="381" spans="11:13">
      <c r="K381" s="6"/>
      <c r="L381" s="5"/>
      <c r="M381" s="4"/>
    </row>
    <row r="382" spans="11:13">
      <c r="K382" s="6"/>
      <c r="L382" s="5"/>
      <c r="M382" s="4"/>
    </row>
    <row r="383" spans="11:13">
      <c r="K383" s="6"/>
      <c r="L383" s="5"/>
      <c r="M383" s="4"/>
    </row>
    <row r="384" spans="11:13">
      <c r="K384" s="6"/>
      <c r="L384" s="5"/>
      <c r="M384" s="4"/>
    </row>
    <row r="385" spans="11:13">
      <c r="K385" s="6"/>
      <c r="L385" s="5"/>
      <c r="M385" s="4"/>
    </row>
    <row r="386" spans="11:13">
      <c r="K386" s="6"/>
      <c r="L386" s="5"/>
      <c r="M386" s="4"/>
    </row>
    <row r="387" spans="11:13">
      <c r="K387" s="6"/>
      <c r="L387" s="5"/>
      <c r="M387" s="4"/>
    </row>
    <row r="388" spans="11:13">
      <c r="K388" s="6"/>
      <c r="L388" s="5"/>
      <c r="M388" s="4"/>
    </row>
    <row r="389" spans="11:13">
      <c r="K389" s="6"/>
      <c r="L389" s="5"/>
      <c r="M389" s="4"/>
    </row>
    <row r="390" spans="11:13">
      <c r="K390" s="6"/>
      <c r="L390" s="5"/>
      <c r="M390" s="4"/>
    </row>
    <row r="391" spans="11:13">
      <c r="K391" s="6"/>
      <c r="L391" s="5"/>
      <c r="M391" s="4"/>
    </row>
    <row r="392" spans="11:13">
      <c r="K392" s="6"/>
      <c r="L392" s="5"/>
      <c r="M392" s="4"/>
    </row>
    <row r="393" spans="11:13">
      <c r="K393" s="6"/>
      <c r="L393" s="5"/>
      <c r="M393" s="4"/>
    </row>
    <row r="394" spans="11:13">
      <c r="K394" s="6"/>
      <c r="L394" s="5"/>
      <c r="M394" s="4"/>
    </row>
    <row r="395" spans="11:13">
      <c r="K395" s="6"/>
      <c r="L395" s="5"/>
      <c r="M395" s="4"/>
    </row>
    <row r="396" spans="11:13">
      <c r="K396" s="6"/>
      <c r="L396" s="5"/>
      <c r="M396" s="4"/>
    </row>
    <row r="397" spans="11:13">
      <c r="K397" s="6"/>
      <c r="L397" s="5"/>
      <c r="M397" s="4"/>
    </row>
    <row r="398" spans="11:13">
      <c r="K398" s="6"/>
      <c r="L398" s="5"/>
      <c r="M398" s="4"/>
    </row>
    <row r="399" spans="11:13">
      <c r="K399" s="6"/>
      <c r="L399" s="5"/>
      <c r="M399" s="4"/>
    </row>
    <row r="400" spans="11:13">
      <c r="K400" s="6"/>
      <c r="L400" s="5"/>
      <c r="M400" s="4"/>
    </row>
    <row r="401" spans="11:13">
      <c r="K401" s="6"/>
      <c r="L401" s="5"/>
      <c r="M401" s="4"/>
    </row>
    <row r="402" spans="11:13">
      <c r="K402" s="6"/>
      <c r="L402" s="5"/>
      <c r="M402" s="4"/>
    </row>
    <row r="403" spans="11:13">
      <c r="K403" s="6"/>
      <c r="L403" s="5"/>
      <c r="M403" s="4"/>
    </row>
    <row r="404" spans="11:13">
      <c r="K404" s="6"/>
      <c r="L404" s="5"/>
      <c r="M404" s="4"/>
    </row>
    <row r="405" spans="11:13">
      <c r="K405" s="6"/>
      <c r="L405" s="5"/>
      <c r="M405" s="4"/>
    </row>
    <row r="406" spans="11:13">
      <c r="K406" s="6"/>
      <c r="L406" s="5"/>
      <c r="M406" s="4"/>
    </row>
    <row r="407" spans="11:13">
      <c r="K407" s="6"/>
      <c r="L407" s="5"/>
      <c r="M407" s="4"/>
    </row>
    <row r="408" spans="11:13">
      <c r="K408" s="6"/>
      <c r="L408" s="5"/>
      <c r="M408" s="4"/>
    </row>
    <row r="409" spans="11:13">
      <c r="K409" s="6"/>
      <c r="L409" s="5"/>
      <c r="M409" s="4"/>
    </row>
    <row r="410" spans="11:13">
      <c r="K410" s="6"/>
      <c r="L410" s="5"/>
      <c r="M410" s="4"/>
    </row>
    <row r="411" spans="11:13">
      <c r="K411" s="6"/>
      <c r="L411" s="5"/>
      <c r="M411" s="4"/>
    </row>
    <row r="412" spans="11:13">
      <c r="K412" s="6"/>
      <c r="L412" s="5"/>
      <c r="M412" s="4"/>
    </row>
    <row r="413" spans="11:13">
      <c r="K413" s="6"/>
      <c r="L413" s="5"/>
      <c r="M413" s="4"/>
    </row>
    <row r="414" spans="11:13">
      <c r="K414" s="6"/>
      <c r="L414" s="5"/>
      <c r="M414" s="4"/>
    </row>
    <row r="415" spans="11:13">
      <c r="K415" s="6"/>
      <c r="L415" s="5"/>
      <c r="M415" s="4"/>
    </row>
    <row r="416" spans="11:13">
      <c r="K416" s="6"/>
      <c r="L416" s="5"/>
      <c r="M416" s="4"/>
    </row>
    <row r="417" spans="11:13">
      <c r="K417" s="6"/>
      <c r="L417" s="5"/>
      <c r="M417" s="4"/>
    </row>
    <row r="418" spans="11:13">
      <c r="K418" s="6"/>
      <c r="L418" s="5"/>
      <c r="M418" s="4"/>
    </row>
    <row r="419" spans="11:13">
      <c r="K419" s="6"/>
      <c r="L419" s="5"/>
      <c r="M419" s="4"/>
    </row>
    <row r="420" spans="11:13">
      <c r="K420" s="6"/>
      <c r="L420" s="5"/>
      <c r="M420" s="4"/>
    </row>
    <row r="421" spans="11:13">
      <c r="K421" s="6"/>
      <c r="L421" s="5"/>
      <c r="M421" s="4"/>
    </row>
    <row r="422" spans="11:13">
      <c r="K422" s="6"/>
      <c r="L422" s="5"/>
      <c r="M422" s="4"/>
    </row>
    <row r="423" spans="11:13">
      <c r="K423" s="6"/>
      <c r="L423" s="5"/>
      <c r="M423" s="4"/>
    </row>
    <row r="424" spans="11:13">
      <c r="K424" s="6"/>
      <c r="L424" s="5"/>
      <c r="M424" s="4"/>
    </row>
    <row r="425" spans="11:13">
      <c r="K425" s="6"/>
      <c r="L425" s="5"/>
      <c r="M425" s="4"/>
    </row>
    <row r="426" spans="11:13">
      <c r="K426" s="6"/>
      <c r="L426" s="5"/>
      <c r="M426" s="4"/>
    </row>
    <row r="427" spans="11:13">
      <c r="K427" s="6"/>
      <c r="L427" s="5"/>
      <c r="M427" s="4"/>
    </row>
    <row r="428" spans="11:13">
      <c r="K428" s="6"/>
      <c r="L428" s="5"/>
      <c r="M428" s="4"/>
    </row>
    <row r="429" spans="11:13">
      <c r="K429" s="6"/>
      <c r="L429" s="5"/>
      <c r="M429" s="4"/>
    </row>
    <row r="430" spans="11:13">
      <c r="K430" s="6"/>
      <c r="L430" s="5"/>
      <c r="M430" s="4"/>
    </row>
    <row r="431" spans="11:13">
      <c r="K431" s="6"/>
      <c r="L431" s="5"/>
      <c r="M431" s="4"/>
    </row>
    <row r="432" spans="11:13">
      <c r="K432" s="6"/>
      <c r="L432" s="5"/>
      <c r="M432" s="4"/>
    </row>
    <row r="433" spans="11:13">
      <c r="K433" s="6"/>
      <c r="L433" s="5"/>
      <c r="M433" s="4"/>
    </row>
    <row r="434" spans="11:13">
      <c r="K434" s="6"/>
      <c r="L434" s="5"/>
      <c r="M434" s="4"/>
    </row>
    <row r="435" spans="11:13">
      <c r="K435" s="6"/>
      <c r="L435" s="5"/>
      <c r="M435" s="4"/>
    </row>
    <row r="436" spans="11:13">
      <c r="K436" s="6"/>
      <c r="L436" s="5"/>
      <c r="M436" s="4"/>
    </row>
    <row r="437" spans="11:13">
      <c r="K437" s="6"/>
      <c r="L437" s="5"/>
      <c r="M437" s="4"/>
    </row>
    <row r="438" spans="11:13">
      <c r="K438" s="6"/>
      <c r="L438" s="5"/>
      <c r="M438" s="4"/>
    </row>
    <row r="439" spans="11:13">
      <c r="K439" s="6"/>
      <c r="L439" s="5"/>
      <c r="M439" s="4"/>
    </row>
    <row r="440" spans="11:13">
      <c r="K440" s="6"/>
      <c r="L440" s="5"/>
      <c r="M440" s="4"/>
    </row>
    <row r="441" spans="11:13">
      <c r="K441" s="6"/>
      <c r="L441" s="5"/>
      <c r="M441" s="4"/>
    </row>
    <row r="442" spans="11:13">
      <c r="K442" s="6"/>
      <c r="L442" s="5"/>
      <c r="M442" s="4"/>
    </row>
    <row r="443" spans="11:13">
      <c r="K443" s="6"/>
      <c r="L443" s="5"/>
      <c r="M443" s="4"/>
    </row>
    <row r="444" spans="11:13">
      <c r="K444" s="6"/>
      <c r="L444" s="5"/>
      <c r="M444" s="4"/>
    </row>
    <row r="445" spans="11:13">
      <c r="K445" s="6"/>
      <c r="L445" s="5"/>
      <c r="M445" s="4"/>
    </row>
    <row r="446" spans="11:13">
      <c r="K446" s="6"/>
      <c r="L446" s="5"/>
      <c r="M446" s="4"/>
    </row>
    <row r="447" spans="11:13">
      <c r="K447" s="6"/>
      <c r="L447" s="5"/>
      <c r="M447" s="4"/>
    </row>
    <row r="448" spans="11:13">
      <c r="K448" s="6"/>
      <c r="L448" s="5"/>
      <c r="M448" s="4"/>
    </row>
    <row r="449" spans="11:13">
      <c r="K449" s="6"/>
      <c r="L449" s="5"/>
      <c r="M449" s="4"/>
    </row>
    <row r="450" spans="11:13">
      <c r="K450" s="6"/>
      <c r="L450" s="5"/>
      <c r="M450" s="4"/>
    </row>
    <row r="451" spans="11:13">
      <c r="K451" s="6"/>
      <c r="L451" s="5"/>
      <c r="M451" s="4"/>
    </row>
    <row r="452" spans="11:13">
      <c r="K452" s="6"/>
      <c r="L452" s="5"/>
      <c r="M452" s="4"/>
    </row>
    <row r="453" spans="11:13">
      <c r="K453" s="6"/>
      <c r="L453" s="5"/>
      <c r="M453" s="4"/>
    </row>
    <row r="454" spans="11:13">
      <c r="K454" s="6"/>
      <c r="L454" s="5"/>
      <c r="M454" s="4"/>
    </row>
    <row r="455" spans="11:13">
      <c r="K455" s="6"/>
      <c r="L455" s="5"/>
      <c r="M455" s="4"/>
    </row>
    <row r="456" spans="11:13">
      <c r="K456" s="6"/>
      <c r="L456" s="5"/>
      <c r="M456" s="4"/>
    </row>
    <row r="457" spans="11:13">
      <c r="K457" s="6"/>
      <c r="L457" s="5"/>
      <c r="M457" s="4"/>
    </row>
    <row r="458" spans="11:13">
      <c r="K458" s="6"/>
      <c r="L458" s="5"/>
      <c r="M458" s="4"/>
    </row>
    <row r="459" spans="11:13">
      <c r="K459" s="6"/>
      <c r="L459" s="5"/>
      <c r="M459" s="4"/>
    </row>
    <row r="460" spans="11:13">
      <c r="K460" s="6"/>
      <c r="L460" s="5"/>
      <c r="M460" s="4"/>
    </row>
    <row r="461" spans="11:13">
      <c r="K461" s="6"/>
      <c r="L461" s="5"/>
      <c r="M461" s="4"/>
    </row>
    <row r="462" spans="11:13">
      <c r="K462" s="6"/>
      <c r="L462" s="5"/>
      <c r="M462" s="4"/>
    </row>
    <row r="463" spans="11:13">
      <c r="K463" s="6"/>
      <c r="L463" s="5"/>
      <c r="M463" s="4"/>
    </row>
    <row r="464" spans="11:13">
      <c r="K464" s="6"/>
      <c r="L464" s="5"/>
      <c r="M464" s="4"/>
    </row>
    <row r="465" spans="11:13">
      <c r="K465" s="6"/>
      <c r="L465" s="5"/>
      <c r="M465" s="4"/>
    </row>
    <row r="466" spans="11:13">
      <c r="K466" s="6"/>
      <c r="L466" s="5"/>
      <c r="M466" s="4"/>
    </row>
    <row r="467" spans="11:13">
      <c r="K467" s="6"/>
      <c r="L467" s="5"/>
      <c r="M467" s="4"/>
    </row>
    <row r="468" spans="11:13">
      <c r="K468" s="6"/>
      <c r="L468" s="5"/>
      <c r="M468" s="4"/>
    </row>
    <row r="469" spans="11:13">
      <c r="K469" s="6"/>
      <c r="L469" s="5"/>
      <c r="M469" s="4"/>
    </row>
    <row r="470" spans="11:13">
      <c r="K470" s="6"/>
      <c r="L470" s="5"/>
      <c r="M470" s="4"/>
    </row>
    <row r="471" spans="11:13">
      <c r="K471" s="6"/>
      <c r="L471" s="5"/>
      <c r="M471" s="4"/>
    </row>
    <row r="472" spans="11:13">
      <c r="K472" s="6"/>
      <c r="L472" s="5"/>
      <c r="M472" s="4"/>
    </row>
    <row r="473" spans="11:13">
      <c r="K473" s="6"/>
      <c r="L473" s="5"/>
      <c r="M473" s="4"/>
    </row>
    <row r="474" spans="11:13">
      <c r="K474" s="6"/>
      <c r="L474" s="5"/>
      <c r="M474" s="4"/>
    </row>
    <row r="475" spans="11:13">
      <c r="K475" s="6"/>
      <c r="L475" s="5"/>
      <c r="M475" s="4"/>
    </row>
    <row r="476" spans="11:13">
      <c r="K476" s="6"/>
      <c r="L476" s="5"/>
      <c r="M476" s="4"/>
    </row>
    <row r="477" spans="11:13">
      <c r="K477" s="6"/>
      <c r="L477" s="5"/>
      <c r="M477" s="4"/>
    </row>
    <row r="478" spans="11:13">
      <c r="K478" s="6"/>
      <c r="L478" s="5"/>
      <c r="M478" s="4"/>
    </row>
    <row r="479" spans="11:13">
      <c r="K479" s="6"/>
      <c r="L479" s="5"/>
      <c r="M479" s="4"/>
    </row>
    <row r="480" spans="11:13">
      <c r="K480" s="6"/>
      <c r="L480" s="5"/>
      <c r="M480" s="4"/>
    </row>
    <row r="481" spans="11:13">
      <c r="K481" s="6"/>
      <c r="L481" s="5"/>
      <c r="M481" s="4"/>
    </row>
    <row r="482" spans="11:13">
      <c r="K482" s="6"/>
      <c r="L482" s="5"/>
      <c r="M482" s="4"/>
    </row>
    <row r="483" spans="11:13">
      <c r="K483" s="6"/>
      <c r="L483" s="5"/>
      <c r="M483" s="4"/>
    </row>
    <row r="484" spans="11:13">
      <c r="K484" s="6"/>
      <c r="L484" s="5"/>
      <c r="M484" s="4"/>
    </row>
    <row r="485" spans="11:13">
      <c r="K485" s="6"/>
      <c r="L485" s="5"/>
      <c r="M485" s="4"/>
    </row>
    <row r="486" spans="11:13">
      <c r="K486" s="6"/>
      <c r="L486" s="5"/>
      <c r="M486" s="4"/>
    </row>
    <row r="487" spans="11:13">
      <c r="K487" s="6"/>
      <c r="L487" s="5"/>
      <c r="M487" s="4"/>
    </row>
    <row r="488" spans="11:13">
      <c r="K488" s="6"/>
      <c r="L488" s="5"/>
      <c r="M488" s="4"/>
    </row>
    <row r="489" spans="11:13">
      <c r="K489" s="6"/>
      <c r="L489" s="5"/>
      <c r="M489" s="4"/>
    </row>
    <row r="490" spans="11:13">
      <c r="K490" s="6"/>
      <c r="L490" s="5"/>
      <c r="M490" s="4"/>
    </row>
    <row r="491" spans="11:13">
      <c r="K491" s="6"/>
      <c r="L491" s="5"/>
      <c r="M491" s="4"/>
    </row>
    <row r="492" spans="11:13">
      <c r="K492" s="6"/>
      <c r="L492" s="5"/>
      <c r="M492" s="4"/>
    </row>
    <row r="493" spans="11:13">
      <c r="K493" s="6"/>
      <c r="L493" s="5"/>
      <c r="M493" s="4"/>
    </row>
    <row r="494" spans="11:13">
      <c r="K494" s="6"/>
      <c r="L494" s="5"/>
      <c r="M494" s="4"/>
    </row>
    <row r="495" spans="11:13">
      <c r="K495" s="6"/>
      <c r="L495" s="5"/>
      <c r="M495" s="4"/>
    </row>
    <row r="496" spans="11:13">
      <c r="K496" s="6"/>
      <c r="L496" s="5"/>
      <c r="M496" s="4"/>
    </row>
    <row r="497" spans="11:13">
      <c r="K497" s="6"/>
      <c r="L497" s="5"/>
      <c r="M497" s="4"/>
    </row>
    <row r="498" spans="11:13">
      <c r="K498" s="6"/>
      <c r="L498" s="5"/>
      <c r="M498" s="4"/>
    </row>
    <row r="499" spans="11:13">
      <c r="K499" s="6"/>
      <c r="L499" s="5"/>
      <c r="M499" s="4"/>
    </row>
    <row r="500" spans="11:13">
      <c r="K500" s="6"/>
      <c r="L500" s="5"/>
      <c r="M500" s="4"/>
    </row>
    <row r="501" spans="11:13">
      <c r="K501" s="6"/>
      <c r="L501" s="5"/>
      <c r="M501" s="4"/>
    </row>
    <row r="502" spans="11:13">
      <c r="K502" s="6"/>
      <c r="L502" s="5"/>
      <c r="M502" s="4"/>
    </row>
    <row r="503" spans="11:13">
      <c r="K503" s="6"/>
      <c r="L503" s="5"/>
      <c r="M503" s="4"/>
    </row>
    <row r="504" spans="11:13">
      <c r="K504" s="6"/>
      <c r="L504" s="5"/>
      <c r="M504" s="4"/>
    </row>
    <row r="505" spans="11:13">
      <c r="K505" s="6"/>
      <c r="L505" s="5"/>
      <c r="M505" s="4"/>
    </row>
    <row r="506" spans="11:13">
      <c r="K506" s="6"/>
      <c r="L506" s="5"/>
      <c r="M506" s="4"/>
    </row>
    <row r="507" spans="11:13">
      <c r="K507" s="6"/>
      <c r="L507" s="5"/>
      <c r="M507" s="4"/>
    </row>
    <row r="508" spans="11:13">
      <c r="K508" s="6"/>
      <c r="L508" s="5"/>
      <c r="M508" s="4"/>
    </row>
    <row r="509" spans="11:13">
      <c r="K509" s="6"/>
      <c r="L509" s="5"/>
      <c r="M509" s="4"/>
    </row>
    <row r="510" spans="11:13">
      <c r="K510" s="6"/>
      <c r="L510" s="5"/>
      <c r="M510" s="4"/>
    </row>
    <row r="511" spans="11:13">
      <c r="K511" s="6"/>
      <c r="L511" s="5"/>
      <c r="M511" s="4"/>
    </row>
    <row r="512" spans="11:13">
      <c r="K512" s="6"/>
      <c r="L512" s="5"/>
      <c r="M512" s="4"/>
    </row>
    <row r="513" spans="11:13">
      <c r="K513" s="6"/>
      <c r="L513" s="5"/>
      <c r="M513" s="4"/>
    </row>
    <row r="514" spans="11:13">
      <c r="K514" s="6"/>
      <c r="L514" s="5"/>
      <c r="M514" s="4"/>
    </row>
    <row r="515" spans="11:13">
      <c r="K515" s="6"/>
      <c r="L515" s="5"/>
      <c r="M515" s="4"/>
    </row>
    <row r="516" spans="11:13">
      <c r="K516" s="6"/>
      <c r="L516" s="5"/>
      <c r="M516" s="4"/>
    </row>
    <row r="517" spans="11:13">
      <c r="K517" s="6"/>
      <c r="L517" s="5"/>
      <c r="M517" s="4"/>
    </row>
    <row r="518" spans="11:13">
      <c r="K518" s="6"/>
      <c r="L518" s="5"/>
      <c r="M518" s="4"/>
    </row>
    <row r="519" spans="11:13">
      <c r="K519" s="6"/>
      <c r="L519" s="5"/>
      <c r="M519" s="4"/>
    </row>
    <row r="520" spans="11:13">
      <c r="K520" s="6"/>
      <c r="L520" s="5"/>
      <c r="M520" s="4"/>
    </row>
    <row r="521" spans="11:13">
      <c r="K521" s="6"/>
      <c r="L521" s="5"/>
      <c r="M521" s="4"/>
    </row>
    <row r="522" spans="11:13">
      <c r="K522" s="6"/>
      <c r="L522" s="5"/>
      <c r="M522" s="4"/>
    </row>
    <row r="523" spans="11:13">
      <c r="K523" s="6"/>
      <c r="L523" s="5"/>
      <c r="M523" s="4"/>
    </row>
    <row r="524" spans="11:13">
      <c r="K524" s="6"/>
      <c r="L524" s="5"/>
      <c r="M524" s="4"/>
    </row>
    <row r="525" spans="11:13">
      <c r="K525" s="6"/>
      <c r="L525" s="5"/>
      <c r="M525" s="4"/>
    </row>
    <row r="526" spans="11:13">
      <c r="K526" s="6"/>
      <c r="L526" s="5"/>
      <c r="M526" s="4"/>
    </row>
    <row r="527" spans="11:13">
      <c r="K527" s="6"/>
      <c r="L527" s="5"/>
      <c r="M527" s="4"/>
    </row>
    <row r="528" spans="11:13">
      <c r="K528" s="6"/>
      <c r="L528" s="5"/>
      <c r="M528" s="4"/>
    </row>
    <row r="529" spans="11:13">
      <c r="K529" s="6"/>
      <c r="L529" s="5"/>
      <c r="M529" s="4"/>
    </row>
    <row r="530" spans="11:13">
      <c r="K530" s="6"/>
      <c r="L530" s="5"/>
      <c r="M530" s="4"/>
    </row>
    <row r="531" spans="11:13">
      <c r="K531" s="6"/>
      <c r="L531" s="5"/>
      <c r="M531" s="4"/>
    </row>
    <row r="532" spans="11:13">
      <c r="K532" s="6"/>
      <c r="L532" s="5"/>
      <c r="M532" s="4"/>
    </row>
    <row r="533" spans="11:13">
      <c r="K533" s="6"/>
      <c r="L533" s="5"/>
      <c r="M533" s="4"/>
    </row>
    <row r="534" spans="11:13">
      <c r="K534" s="6"/>
      <c r="L534" s="5"/>
      <c r="M534" s="4"/>
    </row>
    <row r="535" spans="11:13">
      <c r="K535" s="6"/>
      <c r="L535" s="5"/>
      <c r="M535" s="4"/>
    </row>
    <row r="536" spans="11:13">
      <c r="K536" s="6"/>
      <c r="L536" s="5"/>
      <c r="M536" s="4"/>
    </row>
    <row r="537" spans="11:13">
      <c r="K537" s="6"/>
      <c r="L537" s="5"/>
      <c r="M537" s="4"/>
    </row>
    <row r="538" spans="11:13">
      <c r="K538" s="6"/>
      <c r="L538" s="5"/>
      <c r="M538" s="4"/>
    </row>
    <row r="539" spans="11:13">
      <c r="K539" s="6"/>
      <c r="L539" s="5"/>
      <c r="M539" s="4"/>
    </row>
    <row r="540" spans="11:13">
      <c r="K540" s="6"/>
      <c r="L540" s="5"/>
      <c r="M540" s="4"/>
    </row>
    <row r="541" spans="11:13">
      <c r="K541" s="6"/>
      <c r="L541" s="5"/>
      <c r="M541" s="4"/>
    </row>
    <row r="542" spans="11:13">
      <c r="K542" s="6"/>
      <c r="L542" s="5"/>
      <c r="M542" s="4"/>
    </row>
    <row r="543" spans="11:13">
      <c r="K543" s="6"/>
      <c r="L543" s="5"/>
      <c r="M543" s="4"/>
    </row>
    <row r="544" spans="11:13">
      <c r="K544" s="6"/>
      <c r="L544" s="5"/>
      <c r="M544" s="4"/>
    </row>
    <row r="545" spans="11:13">
      <c r="K545" s="6"/>
      <c r="L545" s="5"/>
      <c r="M545" s="4"/>
    </row>
    <row r="546" spans="11:13">
      <c r="K546" s="6"/>
      <c r="L546" s="5"/>
      <c r="M546" s="4"/>
    </row>
    <row r="547" spans="11:13">
      <c r="K547" s="6"/>
      <c r="L547" s="5"/>
      <c r="M547" s="4"/>
    </row>
    <row r="548" spans="11:13">
      <c r="K548" s="6"/>
      <c r="L548" s="5"/>
      <c r="M548" s="4"/>
    </row>
    <row r="549" spans="11:13">
      <c r="K549" s="6"/>
      <c r="L549" s="5"/>
      <c r="M549" s="4"/>
    </row>
    <row r="550" spans="11:13">
      <c r="K550" s="6"/>
      <c r="L550" s="5"/>
      <c r="M550" s="4"/>
    </row>
    <row r="551" spans="11:13">
      <c r="K551" s="6"/>
      <c r="L551" s="5"/>
      <c r="M551" s="4"/>
    </row>
    <row r="552" spans="11:13">
      <c r="K552" s="6"/>
      <c r="L552" s="5"/>
      <c r="M552" s="4"/>
    </row>
    <row r="553" spans="11:13">
      <c r="K553" s="6"/>
      <c r="L553" s="5"/>
      <c r="M553" s="4"/>
    </row>
    <row r="554" spans="11:13">
      <c r="K554" s="6"/>
      <c r="L554" s="5"/>
      <c r="M554" s="4"/>
    </row>
    <row r="555" spans="11:13">
      <c r="K555" s="6"/>
      <c r="L555" s="5"/>
      <c r="M555" s="4"/>
    </row>
    <row r="556" spans="11:13">
      <c r="K556" s="6"/>
      <c r="L556" s="5"/>
      <c r="M556" s="4"/>
    </row>
    <row r="557" spans="11:13">
      <c r="K557" s="6"/>
      <c r="L557" s="5"/>
      <c r="M557" s="4"/>
    </row>
    <row r="558" spans="11:13">
      <c r="K558" s="6"/>
      <c r="L558" s="5"/>
      <c r="M558" s="4"/>
    </row>
    <row r="559" spans="11:13">
      <c r="K559" s="6"/>
      <c r="L559" s="5"/>
      <c r="M559" s="4"/>
    </row>
    <row r="560" spans="11:13">
      <c r="K560" s="6"/>
      <c r="L560" s="5"/>
      <c r="M560" s="4"/>
    </row>
    <row r="561" spans="11:13">
      <c r="K561" s="6"/>
      <c r="L561" s="5"/>
      <c r="M561" s="4"/>
    </row>
    <row r="562" spans="11:13">
      <c r="K562" s="6"/>
      <c r="L562" s="5"/>
      <c r="M562" s="4"/>
    </row>
    <row r="563" spans="11:13">
      <c r="K563" s="6"/>
      <c r="L563" s="5"/>
      <c r="M563" s="4"/>
    </row>
    <row r="564" spans="11:13">
      <c r="K564" s="6"/>
      <c r="L564" s="5"/>
      <c r="M564" s="4"/>
    </row>
    <row r="565" spans="11:13">
      <c r="K565" s="6"/>
      <c r="L565" s="5"/>
      <c r="M565" s="4"/>
    </row>
    <row r="566" spans="11:13">
      <c r="K566" s="6"/>
      <c r="L566" s="5"/>
      <c r="M566" s="4"/>
    </row>
    <row r="567" spans="11:13">
      <c r="K567" s="6"/>
      <c r="L567" s="5"/>
      <c r="M567" s="4"/>
    </row>
    <row r="568" spans="11:13">
      <c r="K568" s="6"/>
      <c r="L568" s="5"/>
      <c r="M568" s="4"/>
    </row>
    <row r="569" spans="11:13">
      <c r="K569" s="6"/>
      <c r="L569" s="5"/>
      <c r="M569" s="4"/>
    </row>
    <row r="570" spans="11:13">
      <c r="K570" s="6"/>
      <c r="L570" s="5"/>
      <c r="M570" s="4"/>
    </row>
    <row r="571" spans="11:13">
      <c r="K571" s="6"/>
      <c r="L571" s="5"/>
      <c r="M571" s="4"/>
    </row>
    <row r="572" spans="11:13">
      <c r="K572" s="6"/>
      <c r="L572" s="5"/>
      <c r="M572" s="4"/>
    </row>
    <row r="573" spans="11:13">
      <c r="K573" s="6"/>
      <c r="L573" s="5"/>
      <c r="M573" s="4"/>
    </row>
    <row r="574" spans="11:13">
      <c r="K574" s="6"/>
      <c r="L574" s="5"/>
      <c r="M574" s="4"/>
    </row>
    <row r="575" spans="11:13">
      <c r="K575" s="6"/>
      <c r="L575" s="5"/>
      <c r="M575" s="4"/>
    </row>
    <row r="576" spans="11:13">
      <c r="K576" s="6"/>
      <c r="L576" s="5"/>
      <c r="M576" s="4"/>
    </row>
    <row r="577" spans="11:13">
      <c r="K577" s="6"/>
      <c r="L577" s="5"/>
      <c r="M577" s="4"/>
    </row>
    <row r="578" spans="11:13">
      <c r="K578" s="6"/>
      <c r="L578" s="5"/>
      <c r="M578" s="4"/>
    </row>
    <row r="579" spans="11:13">
      <c r="K579" s="6"/>
      <c r="L579" s="5"/>
      <c r="M579" s="4"/>
    </row>
    <row r="580" spans="11:13">
      <c r="K580" s="6"/>
      <c r="L580" s="5"/>
      <c r="M580" s="4"/>
    </row>
    <row r="581" spans="11:13">
      <c r="K581" s="6"/>
      <c r="L581" s="5"/>
      <c r="M581" s="4"/>
    </row>
    <row r="582" spans="11:13">
      <c r="K582" s="6"/>
      <c r="L582" s="5"/>
      <c r="M582" s="4"/>
    </row>
    <row r="583" spans="11:13">
      <c r="K583" s="6"/>
      <c r="L583" s="5"/>
      <c r="M583" s="4"/>
    </row>
    <row r="584" spans="11:13">
      <c r="K584" s="6"/>
      <c r="L584" s="5"/>
      <c r="M584" s="4"/>
    </row>
    <row r="585" spans="11:13">
      <c r="K585" s="6"/>
      <c r="L585" s="5"/>
      <c r="M585" s="4"/>
    </row>
    <row r="586" spans="11:13">
      <c r="K586" s="6"/>
      <c r="L586" s="5"/>
      <c r="M586" s="4"/>
    </row>
    <row r="587" spans="11:13">
      <c r="K587" s="6"/>
      <c r="L587" s="5"/>
      <c r="M587" s="4"/>
    </row>
    <row r="588" spans="11:13">
      <c r="K588" s="6"/>
      <c r="L588" s="5"/>
      <c r="M588" s="4"/>
    </row>
    <row r="589" spans="11:13">
      <c r="K589" s="6"/>
      <c r="L589" s="5"/>
      <c r="M589" s="4"/>
    </row>
    <row r="590" spans="11:13">
      <c r="K590" s="6"/>
      <c r="L590" s="5"/>
      <c r="M590" s="4"/>
    </row>
    <row r="591" spans="11:13">
      <c r="K591" s="6"/>
      <c r="L591" s="5"/>
      <c r="M591" s="4"/>
    </row>
    <row r="592" spans="11:13">
      <c r="K592" s="6"/>
      <c r="L592" s="5"/>
      <c r="M592" s="4"/>
    </row>
    <row r="593" spans="11:13">
      <c r="K593" s="6"/>
      <c r="L593" s="5"/>
      <c r="M593" s="4"/>
    </row>
    <row r="594" spans="11:13">
      <c r="K594" s="6"/>
      <c r="L594" s="5"/>
      <c r="M594" s="4"/>
    </row>
    <row r="595" spans="11:13">
      <c r="K595" s="6"/>
      <c r="L595" s="5"/>
      <c r="M595" s="4"/>
    </row>
    <row r="596" spans="11:13">
      <c r="K596" s="6"/>
      <c r="L596" s="5"/>
      <c r="M596" s="4"/>
    </row>
    <row r="597" spans="11:13">
      <c r="K597" s="6"/>
      <c r="L597" s="5"/>
      <c r="M597" s="4"/>
    </row>
    <row r="598" spans="11:13">
      <c r="K598" s="6"/>
      <c r="L598" s="5"/>
      <c r="M598" s="4"/>
    </row>
    <row r="599" spans="11:13">
      <c r="K599" s="6"/>
      <c r="L599" s="5"/>
      <c r="M599" s="4"/>
    </row>
    <row r="600" spans="11:13">
      <c r="K600" s="6"/>
      <c r="L600" s="5"/>
      <c r="M600" s="4"/>
    </row>
    <row r="601" spans="11:13">
      <c r="K601" s="6"/>
      <c r="L601" s="5"/>
      <c r="M601" s="4"/>
    </row>
    <row r="602" spans="11:13">
      <c r="K602" s="6"/>
      <c r="L602" s="5"/>
      <c r="M602" s="4"/>
    </row>
    <row r="603" spans="11:13">
      <c r="K603" s="6"/>
      <c r="L603" s="5"/>
      <c r="M603" s="4"/>
    </row>
    <row r="604" spans="11:13">
      <c r="K604" s="6"/>
      <c r="L604" s="5"/>
      <c r="M604" s="4"/>
    </row>
    <row r="605" spans="11:13">
      <c r="K605" s="6"/>
      <c r="L605" s="5"/>
      <c r="M605" s="4"/>
    </row>
    <row r="606" spans="11:13">
      <c r="K606" s="6"/>
      <c r="L606" s="5"/>
      <c r="M606" s="4"/>
    </row>
    <row r="607" spans="11:13">
      <c r="K607" s="6"/>
      <c r="L607" s="5"/>
      <c r="M607" s="4"/>
    </row>
    <row r="608" spans="11:13">
      <c r="K608" s="6"/>
      <c r="L608" s="5"/>
      <c r="M608" s="4"/>
    </row>
    <row r="609" spans="11:13">
      <c r="K609" s="6"/>
      <c r="L609" s="5"/>
      <c r="M609" s="4"/>
    </row>
    <row r="610" spans="11:13">
      <c r="K610" s="6"/>
      <c r="L610" s="5"/>
      <c r="M610" s="4"/>
    </row>
    <row r="611" spans="11:13">
      <c r="K611" s="6"/>
      <c r="L611" s="5"/>
      <c r="M611" s="4"/>
    </row>
    <row r="612" spans="11:13">
      <c r="K612" s="6"/>
      <c r="L612" s="5"/>
      <c r="M612" s="4"/>
    </row>
    <row r="613" spans="11:13">
      <c r="K613" s="6"/>
      <c r="L613" s="5"/>
      <c r="M613" s="4"/>
    </row>
    <row r="614" spans="11:13">
      <c r="K614" s="6"/>
      <c r="L614" s="5"/>
      <c r="M614" s="4"/>
    </row>
    <row r="615" spans="11:13">
      <c r="K615" s="6"/>
      <c r="L615" s="5"/>
      <c r="M615" s="4"/>
    </row>
    <row r="616" spans="11:13">
      <c r="K616" s="6"/>
      <c r="L616" s="5"/>
      <c r="M616" s="4"/>
    </row>
    <row r="617" spans="11:13">
      <c r="K617" s="6"/>
      <c r="L617" s="5"/>
      <c r="M617" s="4"/>
    </row>
    <row r="618" spans="11:13">
      <c r="K618" s="6"/>
      <c r="L618" s="5"/>
      <c r="M618" s="4"/>
    </row>
    <row r="619" spans="11:13">
      <c r="K619" s="6"/>
      <c r="L619" s="5"/>
      <c r="M619" s="4"/>
    </row>
    <row r="620" spans="11:13">
      <c r="K620" s="6"/>
      <c r="L620" s="5"/>
      <c r="M620" s="4"/>
    </row>
    <row r="621" spans="11:13">
      <c r="K621" s="6"/>
      <c r="L621" s="5"/>
      <c r="M621" s="4"/>
    </row>
    <row r="622" spans="11:13">
      <c r="K622" s="6"/>
      <c r="L622" s="5"/>
      <c r="M622" s="4"/>
    </row>
    <row r="623" spans="11:13">
      <c r="K623" s="6"/>
      <c r="L623" s="5"/>
      <c r="M623" s="4"/>
    </row>
    <row r="624" spans="11:13">
      <c r="K624" s="6"/>
      <c r="L624" s="5"/>
      <c r="M624" s="4"/>
    </row>
    <row r="625" spans="11:13">
      <c r="K625" s="6"/>
      <c r="L625" s="5"/>
      <c r="M625" s="4"/>
    </row>
    <row r="626" spans="11:13">
      <c r="K626" s="6"/>
      <c r="L626" s="5"/>
      <c r="M626" s="4"/>
    </row>
    <row r="627" spans="11:13">
      <c r="K627" s="6"/>
      <c r="L627" s="5"/>
      <c r="M627" s="4"/>
    </row>
    <row r="628" spans="11:13">
      <c r="K628" s="6"/>
      <c r="L628" s="5"/>
      <c r="M628" s="4"/>
    </row>
    <row r="629" spans="11:13">
      <c r="K629" s="6"/>
      <c r="L629" s="5"/>
      <c r="M629" s="4"/>
    </row>
    <row r="630" spans="11:13">
      <c r="K630" s="6"/>
      <c r="L630" s="5"/>
      <c r="M630" s="4"/>
    </row>
    <row r="631" spans="11:13">
      <c r="K631" s="6"/>
      <c r="L631" s="5"/>
      <c r="M631" s="4"/>
    </row>
    <row r="632" spans="11:13">
      <c r="K632" s="6"/>
      <c r="L632" s="5"/>
      <c r="M632" s="4"/>
    </row>
    <row r="633" spans="11:13">
      <c r="K633" s="6"/>
      <c r="L633" s="5"/>
      <c r="M633" s="4"/>
    </row>
    <row r="634" spans="11:13">
      <c r="K634" s="6"/>
      <c r="L634" s="5"/>
      <c r="M634" s="4"/>
    </row>
    <row r="635" spans="11:13">
      <c r="K635" s="6"/>
      <c r="L635" s="5"/>
      <c r="M635" s="4"/>
    </row>
    <row r="636" spans="11:13">
      <c r="K636" s="6"/>
      <c r="L636" s="5"/>
      <c r="M636" s="4"/>
    </row>
    <row r="637" spans="11:13">
      <c r="K637" s="6"/>
      <c r="L637" s="5"/>
      <c r="M637" s="4"/>
    </row>
    <row r="638" spans="11:13">
      <c r="K638" s="6"/>
      <c r="L638" s="5"/>
      <c r="M638" s="4"/>
    </row>
    <row r="639" spans="11:13">
      <c r="K639" s="6"/>
      <c r="L639" s="5"/>
      <c r="M639" s="4"/>
    </row>
    <row r="640" spans="11:13">
      <c r="K640" s="6"/>
      <c r="L640" s="5"/>
      <c r="M640" s="4"/>
    </row>
    <row r="641" spans="11:13">
      <c r="K641" s="6"/>
      <c r="L641" s="5"/>
      <c r="M641" s="4"/>
    </row>
    <row r="642" spans="11:13">
      <c r="K642" s="6"/>
      <c r="L642" s="5"/>
      <c r="M642" s="4"/>
    </row>
    <row r="643" spans="11:13">
      <c r="K643" s="6"/>
      <c r="L643" s="5"/>
      <c r="M643" s="4"/>
    </row>
    <row r="644" spans="11:13">
      <c r="K644" s="6"/>
      <c r="L644" s="5"/>
      <c r="M644" s="4"/>
    </row>
    <row r="645" spans="11:13">
      <c r="K645" s="6"/>
      <c r="L645" s="5"/>
      <c r="M645" s="4"/>
    </row>
    <row r="646" spans="11:13">
      <c r="K646" s="6"/>
      <c r="L646" s="5"/>
      <c r="M646" s="4"/>
    </row>
    <row r="647" spans="11:13">
      <c r="K647" s="6"/>
      <c r="L647" s="5"/>
      <c r="M647" s="4"/>
    </row>
    <row r="648" spans="11:13">
      <c r="K648" s="6"/>
      <c r="L648" s="5"/>
      <c r="M648" s="4"/>
    </row>
    <row r="649" spans="11:13">
      <c r="K649" s="6"/>
      <c r="L649" s="5"/>
      <c r="M649" s="4"/>
    </row>
    <row r="650" spans="11:13">
      <c r="K650" s="6"/>
      <c r="L650" s="5"/>
      <c r="M650" s="4"/>
    </row>
    <row r="651" spans="11:13">
      <c r="K651" s="6"/>
      <c r="L651" s="5"/>
      <c r="M651" s="4"/>
    </row>
    <row r="652" spans="11:13">
      <c r="K652" s="6"/>
      <c r="L652" s="5"/>
      <c r="M652" s="4"/>
    </row>
    <row r="653" spans="11:13">
      <c r="K653" s="6"/>
      <c r="L653" s="5"/>
      <c r="M653" s="4"/>
    </row>
    <row r="654" spans="11:13">
      <c r="K654" s="6"/>
      <c r="L654" s="5"/>
      <c r="M654" s="4"/>
    </row>
    <row r="655" spans="11:13">
      <c r="K655" s="6"/>
      <c r="L655" s="5"/>
      <c r="M655" s="4"/>
    </row>
    <row r="656" spans="11:13">
      <c r="K656" s="6"/>
      <c r="L656" s="5"/>
      <c r="M656" s="4"/>
    </row>
    <row r="657" spans="11:13">
      <c r="K657" s="6"/>
      <c r="L657" s="5"/>
      <c r="M657" s="4"/>
    </row>
    <row r="658" spans="11:13">
      <c r="K658" s="6"/>
      <c r="L658" s="5"/>
      <c r="M658" s="4"/>
    </row>
    <row r="659" spans="11:13">
      <c r="K659" s="6"/>
      <c r="L659" s="5"/>
      <c r="M659" s="4"/>
    </row>
    <row r="660" spans="11:13">
      <c r="K660" s="6"/>
      <c r="L660" s="5"/>
      <c r="M660" s="4"/>
    </row>
    <row r="661" spans="11:13">
      <c r="K661" s="6"/>
      <c r="L661" s="5"/>
      <c r="M661" s="4"/>
    </row>
    <row r="662" spans="11:13">
      <c r="K662" s="6"/>
      <c r="L662" s="5"/>
      <c r="M662" s="4"/>
    </row>
    <row r="663" spans="11:13">
      <c r="K663" s="6"/>
      <c r="L663" s="5"/>
      <c r="M663" s="4"/>
    </row>
    <row r="664" spans="11:13">
      <c r="K664" s="6"/>
      <c r="L664" s="5"/>
      <c r="M664" s="4"/>
    </row>
    <row r="665" spans="11:13">
      <c r="K665" s="6"/>
      <c r="L665" s="5"/>
      <c r="M665" s="4"/>
    </row>
    <row r="666" spans="11:13">
      <c r="K666" s="6"/>
      <c r="L666" s="5"/>
      <c r="M666" s="4"/>
    </row>
    <row r="667" spans="11:13">
      <c r="K667" s="6"/>
      <c r="L667" s="5"/>
      <c r="M667" s="4"/>
    </row>
    <row r="668" spans="11:13">
      <c r="K668" s="6"/>
      <c r="L668" s="5"/>
      <c r="M668" s="4"/>
    </row>
    <row r="669" spans="11:13">
      <c r="K669" s="6"/>
      <c r="L669" s="5"/>
      <c r="M669" s="4"/>
    </row>
    <row r="670" spans="11:13">
      <c r="K670" s="6"/>
      <c r="L670" s="5"/>
      <c r="M670" s="4"/>
    </row>
    <row r="671" spans="11:13">
      <c r="K671" s="6"/>
      <c r="L671" s="5"/>
      <c r="M671" s="4"/>
    </row>
    <row r="672" spans="11:13">
      <c r="K672" s="6"/>
      <c r="L672" s="5"/>
      <c r="M672" s="4"/>
    </row>
    <row r="673" spans="11:13">
      <c r="K673" s="6"/>
      <c r="L673" s="5"/>
      <c r="M673" s="4"/>
    </row>
    <row r="674" spans="11:13">
      <c r="K674" s="6"/>
      <c r="L674" s="5"/>
      <c r="M674" s="4"/>
    </row>
    <row r="675" spans="11:13">
      <c r="K675" s="6"/>
      <c r="L675" s="5"/>
      <c r="M675" s="4"/>
    </row>
    <row r="676" spans="11:13">
      <c r="K676" s="6"/>
      <c r="L676" s="5"/>
      <c r="M676" s="4"/>
    </row>
    <row r="677" spans="11:13">
      <c r="K677" s="6"/>
      <c r="L677" s="5"/>
      <c r="M677" s="4"/>
    </row>
    <row r="678" spans="11:13">
      <c r="K678" s="6"/>
      <c r="L678" s="5"/>
      <c r="M678" s="4"/>
    </row>
    <row r="679" spans="11:13">
      <c r="K679" s="6"/>
      <c r="L679" s="5"/>
      <c r="M679" s="4"/>
    </row>
    <row r="680" spans="11:13">
      <c r="K680" s="6"/>
      <c r="L680" s="5"/>
      <c r="M680" s="4"/>
    </row>
    <row r="681" spans="11:13">
      <c r="K681" s="6"/>
      <c r="L681" s="5"/>
      <c r="M681" s="4"/>
    </row>
    <row r="682" spans="11:13">
      <c r="K682" s="6"/>
      <c r="L682" s="5"/>
      <c r="M682" s="4"/>
    </row>
    <row r="683" spans="11:13">
      <c r="K683" s="6"/>
      <c r="L683" s="5"/>
      <c r="M683" s="4"/>
    </row>
    <row r="684" spans="11:13">
      <c r="K684" s="6"/>
      <c r="L684" s="5"/>
      <c r="M684" s="4"/>
    </row>
    <row r="685" spans="11:13">
      <c r="K685" s="6"/>
      <c r="L685" s="5"/>
      <c r="M685" s="4"/>
    </row>
    <row r="686" spans="11:13">
      <c r="K686" s="6"/>
      <c r="L686" s="5"/>
      <c r="M686" s="4"/>
    </row>
    <row r="687" spans="11:13">
      <c r="K687" s="6"/>
      <c r="L687" s="5"/>
      <c r="M687" s="4"/>
    </row>
    <row r="688" spans="11:13">
      <c r="K688" s="6"/>
      <c r="L688" s="5"/>
      <c r="M688" s="4"/>
    </row>
    <row r="689" spans="11:13">
      <c r="K689" s="6"/>
      <c r="L689" s="5"/>
      <c r="M689" s="4"/>
    </row>
    <row r="690" spans="11:13">
      <c r="K690" s="6"/>
      <c r="L690" s="5"/>
      <c r="M690" s="4"/>
    </row>
    <row r="691" spans="11:13">
      <c r="K691" s="6"/>
      <c r="L691" s="5"/>
      <c r="M691" s="4"/>
    </row>
    <row r="692" spans="11:13">
      <c r="K692" s="6"/>
      <c r="L692" s="5"/>
      <c r="M692" s="4"/>
    </row>
    <row r="693" spans="11:13">
      <c r="K693" s="6"/>
      <c r="L693" s="5"/>
      <c r="M693" s="4"/>
    </row>
    <row r="694" spans="11:13">
      <c r="K694" s="6"/>
      <c r="L694" s="5"/>
      <c r="M694" s="4"/>
    </row>
    <row r="695" spans="11:13">
      <c r="K695" s="6"/>
      <c r="L695" s="5"/>
      <c r="M695" s="4"/>
    </row>
    <row r="696" spans="11:13">
      <c r="K696" s="6"/>
      <c r="L696" s="5"/>
      <c r="M696" s="4"/>
    </row>
    <row r="697" spans="11:13">
      <c r="K697" s="6"/>
      <c r="L697" s="5"/>
      <c r="M697" s="4"/>
    </row>
    <row r="698" spans="11:13">
      <c r="K698" s="6"/>
      <c r="L698" s="5"/>
      <c r="M698" s="4"/>
    </row>
    <row r="699" spans="11:13">
      <c r="K699" s="6"/>
      <c r="L699" s="5"/>
      <c r="M699" s="4"/>
    </row>
    <row r="700" spans="11:13">
      <c r="K700" s="6"/>
      <c r="L700" s="5"/>
      <c r="M700" s="4"/>
    </row>
    <row r="701" spans="11:13">
      <c r="K701" s="6"/>
      <c r="L701" s="5"/>
      <c r="M701" s="4"/>
    </row>
    <row r="702" spans="11:13">
      <c r="K702" s="6"/>
      <c r="L702" s="5"/>
      <c r="M702" s="4"/>
    </row>
    <row r="703" spans="11:13">
      <c r="K703" s="6"/>
      <c r="L703" s="5"/>
      <c r="M703" s="4"/>
    </row>
    <row r="704" spans="11:13">
      <c r="K704" s="6"/>
      <c r="L704" s="5"/>
      <c r="M704" s="4"/>
    </row>
    <row r="705" spans="11:13">
      <c r="K705" s="6"/>
      <c r="L705" s="5"/>
      <c r="M705" s="4"/>
    </row>
    <row r="706" spans="11:13">
      <c r="K706" s="6"/>
      <c r="L706" s="5"/>
      <c r="M706" s="4"/>
    </row>
    <row r="707" spans="11:13">
      <c r="K707" s="6"/>
      <c r="L707" s="5"/>
      <c r="M707" s="4"/>
    </row>
    <row r="708" spans="11:13">
      <c r="K708" s="6"/>
      <c r="L708" s="5"/>
      <c r="M708" s="4"/>
    </row>
    <row r="709" spans="11:13">
      <c r="K709" s="6"/>
      <c r="L709" s="5"/>
      <c r="M709" s="4"/>
    </row>
    <row r="710" spans="11:13">
      <c r="K710" s="6"/>
      <c r="L710" s="5"/>
      <c r="M710" s="4"/>
    </row>
    <row r="711" spans="11:13">
      <c r="K711" s="6"/>
      <c r="L711" s="5"/>
      <c r="M711" s="4"/>
    </row>
    <row r="712" spans="11:13">
      <c r="K712" s="6"/>
      <c r="L712" s="5"/>
      <c r="M712" s="4"/>
    </row>
    <row r="713" spans="11:13">
      <c r="K713" s="6"/>
      <c r="L713" s="5"/>
      <c r="M713" s="4"/>
    </row>
    <row r="714" spans="11:13">
      <c r="K714" s="6"/>
      <c r="L714" s="5"/>
      <c r="M714" s="4"/>
    </row>
    <row r="715" spans="11:13">
      <c r="K715" s="6"/>
      <c r="L715" s="5"/>
      <c r="M715" s="4"/>
    </row>
    <row r="716" spans="11:13">
      <c r="K716" s="6"/>
      <c r="L716" s="5"/>
      <c r="M716" s="4"/>
    </row>
    <row r="717" spans="11:13">
      <c r="K717" s="6"/>
      <c r="L717" s="5"/>
      <c r="M717" s="4"/>
    </row>
    <row r="718" spans="11:13">
      <c r="K718" s="6"/>
      <c r="L718" s="5"/>
      <c r="M718" s="4"/>
    </row>
    <row r="719" spans="11:13">
      <c r="K719" s="6"/>
      <c r="L719" s="5"/>
      <c r="M719" s="4"/>
    </row>
    <row r="720" spans="11:13">
      <c r="K720" s="6"/>
      <c r="L720" s="5"/>
      <c r="M720" s="4"/>
    </row>
    <row r="721" spans="11:13">
      <c r="K721" s="6"/>
      <c r="L721" s="5"/>
      <c r="M721" s="4"/>
    </row>
    <row r="722" spans="11:13">
      <c r="K722" s="6"/>
      <c r="L722" s="5"/>
      <c r="M722" s="4"/>
    </row>
    <row r="723" spans="11:13">
      <c r="K723" s="6"/>
      <c r="L723" s="5"/>
      <c r="M723" s="4"/>
    </row>
    <row r="724" spans="11:13">
      <c r="K724" s="6"/>
      <c r="L724" s="5"/>
      <c r="M724" s="4"/>
    </row>
    <row r="725" spans="11:13">
      <c r="K725" s="6"/>
      <c r="L725" s="5"/>
      <c r="M725" s="4"/>
    </row>
    <row r="726" spans="11:13">
      <c r="K726" s="6"/>
      <c r="L726" s="5"/>
      <c r="M726" s="4"/>
    </row>
    <row r="727" spans="11:13">
      <c r="K727" s="6"/>
      <c r="L727" s="5"/>
      <c r="M727" s="4"/>
    </row>
    <row r="728" spans="11:13">
      <c r="K728" s="6"/>
      <c r="L728" s="5"/>
      <c r="M728" s="4"/>
    </row>
    <row r="729" spans="11:13">
      <c r="K729" s="6"/>
      <c r="L729" s="5"/>
      <c r="M729" s="4"/>
    </row>
    <row r="730" spans="11:13">
      <c r="K730" s="6"/>
      <c r="L730" s="5"/>
      <c r="M730" s="4"/>
    </row>
    <row r="731" spans="11:13">
      <c r="K731" s="6"/>
      <c r="L731" s="5"/>
      <c r="M731" s="4"/>
    </row>
    <row r="732" spans="11:13">
      <c r="K732" s="6"/>
      <c r="L732" s="5"/>
      <c r="M732" s="4"/>
    </row>
    <row r="733" spans="11:13">
      <c r="K733" s="6"/>
      <c r="L733" s="5"/>
      <c r="M733" s="4"/>
    </row>
    <row r="734" spans="11:13">
      <c r="K734" s="6"/>
      <c r="L734" s="5"/>
      <c r="M734" s="4"/>
    </row>
    <row r="735" spans="11:13">
      <c r="K735" s="6"/>
      <c r="L735" s="5"/>
      <c r="M735" s="4"/>
    </row>
    <row r="736" spans="11:13">
      <c r="K736" s="6"/>
      <c r="L736" s="5"/>
      <c r="M736" s="4"/>
    </row>
    <row r="737" spans="11:13">
      <c r="K737" s="6"/>
      <c r="L737" s="5"/>
      <c r="M737" s="4"/>
    </row>
    <row r="738" spans="11:13">
      <c r="K738" s="6"/>
      <c r="L738" s="5"/>
      <c r="M738" s="4"/>
    </row>
    <row r="739" spans="11:13">
      <c r="K739" s="6"/>
      <c r="L739" s="5"/>
      <c r="M739" s="4"/>
    </row>
    <row r="740" spans="11:13">
      <c r="K740" s="6"/>
      <c r="L740" s="5"/>
      <c r="M740" s="4"/>
    </row>
    <row r="741" spans="11:13">
      <c r="K741" s="6"/>
      <c r="L741" s="5"/>
      <c r="M741" s="4"/>
    </row>
    <row r="742" spans="11:13">
      <c r="K742" s="6"/>
      <c r="L742" s="5"/>
      <c r="M742" s="4"/>
    </row>
    <row r="743" spans="11:13">
      <c r="K743" s="6"/>
      <c r="L743" s="5"/>
      <c r="M743" s="4"/>
    </row>
    <row r="744" spans="11:13">
      <c r="K744" s="6"/>
      <c r="L744" s="5"/>
      <c r="M744" s="4"/>
    </row>
    <row r="745" spans="11:13">
      <c r="K745" s="6"/>
      <c r="L745" s="5"/>
      <c r="M745" s="4"/>
    </row>
    <row r="746" spans="11:13">
      <c r="K746" s="6"/>
      <c r="L746" s="5"/>
      <c r="M746" s="4"/>
    </row>
    <row r="747" spans="11:13">
      <c r="K747" s="6"/>
      <c r="L747" s="5"/>
      <c r="M747" s="4"/>
    </row>
    <row r="748" spans="11:13">
      <c r="K748" s="6"/>
      <c r="L748" s="5"/>
      <c r="M748" s="4"/>
    </row>
    <row r="749" spans="11:13">
      <c r="K749" s="6"/>
      <c r="L749" s="5"/>
      <c r="M749" s="4"/>
    </row>
    <row r="750" spans="11:13">
      <c r="K750" s="6"/>
      <c r="L750" s="5"/>
      <c r="M750" s="4"/>
    </row>
    <row r="751" spans="11:13">
      <c r="K751" s="6"/>
      <c r="L751" s="5"/>
      <c r="M751" s="4"/>
    </row>
    <row r="752" spans="11:13">
      <c r="K752" s="6"/>
      <c r="L752" s="5"/>
      <c r="M752" s="4"/>
    </row>
    <row r="753" spans="11:13">
      <c r="K753" s="6"/>
      <c r="L753" s="5"/>
      <c r="M753" s="4"/>
    </row>
    <row r="754" spans="11:13">
      <c r="K754" s="6"/>
      <c r="L754" s="5"/>
      <c r="M754" s="4"/>
    </row>
    <row r="755" spans="11:13">
      <c r="K755" s="6"/>
      <c r="L755" s="5"/>
      <c r="M755" s="4"/>
    </row>
    <row r="756" spans="11:13">
      <c r="K756" s="6"/>
      <c r="L756" s="5"/>
      <c r="M756" s="4"/>
    </row>
    <row r="757" spans="11:13">
      <c r="K757" s="6"/>
      <c r="L757" s="5"/>
      <c r="M757" s="4"/>
    </row>
    <row r="758" spans="11:13">
      <c r="K758" s="6"/>
      <c r="L758" s="5"/>
      <c r="M758" s="4"/>
    </row>
    <row r="759" spans="11:13">
      <c r="K759" s="6"/>
      <c r="L759" s="5"/>
      <c r="M759" s="4"/>
    </row>
    <row r="760" spans="11:13">
      <c r="K760" s="6"/>
      <c r="L760" s="5"/>
      <c r="M760" s="4"/>
    </row>
    <row r="761" spans="11:13">
      <c r="K761" s="6"/>
      <c r="L761" s="5"/>
      <c r="M761" s="4"/>
    </row>
    <row r="762" spans="11:13">
      <c r="K762" s="6"/>
      <c r="L762" s="5"/>
      <c r="M762" s="4"/>
    </row>
    <row r="763" spans="11:13">
      <c r="K763" s="6"/>
      <c r="L763" s="5"/>
      <c r="M763" s="4"/>
    </row>
    <row r="764" spans="11:13">
      <c r="K764" s="6"/>
      <c r="L764" s="5"/>
      <c r="M764" s="4"/>
    </row>
    <row r="765" spans="11:13">
      <c r="K765" s="6"/>
      <c r="L765" s="5"/>
      <c r="M765" s="4"/>
    </row>
    <row r="766" spans="11:13">
      <c r="K766" s="6"/>
      <c r="L766" s="5"/>
      <c r="M766" s="4"/>
    </row>
    <row r="767" spans="11:13">
      <c r="K767" s="6"/>
      <c r="L767" s="5"/>
      <c r="M767" s="4"/>
    </row>
    <row r="768" spans="11:13">
      <c r="K768" s="6"/>
      <c r="L768" s="5"/>
      <c r="M768" s="4"/>
    </row>
    <row r="769" spans="11:13">
      <c r="K769" s="6"/>
      <c r="L769" s="5"/>
      <c r="M769" s="4"/>
    </row>
    <row r="770" spans="11:13">
      <c r="K770" s="6"/>
      <c r="L770" s="5"/>
      <c r="M770" s="4"/>
    </row>
    <row r="771" spans="11:13">
      <c r="K771" s="6"/>
      <c r="L771" s="5"/>
      <c r="M771" s="4"/>
    </row>
    <row r="772" spans="11:13">
      <c r="K772" s="6"/>
      <c r="L772" s="5"/>
      <c r="M772" s="4"/>
    </row>
    <row r="773" spans="11:13">
      <c r="K773" s="6"/>
      <c r="L773" s="5"/>
      <c r="M773" s="4"/>
    </row>
    <row r="774" spans="11:13">
      <c r="K774" s="6"/>
      <c r="L774" s="5"/>
      <c r="M774" s="4"/>
    </row>
    <row r="775" spans="11:13">
      <c r="K775" s="6"/>
      <c r="L775" s="5"/>
      <c r="M775" s="4"/>
    </row>
    <row r="776" spans="11:13">
      <c r="K776" s="6"/>
      <c r="L776" s="5"/>
      <c r="M776" s="4"/>
    </row>
    <row r="777" spans="11:13">
      <c r="K777" s="6"/>
      <c r="L777" s="5"/>
      <c r="M777" s="4"/>
    </row>
    <row r="778" spans="11:13">
      <c r="K778" s="6"/>
      <c r="L778" s="5"/>
      <c r="M778" s="4"/>
    </row>
    <row r="779" spans="11:13">
      <c r="K779" s="6"/>
      <c r="L779" s="5"/>
      <c r="M779" s="4"/>
    </row>
    <row r="780" spans="11:13">
      <c r="K780" s="6"/>
      <c r="L780" s="5"/>
      <c r="M780" s="4"/>
    </row>
    <row r="781" spans="11:13">
      <c r="K781" s="6"/>
      <c r="L781" s="5"/>
      <c r="M781" s="4"/>
    </row>
    <row r="782" spans="11:13">
      <c r="K782" s="6"/>
      <c r="L782" s="5"/>
      <c r="M782" s="4"/>
    </row>
    <row r="783" spans="11:13">
      <c r="K783" s="6"/>
      <c r="L783" s="5"/>
      <c r="M783" s="4"/>
    </row>
    <row r="784" spans="11:13">
      <c r="K784" s="6"/>
      <c r="L784" s="5"/>
      <c r="M784" s="4"/>
    </row>
    <row r="785" spans="11:13">
      <c r="K785" s="6"/>
      <c r="L785" s="5"/>
      <c r="M785" s="4"/>
    </row>
    <row r="786" spans="11:13">
      <c r="K786" s="6"/>
      <c r="L786" s="5"/>
      <c r="M786" s="4"/>
    </row>
    <row r="787" spans="11:13">
      <c r="K787" s="6"/>
      <c r="L787" s="5"/>
      <c r="M787" s="4"/>
    </row>
    <row r="788" spans="11:13">
      <c r="K788" s="6"/>
      <c r="L788" s="5"/>
      <c r="M788" s="4"/>
    </row>
    <row r="789" spans="11:13">
      <c r="K789" s="6"/>
      <c r="L789" s="5"/>
      <c r="M789" s="4"/>
    </row>
    <row r="790" spans="11:13">
      <c r="K790" s="6"/>
      <c r="L790" s="5"/>
      <c r="M790" s="4"/>
    </row>
    <row r="791" spans="11:13">
      <c r="K791" s="6"/>
      <c r="L791" s="5"/>
      <c r="M791" s="4"/>
    </row>
    <row r="792" spans="11:13">
      <c r="K792" s="6"/>
      <c r="L792" s="5"/>
      <c r="M792" s="4"/>
    </row>
    <row r="793" spans="11:13">
      <c r="K793" s="6"/>
      <c r="L793" s="5"/>
      <c r="M793" s="4"/>
    </row>
    <row r="794" spans="11:13">
      <c r="K794" s="6"/>
      <c r="L794" s="5"/>
      <c r="M794" s="4"/>
    </row>
    <row r="795" spans="11:13">
      <c r="K795" s="6"/>
      <c r="L795" s="5"/>
      <c r="M795" s="4"/>
    </row>
    <row r="796" spans="11:13">
      <c r="K796" s="6"/>
      <c r="L796" s="5"/>
      <c r="M796" s="4"/>
    </row>
    <row r="797" spans="11:13">
      <c r="K797" s="6"/>
      <c r="L797" s="5"/>
      <c r="M797" s="4"/>
    </row>
    <row r="798" spans="11:13">
      <c r="K798" s="6"/>
      <c r="L798" s="5"/>
      <c r="M798" s="4"/>
    </row>
    <row r="799" spans="11:13">
      <c r="K799" s="6"/>
      <c r="L799" s="5"/>
      <c r="M799" s="4"/>
    </row>
    <row r="800" spans="11:13">
      <c r="K800" s="6"/>
      <c r="L800" s="5"/>
      <c r="M800" s="4"/>
    </row>
    <row r="801" spans="11:13">
      <c r="K801" s="6"/>
      <c r="L801" s="5"/>
      <c r="M801" s="4"/>
    </row>
    <row r="802" spans="11:13">
      <c r="K802" s="6"/>
      <c r="L802" s="5"/>
      <c r="M802" s="4"/>
    </row>
    <row r="803" spans="11:13">
      <c r="K803" s="6"/>
      <c r="L803" s="5"/>
      <c r="M803" s="4"/>
    </row>
    <row r="804" spans="11:13">
      <c r="K804" s="6"/>
      <c r="L804" s="5"/>
      <c r="M804" s="4"/>
    </row>
    <row r="805" spans="11:13">
      <c r="K805" s="6"/>
      <c r="L805" s="5"/>
      <c r="M805" s="4"/>
    </row>
    <row r="806" spans="11:13">
      <c r="K806" s="6"/>
      <c r="L806" s="5"/>
      <c r="M806" s="4"/>
    </row>
    <row r="807" spans="11:13">
      <c r="K807" s="6"/>
      <c r="L807" s="5"/>
      <c r="M807" s="4"/>
    </row>
    <row r="808" spans="11:13">
      <c r="K808" s="6"/>
      <c r="L808" s="5"/>
      <c r="M808" s="4"/>
    </row>
    <row r="809" spans="11:13">
      <c r="K809" s="6"/>
      <c r="L809" s="5"/>
      <c r="M809" s="4"/>
    </row>
    <row r="810" spans="11:13">
      <c r="K810" s="6"/>
      <c r="L810" s="5"/>
      <c r="M810" s="4"/>
    </row>
    <row r="811" spans="11:13">
      <c r="K811" s="6"/>
      <c r="L811" s="5"/>
      <c r="M811" s="4"/>
    </row>
    <row r="812" spans="11:13">
      <c r="K812" s="6"/>
      <c r="L812" s="5"/>
      <c r="M812" s="4"/>
    </row>
    <row r="813" spans="11:13">
      <c r="K813" s="6"/>
      <c r="L813" s="5"/>
      <c r="M813" s="4"/>
    </row>
    <row r="814" spans="11:13">
      <c r="K814" s="6"/>
      <c r="L814" s="5"/>
      <c r="M814" s="4"/>
    </row>
    <row r="815" spans="11:13">
      <c r="K815" s="6"/>
      <c r="L815" s="5"/>
      <c r="M815" s="4"/>
    </row>
    <row r="816" spans="11:13">
      <c r="K816" s="6"/>
      <c r="L816" s="5"/>
      <c r="M816" s="4"/>
    </row>
    <row r="817" spans="11:13">
      <c r="K817" s="6"/>
      <c r="L817" s="5"/>
      <c r="M817" s="4"/>
    </row>
    <row r="818" spans="11:13">
      <c r="K818" s="6"/>
      <c r="L818" s="5"/>
      <c r="M818" s="4"/>
    </row>
    <row r="819" spans="11:13">
      <c r="K819" s="6"/>
      <c r="L819" s="5"/>
      <c r="M819" s="4"/>
    </row>
    <row r="820" spans="11:13">
      <c r="K820" s="6"/>
      <c r="L820" s="5"/>
      <c r="M820" s="4"/>
    </row>
    <row r="821" spans="11:13">
      <c r="K821" s="6"/>
      <c r="L821" s="5"/>
      <c r="M821" s="4"/>
    </row>
    <row r="822" spans="11:13">
      <c r="K822" s="6"/>
      <c r="L822" s="5"/>
      <c r="M822" s="4"/>
    </row>
    <row r="823" spans="11:13">
      <c r="K823" s="6"/>
      <c r="L823" s="5"/>
      <c r="M823" s="4"/>
    </row>
    <row r="824" spans="11:13">
      <c r="K824" s="6"/>
      <c r="L824" s="5"/>
      <c r="M824" s="4"/>
    </row>
    <row r="825" spans="11:13">
      <c r="K825" s="6"/>
      <c r="L825" s="5"/>
      <c r="M825" s="4"/>
    </row>
    <row r="826" spans="11:13">
      <c r="K826" s="6"/>
      <c r="L826" s="5"/>
      <c r="M826" s="4"/>
    </row>
    <row r="827" spans="11:13">
      <c r="K827" s="6"/>
      <c r="L827" s="5"/>
      <c r="M827" s="4"/>
    </row>
    <row r="828" spans="11:13">
      <c r="K828" s="6"/>
      <c r="L828" s="5"/>
      <c r="M828" s="4"/>
    </row>
    <row r="829" spans="11:13">
      <c r="K829" s="6"/>
      <c r="L829" s="5"/>
      <c r="M829" s="4"/>
    </row>
    <row r="830" spans="11:13">
      <c r="K830" s="6"/>
      <c r="L830" s="5"/>
      <c r="M830" s="4"/>
    </row>
    <row r="831" spans="11:13">
      <c r="K831" s="6"/>
      <c r="L831" s="5"/>
      <c r="M831" s="4"/>
    </row>
    <row r="832" spans="11:13">
      <c r="K832" s="6"/>
      <c r="L832" s="5"/>
      <c r="M832" s="4"/>
    </row>
    <row r="833" spans="11:13">
      <c r="K833" s="6"/>
      <c r="L833" s="5"/>
      <c r="M833" s="4"/>
    </row>
    <row r="834" spans="11:13">
      <c r="K834" s="6"/>
      <c r="L834" s="5"/>
      <c r="M834" s="4"/>
    </row>
    <row r="835" spans="11:13">
      <c r="K835" s="6"/>
      <c r="L835" s="5"/>
      <c r="M835" s="4"/>
    </row>
    <row r="836" spans="11:13">
      <c r="K836" s="6"/>
      <c r="L836" s="5"/>
      <c r="M836" s="4"/>
    </row>
    <row r="837" spans="11:13">
      <c r="K837" s="6"/>
      <c r="L837" s="5"/>
      <c r="M837" s="4"/>
    </row>
    <row r="838" spans="11:13">
      <c r="K838" s="6"/>
      <c r="L838" s="5"/>
      <c r="M838" s="4"/>
    </row>
    <row r="839" spans="11:13">
      <c r="K839" s="6"/>
      <c r="L839" s="5"/>
      <c r="M839" s="4"/>
    </row>
    <row r="840" spans="11:13">
      <c r="K840" s="6"/>
      <c r="L840" s="5"/>
      <c r="M840" s="4"/>
    </row>
    <row r="841" spans="11:13">
      <c r="K841" s="6"/>
      <c r="L841" s="5"/>
      <c r="M841" s="4"/>
    </row>
    <row r="842" spans="11:13">
      <c r="K842" s="6"/>
      <c r="L842" s="5"/>
      <c r="M842" s="4"/>
    </row>
    <row r="843" spans="11:13">
      <c r="K843" s="6"/>
      <c r="L843" s="5"/>
      <c r="M843" s="4"/>
    </row>
    <row r="844" spans="11:13">
      <c r="K844" s="6"/>
      <c r="L844" s="5"/>
      <c r="M844" s="4"/>
    </row>
    <row r="845" spans="11:13">
      <c r="K845" s="6"/>
      <c r="L845" s="5"/>
      <c r="M845" s="4"/>
    </row>
    <row r="846" spans="11:13">
      <c r="K846" s="6"/>
      <c r="L846" s="5"/>
      <c r="M846" s="4"/>
    </row>
    <row r="847" spans="11:13">
      <c r="K847" s="6"/>
      <c r="L847" s="5"/>
      <c r="M847" s="4"/>
    </row>
    <row r="848" spans="11:13">
      <c r="K848" s="6"/>
      <c r="L848" s="5"/>
      <c r="M848" s="4"/>
    </row>
    <row r="849" spans="11:13">
      <c r="K849" s="6"/>
      <c r="L849" s="5"/>
      <c r="M849" s="4"/>
    </row>
    <row r="850" spans="11:13">
      <c r="K850" s="6"/>
      <c r="L850" s="5"/>
      <c r="M850" s="4"/>
    </row>
    <row r="851" spans="11:13">
      <c r="K851" s="6"/>
      <c r="L851" s="5"/>
      <c r="M851" s="4"/>
    </row>
    <row r="852" spans="11:13">
      <c r="K852" s="6"/>
      <c r="L852" s="5"/>
      <c r="M852" s="4"/>
    </row>
    <row r="853" spans="11:13">
      <c r="K853" s="6"/>
      <c r="L853" s="5"/>
      <c r="M853" s="4"/>
    </row>
    <row r="854" spans="11:13">
      <c r="K854" s="6"/>
      <c r="L854" s="5"/>
      <c r="M854" s="4"/>
    </row>
    <row r="855" spans="11:13">
      <c r="K855" s="6"/>
      <c r="L855" s="5"/>
      <c r="M855" s="4"/>
    </row>
    <row r="856" spans="11:13">
      <c r="K856" s="6"/>
      <c r="L856" s="5"/>
      <c r="M856" s="4"/>
    </row>
    <row r="857" spans="11:13">
      <c r="K857" s="6"/>
      <c r="L857" s="5"/>
      <c r="M857" s="4"/>
    </row>
    <row r="858" spans="11:13">
      <c r="K858" s="6"/>
      <c r="L858" s="5"/>
      <c r="M858" s="4"/>
    </row>
    <row r="859" spans="11:13">
      <c r="K859" s="6"/>
      <c r="L859" s="5"/>
      <c r="M859" s="4"/>
    </row>
    <row r="860" spans="11:13">
      <c r="K860" s="6"/>
      <c r="L860" s="5"/>
      <c r="M860" s="4"/>
    </row>
    <row r="861" spans="11:13">
      <c r="K861" s="6"/>
      <c r="L861" s="5"/>
      <c r="M861" s="4"/>
    </row>
    <row r="862" spans="11:13">
      <c r="K862" s="6"/>
      <c r="L862" s="5"/>
      <c r="M862" s="4"/>
    </row>
    <row r="863" spans="11:13">
      <c r="K863" s="6"/>
      <c r="L863" s="5"/>
      <c r="M863" s="4"/>
    </row>
    <row r="864" spans="11:13">
      <c r="K864" s="6"/>
      <c r="L864" s="5"/>
      <c r="M864" s="4"/>
    </row>
    <row r="865" spans="11:13">
      <c r="K865" s="6"/>
      <c r="L865" s="5"/>
      <c r="M865" s="4"/>
    </row>
    <row r="866" spans="11:13">
      <c r="K866" s="6"/>
      <c r="L866" s="5"/>
      <c r="M866" s="4"/>
    </row>
    <row r="867" spans="11:13">
      <c r="K867" s="6"/>
      <c r="L867" s="5"/>
      <c r="M867" s="4"/>
    </row>
    <row r="868" spans="11:13">
      <c r="K868" s="6"/>
      <c r="L868" s="5"/>
      <c r="M868" s="4"/>
    </row>
    <row r="869" spans="11:13">
      <c r="K869" s="6"/>
      <c r="L869" s="5"/>
      <c r="M869" s="4"/>
    </row>
    <row r="870" spans="11:13">
      <c r="K870" s="6"/>
      <c r="L870" s="5"/>
      <c r="M870" s="4"/>
    </row>
    <row r="871" spans="11:13">
      <c r="K871" s="6"/>
      <c r="L871" s="5"/>
      <c r="M871" s="4"/>
    </row>
    <row r="872" spans="11:13">
      <c r="K872" s="6"/>
      <c r="L872" s="5"/>
      <c r="M872" s="4"/>
    </row>
    <row r="873" spans="11:13">
      <c r="K873" s="6"/>
      <c r="L873" s="5"/>
      <c r="M873" s="4"/>
    </row>
    <row r="874" spans="11:13">
      <c r="K874" s="6"/>
      <c r="L874" s="5"/>
      <c r="M874" s="4"/>
    </row>
    <row r="875" spans="11:13">
      <c r="K875" s="6"/>
      <c r="L875" s="5"/>
      <c r="M875" s="4"/>
    </row>
    <row r="876" spans="11:13">
      <c r="K876" s="6"/>
      <c r="L876" s="5"/>
      <c r="M876" s="4"/>
    </row>
    <row r="877" spans="11:13">
      <c r="K877" s="6"/>
      <c r="L877" s="5"/>
      <c r="M877" s="4"/>
    </row>
    <row r="878" spans="11:13">
      <c r="K878" s="6"/>
      <c r="L878" s="5"/>
      <c r="M878" s="4"/>
    </row>
    <row r="879" spans="11:13">
      <c r="K879" s="6"/>
      <c r="L879" s="5"/>
      <c r="M879" s="4"/>
    </row>
    <row r="880" spans="11:13">
      <c r="K880" s="6"/>
      <c r="L880" s="5"/>
      <c r="M880" s="4"/>
    </row>
    <row r="881" spans="11:13">
      <c r="K881" s="6"/>
      <c r="L881" s="5"/>
      <c r="M881" s="4"/>
    </row>
    <row r="882" spans="11:13">
      <c r="K882" s="6"/>
      <c r="L882" s="5"/>
      <c r="M882" s="4"/>
    </row>
    <row r="883" spans="11:13">
      <c r="K883" s="6"/>
      <c r="L883" s="5"/>
      <c r="M883" s="4"/>
    </row>
    <row r="884" spans="11:13">
      <c r="K884" s="6"/>
      <c r="L884" s="5"/>
      <c r="M884" s="4"/>
    </row>
    <row r="885" spans="11:13">
      <c r="K885" s="6"/>
      <c r="L885" s="5"/>
      <c r="M885" s="4"/>
    </row>
    <row r="886" spans="11:13">
      <c r="K886" s="6"/>
      <c r="L886" s="5"/>
      <c r="M886" s="4"/>
    </row>
    <row r="887" spans="11:13">
      <c r="K887" s="6"/>
      <c r="L887" s="5"/>
      <c r="M887" s="4"/>
    </row>
    <row r="888" spans="11:13">
      <c r="K888" s="6"/>
      <c r="L888" s="5"/>
      <c r="M888" s="4"/>
    </row>
    <row r="889" spans="11:13">
      <c r="K889" s="6"/>
      <c r="L889" s="5"/>
      <c r="M889" s="4"/>
    </row>
    <row r="890" spans="11:13">
      <c r="K890" s="6"/>
      <c r="L890" s="5"/>
      <c r="M890" s="4"/>
    </row>
    <row r="891" spans="11:13">
      <c r="K891" s="6"/>
      <c r="L891" s="5"/>
      <c r="M891" s="4"/>
    </row>
    <row r="892" spans="11:13">
      <c r="K892" s="6"/>
      <c r="L892" s="5"/>
      <c r="M892" s="4"/>
    </row>
    <row r="893" spans="11:13">
      <c r="K893" s="6"/>
      <c r="L893" s="5"/>
      <c r="M893" s="4"/>
    </row>
    <row r="894" spans="11:13">
      <c r="K894" s="6"/>
      <c r="L894" s="5"/>
      <c r="M894" s="4"/>
    </row>
    <row r="895" spans="11:13">
      <c r="K895" s="6"/>
      <c r="L895" s="5"/>
      <c r="M895" s="4"/>
    </row>
    <row r="896" spans="11:13">
      <c r="K896" s="6"/>
      <c r="L896" s="5"/>
      <c r="M896" s="4"/>
    </row>
    <row r="897" spans="11:13">
      <c r="K897" s="6"/>
      <c r="L897" s="5"/>
      <c r="M897" s="4"/>
    </row>
    <row r="898" spans="11:13">
      <c r="K898" s="6"/>
      <c r="L898" s="5"/>
      <c r="M898" s="4"/>
    </row>
    <row r="899" spans="11:13">
      <c r="K899" s="6"/>
      <c r="L899" s="5"/>
      <c r="M899" s="4"/>
    </row>
    <row r="900" spans="11:13">
      <c r="K900" s="6"/>
      <c r="L900" s="5"/>
      <c r="M900" s="4"/>
    </row>
    <row r="901" spans="11:13">
      <c r="K901" s="6"/>
      <c r="L901" s="5"/>
      <c r="M901" s="4"/>
    </row>
    <row r="902" spans="11:13">
      <c r="K902" s="6"/>
      <c r="L902" s="5"/>
      <c r="M902" s="4"/>
    </row>
    <row r="903" spans="11:13">
      <c r="K903" s="6"/>
      <c r="L903" s="5"/>
      <c r="M903" s="4"/>
    </row>
    <row r="904" spans="11:13">
      <c r="K904" s="6"/>
      <c r="L904" s="5"/>
      <c r="M904" s="4"/>
    </row>
    <row r="905" spans="11:13">
      <c r="K905" s="6"/>
      <c r="L905" s="5"/>
      <c r="M905" s="4"/>
    </row>
    <row r="906" spans="11:13">
      <c r="K906" s="6"/>
      <c r="L906" s="5"/>
      <c r="M906" s="4"/>
    </row>
    <row r="907" spans="11:13">
      <c r="K907" s="6"/>
      <c r="L907" s="5"/>
      <c r="M907" s="4"/>
    </row>
    <row r="908" spans="11:13">
      <c r="K908" s="6"/>
      <c r="L908" s="5"/>
      <c r="M908" s="4"/>
    </row>
    <row r="909" spans="11:13">
      <c r="K909" s="6"/>
      <c r="L909" s="5"/>
      <c r="M909" s="4"/>
    </row>
    <row r="910" spans="11:13">
      <c r="K910" s="6"/>
      <c r="L910" s="5"/>
      <c r="M910" s="4"/>
    </row>
    <row r="911" spans="11:13">
      <c r="K911" s="6"/>
      <c r="L911" s="5"/>
      <c r="M911" s="4"/>
    </row>
    <row r="912" spans="11:13">
      <c r="K912" s="6"/>
      <c r="L912" s="5"/>
      <c r="M912" s="4"/>
    </row>
    <row r="913" spans="11:13">
      <c r="K913" s="6"/>
      <c r="L913" s="5"/>
      <c r="M913" s="4"/>
    </row>
    <row r="914" spans="11:13">
      <c r="K914" s="6"/>
      <c r="L914" s="5"/>
      <c r="M914" s="4"/>
    </row>
    <row r="915" spans="11:13">
      <c r="K915" s="6"/>
      <c r="L915" s="5"/>
      <c r="M915" s="4"/>
    </row>
    <row r="916" spans="11:13">
      <c r="K916" s="6"/>
      <c r="L916" s="5"/>
      <c r="M916" s="4"/>
    </row>
    <row r="917" spans="11:13">
      <c r="K917" s="6"/>
      <c r="L917" s="5"/>
      <c r="M917" s="4"/>
    </row>
    <row r="918" spans="11:13">
      <c r="K918" s="6"/>
      <c r="L918" s="5"/>
      <c r="M918" s="4"/>
    </row>
    <row r="919" spans="11:13">
      <c r="K919" s="6"/>
      <c r="L919" s="5"/>
      <c r="M919" s="4"/>
    </row>
    <row r="920" spans="11:13">
      <c r="K920" s="6"/>
      <c r="L920" s="5"/>
      <c r="M920" s="4"/>
    </row>
    <row r="921" spans="11:13">
      <c r="K921" s="6"/>
      <c r="L921" s="5"/>
      <c r="M921" s="4"/>
    </row>
    <row r="922" spans="11:13">
      <c r="K922" s="6"/>
      <c r="L922" s="5"/>
      <c r="M922" s="4"/>
    </row>
    <row r="923" spans="11:13">
      <c r="K923" s="6"/>
      <c r="L923" s="5"/>
      <c r="M923" s="4"/>
    </row>
    <row r="924" spans="11:13">
      <c r="K924" s="6"/>
      <c r="L924" s="5"/>
      <c r="M924" s="4"/>
    </row>
    <row r="925" spans="11:13">
      <c r="K925" s="6"/>
      <c r="L925" s="5"/>
      <c r="M925" s="4"/>
    </row>
    <row r="926" spans="11:13">
      <c r="K926" s="6"/>
      <c r="L926" s="5"/>
      <c r="M926" s="4"/>
    </row>
    <row r="927" spans="11:13">
      <c r="K927" s="6"/>
      <c r="L927" s="5"/>
      <c r="M927" s="4"/>
    </row>
    <row r="928" spans="11:13">
      <c r="K928" s="6"/>
      <c r="L928" s="5"/>
      <c r="M928" s="4"/>
    </row>
    <row r="929" spans="11:13">
      <c r="K929" s="6"/>
      <c r="L929" s="5"/>
      <c r="M929" s="4"/>
    </row>
    <row r="930" spans="11:13">
      <c r="K930" s="6"/>
      <c r="L930" s="5"/>
      <c r="M930" s="4"/>
    </row>
    <row r="931" spans="11:13">
      <c r="K931" s="6"/>
      <c r="L931" s="5"/>
      <c r="M931" s="4"/>
    </row>
    <row r="932" spans="11:13">
      <c r="K932" s="6"/>
      <c r="L932" s="5"/>
      <c r="M932" s="4"/>
    </row>
    <row r="933" spans="11:13">
      <c r="K933" s="6"/>
      <c r="L933" s="5"/>
      <c r="M933" s="4"/>
    </row>
    <row r="934" spans="11:13">
      <c r="K934" s="6"/>
      <c r="L934" s="5"/>
      <c r="M934" s="4"/>
    </row>
    <row r="935" spans="11:13">
      <c r="K935" s="6"/>
      <c r="L935" s="5"/>
      <c r="M935" s="4"/>
    </row>
    <row r="936" spans="11:13">
      <c r="K936" s="6"/>
      <c r="L936" s="5"/>
      <c r="M936" s="4"/>
    </row>
    <row r="937" spans="11:13">
      <c r="K937" s="6"/>
      <c r="L937" s="5"/>
      <c r="M937" s="4"/>
    </row>
    <row r="938" spans="11:13">
      <c r="K938" s="6"/>
      <c r="L938" s="5"/>
      <c r="M938" s="4"/>
    </row>
    <row r="939" spans="11:13">
      <c r="K939" s="6"/>
      <c r="L939" s="5"/>
      <c r="M939" s="4"/>
    </row>
    <row r="940" spans="11:13">
      <c r="K940" s="6"/>
      <c r="L940" s="5"/>
      <c r="M940" s="4"/>
    </row>
    <row r="941" spans="11:13">
      <c r="K941" s="6"/>
      <c r="L941" s="5"/>
      <c r="M941" s="4"/>
    </row>
    <row r="942" spans="11:13">
      <c r="K942" s="6"/>
      <c r="L942" s="5"/>
      <c r="M942" s="4"/>
    </row>
    <row r="943" spans="11:13">
      <c r="K943" s="6"/>
      <c r="L943" s="5"/>
      <c r="M943" s="4"/>
    </row>
    <row r="944" spans="11:13">
      <c r="K944" s="6"/>
      <c r="L944" s="5"/>
      <c r="M944" s="4"/>
    </row>
    <row r="945" spans="11:13">
      <c r="K945" s="6"/>
      <c r="L945" s="5"/>
      <c r="M945" s="4"/>
    </row>
    <row r="946" spans="11:13">
      <c r="K946" s="6"/>
      <c r="L946" s="5"/>
      <c r="M946" s="4"/>
    </row>
    <row r="947" spans="11:13">
      <c r="K947" s="6"/>
      <c r="L947" s="5"/>
      <c r="M947" s="4"/>
    </row>
    <row r="948" spans="11:13">
      <c r="K948" s="6"/>
      <c r="L948" s="5"/>
      <c r="M948" s="4"/>
    </row>
    <row r="949" spans="11:13">
      <c r="K949" s="6"/>
      <c r="L949" s="5"/>
      <c r="M949" s="4"/>
    </row>
    <row r="950" spans="11:13">
      <c r="K950" s="6"/>
      <c r="L950" s="5"/>
      <c r="M950" s="4"/>
    </row>
    <row r="951" spans="11:13">
      <c r="K951" s="6"/>
      <c r="L951" s="5"/>
      <c r="M951" s="4"/>
    </row>
    <row r="952" spans="11:13">
      <c r="K952" s="6"/>
      <c r="L952" s="5"/>
      <c r="M952" s="4"/>
    </row>
    <row r="953" spans="11:13">
      <c r="K953" s="6"/>
      <c r="L953" s="5"/>
      <c r="M953" s="4"/>
    </row>
    <row r="954" spans="11:13">
      <c r="K954" s="6"/>
      <c r="L954" s="5"/>
      <c r="M954" s="4"/>
    </row>
    <row r="955" spans="11:13">
      <c r="K955" s="6"/>
      <c r="L955" s="5"/>
      <c r="M955" s="4"/>
    </row>
    <row r="956" spans="11:13">
      <c r="K956" s="6"/>
      <c r="L956" s="5"/>
      <c r="M956" s="4"/>
    </row>
    <row r="957" spans="11:13">
      <c r="K957" s="6"/>
      <c r="L957" s="5"/>
      <c r="M957" s="4"/>
    </row>
    <row r="958" spans="11:13">
      <c r="K958" s="6"/>
      <c r="L958" s="5"/>
      <c r="M958" s="4"/>
    </row>
    <row r="959" spans="11:13">
      <c r="K959" s="6"/>
      <c r="L959" s="5"/>
      <c r="M959" s="4"/>
    </row>
    <row r="960" spans="11:13">
      <c r="K960" s="6"/>
      <c r="L960" s="5"/>
      <c r="M960" s="4"/>
    </row>
    <row r="961" spans="11:13">
      <c r="K961" s="6"/>
      <c r="L961" s="5"/>
      <c r="M961" s="4"/>
    </row>
    <row r="962" spans="11:13">
      <c r="K962" s="6"/>
      <c r="L962" s="5"/>
      <c r="M962" s="4"/>
    </row>
    <row r="963" spans="11:13">
      <c r="K963" s="6"/>
      <c r="L963" s="5"/>
      <c r="M963" s="4"/>
    </row>
    <row r="964" spans="11:13">
      <c r="K964" s="6"/>
      <c r="L964" s="5"/>
      <c r="M964" s="4"/>
    </row>
    <row r="965" spans="11:13">
      <c r="K965" s="6"/>
      <c r="L965" s="5"/>
      <c r="M965" s="4"/>
    </row>
    <row r="966" spans="11:13">
      <c r="K966" s="6"/>
      <c r="L966" s="5"/>
      <c r="M966" s="4"/>
    </row>
    <row r="967" spans="11:13">
      <c r="K967" s="6"/>
      <c r="L967" s="5"/>
      <c r="M967" s="4"/>
    </row>
    <row r="968" spans="11:13">
      <c r="K968" s="6"/>
      <c r="L968" s="5"/>
      <c r="M968" s="4"/>
    </row>
    <row r="969" spans="11:13">
      <c r="K969" s="6"/>
      <c r="L969" s="5"/>
      <c r="M969" s="4"/>
    </row>
    <row r="970" spans="11:13">
      <c r="K970" s="6"/>
      <c r="L970" s="5"/>
      <c r="M970" s="4"/>
    </row>
    <row r="971" spans="11:13">
      <c r="K971" s="6"/>
      <c r="L971" s="5"/>
      <c r="M971" s="4"/>
    </row>
    <row r="972" spans="11:13">
      <c r="K972" s="6"/>
      <c r="L972" s="5"/>
      <c r="M972" s="4"/>
    </row>
    <row r="973" spans="11:13">
      <c r="K973" s="6"/>
      <c r="L973" s="5"/>
      <c r="M973" s="4"/>
    </row>
    <row r="974" spans="11:13">
      <c r="K974" s="6"/>
      <c r="L974" s="5"/>
      <c r="M974" s="4"/>
    </row>
    <row r="975" spans="11:13">
      <c r="K975" s="6"/>
      <c r="L975" s="5"/>
      <c r="M975" s="4"/>
    </row>
    <row r="976" spans="11:13">
      <c r="K976" s="6"/>
      <c r="L976" s="5"/>
      <c r="M976" s="4"/>
    </row>
    <row r="977" spans="11:13">
      <c r="K977" s="6"/>
      <c r="L977" s="5"/>
      <c r="M977" s="4"/>
    </row>
    <row r="978" spans="11:13">
      <c r="K978" s="6"/>
      <c r="L978" s="5"/>
      <c r="M978" s="4"/>
    </row>
    <row r="979" spans="11:13">
      <c r="K979" s="6"/>
      <c r="L979" s="5"/>
      <c r="M979" s="4"/>
    </row>
    <row r="980" spans="11:13">
      <c r="K980" s="6"/>
      <c r="L980" s="5"/>
      <c r="M980" s="4"/>
    </row>
    <row r="981" spans="11:13">
      <c r="K981" s="6"/>
      <c r="L981" s="5"/>
      <c r="M981" s="4"/>
    </row>
    <row r="982" spans="11:13">
      <c r="K982" s="6"/>
      <c r="L982" s="5"/>
      <c r="M982" s="4"/>
    </row>
    <row r="983" spans="11:13">
      <c r="K983" s="6"/>
      <c r="L983" s="5"/>
      <c r="M983" s="4"/>
    </row>
    <row r="984" spans="11:13">
      <c r="K984" s="6"/>
      <c r="L984" s="5"/>
      <c r="M984" s="4"/>
    </row>
    <row r="985" spans="11:13">
      <c r="K985" s="6"/>
      <c r="L985" s="5"/>
      <c r="M985" s="4"/>
    </row>
    <row r="986" spans="11:13">
      <c r="K986" s="6"/>
      <c r="L986" s="5"/>
      <c r="M986" s="4"/>
    </row>
    <row r="987" spans="11:13">
      <c r="K987" s="6"/>
      <c r="L987" s="5"/>
      <c r="M987" s="4"/>
    </row>
    <row r="988" spans="11:13">
      <c r="K988" s="6"/>
      <c r="L988" s="5"/>
      <c r="M988" s="4"/>
    </row>
    <row r="989" spans="11:13">
      <c r="K989" s="6"/>
      <c r="L989" s="5"/>
      <c r="M989" s="4"/>
    </row>
    <row r="990" spans="11:13">
      <c r="K990" s="6"/>
      <c r="L990" s="5"/>
      <c r="M990" s="4"/>
    </row>
    <row r="991" spans="11:13">
      <c r="K991" s="6"/>
      <c r="L991" s="5"/>
      <c r="M991" s="4"/>
    </row>
    <row r="992" spans="11:13">
      <c r="K992" s="6"/>
      <c r="L992" s="5"/>
      <c r="M992" s="4"/>
    </row>
    <row r="993" spans="11:13">
      <c r="K993" s="6"/>
      <c r="L993" s="5"/>
      <c r="M993" s="4"/>
    </row>
    <row r="994" spans="11:13">
      <c r="K994" s="6"/>
      <c r="L994" s="5"/>
      <c r="M994" s="4"/>
    </row>
    <row r="995" spans="11:13">
      <c r="K995" s="6"/>
      <c r="L995" s="5"/>
      <c r="M995" s="4"/>
    </row>
    <row r="996" spans="11:13">
      <c r="K996" s="6"/>
      <c r="L996" s="5"/>
      <c r="M996" s="4"/>
    </row>
    <row r="997" spans="11:13">
      <c r="K997" s="6"/>
      <c r="L997" s="5"/>
      <c r="M997" s="4"/>
    </row>
    <row r="998" spans="11:13">
      <c r="K998" s="6"/>
      <c r="L998" s="5"/>
      <c r="M998" s="4"/>
    </row>
    <row r="999" spans="11:13">
      <c r="K999" s="6"/>
      <c r="L999" s="5"/>
      <c r="M999" s="4"/>
    </row>
    <row r="1000" spans="11:13">
      <c r="K1000" s="6"/>
      <c r="L1000" s="5"/>
      <c r="M1000" s="4"/>
    </row>
    <row r="1001" spans="11:13">
      <c r="K1001" s="6"/>
      <c r="L1001" s="5"/>
      <c r="M1001" s="4"/>
    </row>
    <row r="1002" spans="11:13">
      <c r="K1002" s="6"/>
      <c r="L1002" s="5"/>
      <c r="M1002" s="4"/>
    </row>
    <row r="1003" spans="11:13">
      <c r="K1003" s="6"/>
      <c r="L1003" s="5"/>
      <c r="M1003" s="4"/>
    </row>
    <row r="1004" spans="11:13">
      <c r="K1004" s="6"/>
      <c r="L1004" s="5"/>
      <c r="M1004" s="4"/>
    </row>
    <row r="1005" spans="11:13">
      <c r="K1005" s="6"/>
      <c r="L1005" s="5"/>
      <c r="M1005" s="4"/>
    </row>
    <row r="1006" spans="11:13">
      <c r="K1006" s="6"/>
      <c r="L1006" s="5"/>
      <c r="M1006" s="4"/>
    </row>
    <row r="1007" spans="11:13">
      <c r="K1007" s="6"/>
      <c r="L1007" s="5"/>
      <c r="M1007" s="4"/>
    </row>
    <row r="1008" spans="11:13">
      <c r="K1008" s="6"/>
      <c r="L1008" s="5"/>
      <c r="M1008" s="4"/>
    </row>
    <row r="1009" spans="11:13">
      <c r="K1009" s="6"/>
      <c r="L1009" s="5"/>
      <c r="M1009" s="4"/>
    </row>
    <row r="1010" spans="11:13">
      <c r="K1010" s="6"/>
      <c r="L1010" s="5"/>
      <c r="M1010" s="4"/>
    </row>
    <row r="1011" spans="11:13">
      <c r="K1011" s="6"/>
      <c r="L1011" s="5"/>
      <c r="M1011" s="4"/>
    </row>
    <row r="1012" spans="11:13">
      <c r="K1012" s="6"/>
      <c r="L1012" s="5"/>
      <c r="M1012" s="4"/>
    </row>
    <row r="1013" spans="11:13">
      <c r="K1013" s="6"/>
      <c r="L1013" s="5"/>
      <c r="M1013" s="4"/>
    </row>
    <row r="1014" spans="11:13">
      <c r="K1014" s="6"/>
      <c r="L1014" s="5"/>
      <c r="M1014" s="4"/>
    </row>
    <row r="1015" spans="11:13">
      <c r="K1015" s="6"/>
      <c r="L1015" s="5"/>
      <c r="M1015" s="4"/>
    </row>
    <row r="1016" spans="11:13">
      <c r="K1016" s="6"/>
      <c r="L1016" s="5"/>
      <c r="M1016" s="4"/>
    </row>
    <row r="1017" spans="11:13">
      <c r="K1017" s="6"/>
      <c r="L1017" s="5"/>
      <c r="M1017" s="4"/>
    </row>
    <row r="1018" spans="11:13">
      <c r="K1018" s="6"/>
      <c r="L1018" s="5"/>
      <c r="M1018" s="4"/>
    </row>
    <row r="1019" spans="11:13">
      <c r="K1019" s="6"/>
      <c r="L1019" s="5"/>
      <c r="M1019" s="4"/>
    </row>
    <row r="1020" spans="11:13">
      <c r="K1020" s="6"/>
      <c r="L1020" s="5"/>
      <c r="M1020" s="4"/>
    </row>
    <row r="1021" spans="11:13">
      <c r="K1021" s="6"/>
      <c r="L1021" s="5"/>
      <c r="M1021" s="4"/>
    </row>
    <row r="1022" spans="11:13">
      <c r="K1022" s="6"/>
      <c r="L1022" s="5"/>
      <c r="M1022" s="4"/>
    </row>
    <row r="1023" spans="11:13">
      <c r="K1023" s="6"/>
      <c r="L1023" s="5"/>
      <c r="M1023" s="4"/>
    </row>
    <row r="1024" spans="11:13">
      <c r="K1024" s="6"/>
      <c r="L1024" s="5"/>
      <c r="M1024" s="4"/>
    </row>
    <row r="1025" spans="11:13">
      <c r="K1025" s="6"/>
      <c r="L1025" s="5"/>
      <c r="M1025" s="4"/>
    </row>
    <row r="1026" spans="11:13">
      <c r="K1026" s="6"/>
      <c r="L1026" s="5"/>
      <c r="M1026" s="4"/>
    </row>
    <row r="1027" spans="11:13">
      <c r="K1027" s="6"/>
      <c r="L1027" s="5"/>
      <c r="M1027" s="4"/>
    </row>
    <row r="1028" spans="11:13">
      <c r="K1028" s="6"/>
      <c r="L1028" s="5"/>
      <c r="M1028" s="4"/>
    </row>
    <row r="1029" spans="11:13">
      <c r="K1029" s="6"/>
      <c r="L1029" s="5"/>
      <c r="M1029" s="4"/>
    </row>
    <row r="1030" spans="11:13">
      <c r="K1030" s="6"/>
      <c r="L1030" s="5"/>
      <c r="M1030" s="4"/>
    </row>
    <row r="1031" spans="11:13">
      <c r="K1031" s="6"/>
      <c r="L1031" s="5"/>
      <c r="M1031" s="4"/>
    </row>
    <row r="1032" spans="11:13">
      <c r="K1032" s="6"/>
      <c r="L1032" s="5"/>
      <c r="M1032" s="4"/>
    </row>
    <row r="1033" spans="11:13">
      <c r="K1033" s="6"/>
      <c r="L1033" s="5"/>
      <c r="M1033" s="4"/>
    </row>
    <row r="1034" spans="11:13">
      <c r="K1034" s="6"/>
      <c r="L1034" s="5"/>
      <c r="M1034" s="4"/>
    </row>
    <row r="1035" spans="11:13">
      <c r="K1035" s="6"/>
      <c r="L1035" s="5"/>
      <c r="M1035" s="4"/>
    </row>
    <row r="1036" spans="11:13">
      <c r="K1036" s="6"/>
      <c r="L1036" s="5"/>
      <c r="M1036" s="4"/>
    </row>
    <row r="1037" spans="11:13">
      <c r="K1037" s="6"/>
      <c r="L1037" s="5"/>
      <c r="M1037" s="4"/>
    </row>
    <row r="1038" spans="11:13">
      <c r="K1038" s="6"/>
      <c r="L1038" s="5"/>
      <c r="M1038" s="4"/>
    </row>
    <row r="1039" spans="11:13">
      <c r="K1039" s="6"/>
      <c r="L1039" s="5"/>
      <c r="M1039" s="4"/>
    </row>
    <row r="1040" spans="11:13">
      <c r="K1040" s="6"/>
      <c r="L1040" s="5"/>
      <c r="M1040" s="4"/>
    </row>
    <row r="1041" spans="11:13">
      <c r="K1041" s="6"/>
      <c r="L1041" s="5"/>
      <c r="M1041" s="4"/>
    </row>
    <row r="1042" spans="11:13">
      <c r="K1042" s="6"/>
      <c r="L1042" s="5"/>
      <c r="M1042" s="4"/>
    </row>
    <row r="1043" spans="11:13">
      <c r="K1043" s="6"/>
      <c r="L1043" s="5"/>
      <c r="M1043" s="4"/>
    </row>
    <row r="1044" spans="11:13">
      <c r="K1044" s="6"/>
      <c r="L1044" s="5"/>
      <c r="M1044" s="4"/>
    </row>
    <row r="1045" spans="11:13">
      <c r="K1045" s="6"/>
      <c r="L1045" s="5"/>
      <c r="M1045" s="4"/>
    </row>
    <row r="1046" spans="11:13">
      <c r="K1046" s="6"/>
      <c r="L1046" s="5"/>
      <c r="M1046" s="4"/>
    </row>
    <row r="1047" spans="11:13">
      <c r="K1047" s="6"/>
      <c r="L1047" s="5"/>
      <c r="M1047" s="4"/>
    </row>
    <row r="1048" spans="11:13">
      <c r="K1048" s="6"/>
      <c r="L1048" s="5"/>
      <c r="M1048" s="4"/>
    </row>
    <row r="1049" spans="11:13">
      <c r="K1049" s="6"/>
      <c r="L1049" s="5"/>
      <c r="M1049" s="4"/>
    </row>
    <row r="1050" spans="11:13">
      <c r="K1050" s="6"/>
      <c r="L1050" s="5"/>
      <c r="M1050" s="4"/>
    </row>
    <row r="1051" spans="11:13">
      <c r="K1051" s="6"/>
      <c r="L1051" s="5"/>
      <c r="M1051" s="4"/>
    </row>
    <row r="1052" spans="11:13">
      <c r="K1052" s="6"/>
      <c r="L1052" s="5"/>
      <c r="M1052" s="4"/>
    </row>
    <row r="1053" spans="11:13">
      <c r="K1053" s="6"/>
      <c r="L1053" s="5"/>
      <c r="M1053" s="4"/>
    </row>
    <row r="1054" spans="11:13">
      <c r="K1054" s="6"/>
      <c r="L1054" s="5"/>
      <c r="M1054" s="4"/>
    </row>
    <row r="1055" spans="11:13">
      <c r="K1055" s="6"/>
      <c r="L1055" s="5"/>
      <c r="M1055" s="4"/>
    </row>
    <row r="1056" spans="11:13">
      <c r="K1056" s="6"/>
      <c r="L1056" s="5"/>
      <c r="M1056" s="4"/>
    </row>
    <row r="1057" spans="11:13">
      <c r="K1057" s="6"/>
      <c r="L1057" s="5"/>
      <c r="M1057" s="4"/>
    </row>
    <row r="1058" spans="11:13">
      <c r="K1058" s="6"/>
      <c r="L1058" s="5"/>
      <c r="M1058" s="4"/>
    </row>
    <row r="1059" spans="11:13">
      <c r="K1059" s="6"/>
      <c r="L1059" s="5"/>
      <c r="M1059" s="4"/>
    </row>
    <row r="1060" spans="11:13">
      <c r="K1060" s="6"/>
      <c r="L1060" s="5"/>
      <c r="M1060" s="4"/>
    </row>
    <row r="1061" spans="11:13">
      <c r="K1061" s="6"/>
      <c r="L1061" s="5"/>
      <c r="M1061" s="4"/>
    </row>
    <row r="1062" spans="11:13">
      <c r="K1062" s="6"/>
      <c r="L1062" s="5"/>
      <c r="M1062" s="4"/>
    </row>
    <row r="1063" spans="11:13">
      <c r="K1063" s="6"/>
      <c r="L1063" s="5"/>
      <c r="M1063" s="4"/>
    </row>
    <row r="1064" spans="11:13">
      <c r="K1064" s="6"/>
      <c r="L1064" s="5"/>
      <c r="M1064" s="4"/>
    </row>
    <row r="1065" spans="11:13">
      <c r="K1065" s="6"/>
      <c r="L1065" s="5"/>
      <c r="M1065" s="4"/>
    </row>
    <row r="1066" spans="11:13">
      <c r="K1066" s="6"/>
      <c r="L1066" s="5"/>
      <c r="M1066" s="4"/>
    </row>
    <row r="1067" spans="11:13">
      <c r="K1067" s="6"/>
      <c r="L1067" s="5"/>
      <c r="M1067" s="4"/>
    </row>
    <row r="1068" spans="11:13">
      <c r="K1068" s="6"/>
      <c r="L1068" s="5"/>
      <c r="M1068" s="4"/>
    </row>
    <row r="1069" spans="11:13">
      <c r="K1069" s="6"/>
      <c r="L1069" s="5"/>
      <c r="M1069" s="4"/>
    </row>
    <row r="1070" spans="11:13">
      <c r="K1070" s="6"/>
      <c r="L1070" s="5"/>
      <c r="M1070" s="4"/>
    </row>
    <row r="1071" spans="11:13">
      <c r="K1071" s="6"/>
      <c r="L1071" s="5"/>
      <c r="M1071" s="4"/>
    </row>
    <row r="1072" spans="11:13">
      <c r="K1072" s="6"/>
      <c r="L1072" s="5"/>
      <c r="M1072" s="4"/>
    </row>
    <row r="1073" spans="11:13">
      <c r="K1073" s="6"/>
      <c r="L1073" s="5"/>
      <c r="M1073" s="4"/>
    </row>
    <row r="1074" spans="11:13">
      <c r="K1074" s="6"/>
      <c r="L1074" s="5"/>
      <c r="M1074" s="4"/>
    </row>
    <row r="1075" spans="11:13">
      <c r="K1075" s="6"/>
      <c r="L1075" s="5"/>
      <c r="M1075" s="4"/>
    </row>
    <row r="1076" spans="11:13">
      <c r="K1076" s="6"/>
      <c r="L1076" s="5"/>
      <c r="M1076" s="4"/>
    </row>
    <row r="1077" spans="11:13">
      <c r="K1077" s="6"/>
      <c r="L1077" s="5"/>
      <c r="M1077" s="4"/>
    </row>
    <row r="1078" spans="11:13">
      <c r="K1078" s="6"/>
      <c r="L1078" s="5"/>
      <c r="M1078" s="4"/>
    </row>
    <row r="1079" spans="11:13">
      <c r="K1079" s="6"/>
      <c r="L1079" s="5"/>
      <c r="M1079" s="4"/>
    </row>
    <row r="1080" spans="11:13">
      <c r="K1080" s="6"/>
      <c r="L1080" s="5"/>
      <c r="M1080" s="4"/>
    </row>
    <row r="1081" spans="11:13">
      <c r="K1081" s="6"/>
      <c r="L1081" s="5"/>
      <c r="M1081" s="4"/>
    </row>
    <row r="1082" spans="11:13">
      <c r="K1082" s="6"/>
      <c r="L1082" s="5"/>
      <c r="M1082" s="4"/>
    </row>
    <row r="1083" spans="11:13">
      <c r="K1083" s="6"/>
      <c r="L1083" s="5"/>
      <c r="M1083" s="4"/>
    </row>
    <row r="1084" spans="11:13">
      <c r="K1084" s="6"/>
      <c r="L1084" s="5"/>
      <c r="M1084" s="4"/>
    </row>
    <row r="1085" spans="11:13">
      <c r="K1085" s="6"/>
      <c r="L1085" s="5"/>
      <c r="M1085" s="4"/>
    </row>
    <row r="1086" spans="11:13">
      <c r="K1086" s="6"/>
      <c r="L1086" s="5"/>
      <c r="M1086" s="4"/>
    </row>
    <row r="1087" spans="11:13">
      <c r="K1087" s="6"/>
      <c r="L1087" s="5"/>
      <c r="M1087" s="4"/>
    </row>
    <row r="1088" spans="11:13">
      <c r="K1088" s="6"/>
      <c r="L1088" s="5"/>
      <c r="M1088" s="4"/>
    </row>
    <row r="1089" spans="11:13">
      <c r="K1089" s="6"/>
      <c r="L1089" s="5"/>
      <c r="M1089" s="4"/>
    </row>
    <row r="1090" spans="11:13">
      <c r="K1090" s="6"/>
      <c r="L1090" s="5"/>
      <c r="M1090" s="4"/>
    </row>
    <row r="1091" spans="11:13">
      <c r="K1091" s="6"/>
      <c r="L1091" s="5"/>
      <c r="M1091" s="4"/>
    </row>
    <row r="1092" spans="11:13">
      <c r="K1092" s="6"/>
      <c r="L1092" s="5"/>
      <c r="M1092" s="4"/>
    </row>
    <row r="1093" spans="11:13">
      <c r="K1093" s="6"/>
      <c r="L1093" s="5"/>
      <c r="M1093" s="4"/>
    </row>
    <row r="1094" spans="11:13">
      <c r="K1094" s="6"/>
      <c r="L1094" s="5"/>
      <c r="M1094" s="4"/>
    </row>
    <row r="1095" spans="11:13">
      <c r="K1095" s="6"/>
      <c r="L1095" s="5"/>
      <c r="M1095" s="4"/>
    </row>
    <row r="1096" spans="11:13">
      <c r="K1096" s="6"/>
      <c r="L1096" s="5"/>
      <c r="M1096" s="4"/>
    </row>
    <row r="1097" spans="11:13">
      <c r="K1097" s="6"/>
      <c r="L1097" s="5"/>
      <c r="M1097" s="4"/>
    </row>
    <row r="1098" spans="11:13">
      <c r="K1098" s="6"/>
      <c r="L1098" s="5"/>
      <c r="M1098" s="4"/>
    </row>
    <row r="1099" spans="11:13">
      <c r="K1099" s="6"/>
      <c r="L1099" s="5"/>
      <c r="M1099" s="4"/>
    </row>
    <row r="1100" spans="11:13">
      <c r="K1100" s="6"/>
      <c r="L1100" s="5"/>
      <c r="M1100" s="4"/>
    </row>
    <row r="1101" spans="11:13">
      <c r="K1101" s="6"/>
      <c r="L1101" s="5"/>
      <c r="M1101" s="4"/>
    </row>
    <row r="1102" spans="11:13">
      <c r="K1102" s="6"/>
      <c r="L1102" s="5"/>
      <c r="M1102" s="4"/>
    </row>
    <row r="1103" spans="11:13">
      <c r="K1103" s="6"/>
      <c r="L1103" s="5"/>
      <c r="M1103" s="4"/>
    </row>
    <row r="1104" spans="11:13">
      <c r="K1104" s="6"/>
      <c r="L1104" s="5"/>
      <c r="M1104" s="4"/>
    </row>
    <row r="1105" spans="11:13">
      <c r="K1105" s="6"/>
      <c r="L1105" s="5"/>
      <c r="M1105" s="4"/>
    </row>
    <row r="1106" spans="11:13">
      <c r="K1106" s="6"/>
      <c r="L1106" s="5"/>
      <c r="M1106" s="4"/>
    </row>
    <row r="1107" spans="11:13">
      <c r="K1107" s="6"/>
      <c r="L1107" s="5"/>
      <c r="M1107" s="4"/>
    </row>
    <row r="1108" spans="11:13">
      <c r="K1108" s="6"/>
      <c r="L1108" s="5"/>
      <c r="M1108" s="4"/>
    </row>
    <row r="1109" spans="11:13">
      <c r="K1109" s="6"/>
      <c r="L1109" s="5"/>
      <c r="M1109" s="4"/>
    </row>
    <row r="1110" spans="11:13">
      <c r="K1110" s="6"/>
      <c r="L1110" s="5"/>
      <c r="M1110" s="4"/>
    </row>
    <row r="1111" spans="11:13">
      <c r="K1111" s="6"/>
      <c r="L1111" s="5"/>
      <c r="M1111" s="4"/>
    </row>
    <row r="1112" spans="11:13">
      <c r="K1112" s="6"/>
      <c r="L1112" s="5"/>
      <c r="M1112" s="4"/>
    </row>
    <row r="1113" spans="11:13">
      <c r="K1113" s="6"/>
      <c r="L1113" s="5"/>
      <c r="M1113" s="4"/>
    </row>
    <row r="1114" spans="11:13">
      <c r="K1114" s="6"/>
      <c r="L1114" s="5"/>
      <c r="M1114" s="4"/>
    </row>
    <row r="1115" spans="11:13">
      <c r="K1115" s="6"/>
      <c r="L1115" s="5"/>
      <c r="M1115" s="4"/>
    </row>
    <row r="1116" spans="11:13">
      <c r="K1116" s="6"/>
      <c r="L1116" s="5"/>
      <c r="M1116" s="4"/>
    </row>
    <row r="1117" spans="11:13">
      <c r="K1117" s="6"/>
      <c r="L1117" s="5"/>
      <c r="M1117" s="4"/>
    </row>
    <row r="1118" spans="11:13">
      <c r="K1118" s="6"/>
      <c r="L1118" s="5"/>
      <c r="M1118" s="4"/>
    </row>
    <row r="1119" spans="11:13">
      <c r="K1119" s="6"/>
      <c r="L1119" s="5"/>
      <c r="M1119" s="4"/>
    </row>
    <row r="1120" spans="11:13">
      <c r="K1120" s="6"/>
      <c r="L1120" s="5"/>
      <c r="M1120" s="4"/>
    </row>
    <row r="1121" spans="11:13">
      <c r="K1121" s="6"/>
      <c r="L1121" s="5"/>
      <c r="M1121" s="4"/>
    </row>
    <row r="1122" spans="11:13">
      <c r="K1122" s="6"/>
      <c r="L1122" s="5"/>
      <c r="M1122" s="4"/>
    </row>
    <row r="1123" spans="11:13">
      <c r="K1123" s="6"/>
      <c r="L1123" s="5"/>
      <c r="M1123" s="4"/>
    </row>
    <row r="1124" spans="11:13">
      <c r="K1124" s="6"/>
      <c r="L1124" s="5"/>
      <c r="M1124" s="4"/>
    </row>
    <row r="1125" spans="11:13">
      <c r="K1125" s="6"/>
      <c r="L1125" s="5"/>
      <c r="M1125" s="4"/>
    </row>
    <row r="1126" spans="11:13">
      <c r="K1126" s="6"/>
      <c r="L1126" s="5"/>
      <c r="M1126" s="4"/>
    </row>
    <row r="1127" spans="11:13">
      <c r="K1127" s="6"/>
      <c r="L1127" s="5"/>
      <c r="M1127" s="4"/>
    </row>
    <row r="1128" spans="11:13">
      <c r="K1128" s="6"/>
      <c r="L1128" s="5"/>
      <c r="M1128" s="4"/>
    </row>
    <row r="1129" spans="11:13">
      <c r="K1129" s="6"/>
      <c r="L1129" s="5"/>
      <c r="M1129" s="4"/>
    </row>
    <row r="1130" spans="11:13">
      <c r="K1130" s="6"/>
      <c r="L1130" s="5"/>
      <c r="M1130" s="4"/>
    </row>
    <row r="1131" spans="11:13">
      <c r="K1131" s="6"/>
      <c r="L1131" s="5"/>
      <c r="M1131" s="4"/>
    </row>
    <row r="1132" spans="11:13">
      <c r="K1132" s="6"/>
      <c r="L1132" s="5"/>
      <c r="M1132" s="4"/>
    </row>
    <row r="1133" spans="11:13">
      <c r="K1133" s="6"/>
      <c r="L1133" s="5"/>
      <c r="M1133" s="4"/>
    </row>
    <row r="1134" spans="11:13">
      <c r="K1134" s="6"/>
      <c r="L1134" s="5"/>
      <c r="M1134" s="4"/>
    </row>
    <row r="1135" spans="11:13">
      <c r="K1135" s="6"/>
      <c r="L1135" s="5"/>
      <c r="M1135" s="4"/>
    </row>
    <row r="1136" spans="11:13">
      <c r="K1136" s="6"/>
      <c r="L1136" s="5"/>
      <c r="M1136" s="4"/>
    </row>
    <row r="1137" spans="11:13">
      <c r="K1137" s="6"/>
      <c r="L1137" s="5"/>
      <c r="M1137" s="4"/>
    </row>
    <row r="1138" spans="11:13">
      <c r="K1138" s="6"/>
      <c r="L1138" s="5"/>
      <c r="M1138" s="4"/>
    </row>
    <row r="1139" spans="11:13">
      <c r="K1139" s="6"/>
      <c r="L1139" s="5"/>
      <c r="M1139" s="4"/>
    </row>
    <row r="1140" spans="11:13">
      <c r="K1140" s="6"/>
      <c r="L1140" s="5"/>
      <c r="M1140" s="4"/>
    </row>
    <row r="1141" spans="11:13">
      <c r="K1141" s="6"/>
      <c r="L1141" s="5"/>
      <c r="M1141" s="4"/>
    </row>
    <row r="1142" spans="11:13">
      <c r="K1142" s="6"/>
      <c r="L1142" s="5"/>
      <c r="M1142" s="4"/>
    </row>
    <row r="1143" spans="11:13">
      <c r="K1143" s="6"/>
      <c r="L1143" s="5"/>
      <c r="M1143" s="4"/>
    </row>
    <row r="1144" spans="11:13">
      <c r="K1144" s="6"/>
      <c r="L1144" s="5"/>
      <c r="M1144" s="4"/>
    </row>
    <row r="1145" spans="11:13">
      <c r="K1145" s="6"/>
      <c r="L1145" s="5"/>
      <c r="M1145" s="4"/>
    </row>
    <row r="1146" spans="11:13">
      <c r="K1146" s="6"/>
      <c r="L1146" s="5"/>
      <c r="M1146" s="4"/>
    </row>
    <row r="1147" spans="11:13">
      <c r="K1147" s="6"/>
      <c r="L1147" s="5"/>
      <c r="M1147" s="4"/>
    </row>
    <row r="1148" spans="11:13">
      <c r="K1148" s="6"/>
      <c r="L1148" s="5"/>
      <c r="M1148" s="4"/>
    </row>
    <row r="1149" spans="11:13">
      <c r="K1149" s="6"/>
      <c r="L1149" s="5"/>
      <c r="M1149" s="4"/>
    </row>
    <row r="1150" spans="11:13">
      <c r="K1150" s="6"/>
      <c r="L1150" s="5"/>
      <c r="M1150" s="4"/>
    </row>
    <row r="1151" spans="11:13">
      <c r="K1151" s="6"/>
      <c r="L1151" s="5"/>
      <c r="M1151" s="4"/>
    </row>
    <row r="1152" spans="11:13">
      <c r="K1152" s="6"/>
      <c r="L1152" s="5"/>
      <c r="M1152" s="4"/>
    </row>
    <row r="1153" spans="11:13">
      <c r="K1153" s="6"/>
      <c r="L1153" s="5"/>
      <c r="M1153" s="4"/>
    </row>
    <row r="1154" spans="11:13">
      <c r="K1154" s="6"/>
      <c r="L1154" s="5"/>
      <c r="M1154" s="4"/>
    </row>
    <row r="1155" spans="11:13">
      <c r="K1155" s="6"/>
      <c r="L1155" s="5"/>
      <c r="M1155" s="4"/>
    </row>
    <row r="1156" spans="11:13">
      <c r="K1156" s="6"/>
      <c r="L1156" s="5"/>
      <c r="M1156" s="4"/>
    </row>
    <row r="1157" spans="11:13">
      <c r="K1157" s="6"/>
      <c r="L1157" s="5"/>
      <c r="M1157" s="4"/>
    </row>
    <row r="1158" spans="11:13">
      <c r="K1158" s="6"/>
      <c r="L1158" s="5"/>
      <c r="M1158" s="4"/>
    </row>
    <row r="1159" spans="11:13">
      <c r="K1159" s="6"/>
      <c r="L1159" s="5"/>
      <c r="M1159" s="4"/>
    </row>
    <row r="1160" spans="11:13">
      <c r="K1160" s="6"/>
      <c r="L1160" s="5"/>
      <c r="M1160" s="4"/>
    </row>
    <row r="1161" spans="11:13">
      <c r="K1161" s="6"/>
      <c r="L1161" s="5"/>
      <c r="M1161" s="4"/>
    </row>
    <row r="1162" spans="11:13">
      <c r="K1162" s="6"/>
      <c r="L1162" s="5"/>
      <c r="M1162" s="4"/>
    </row>
    <row r="1163" spans="11:13">
      <c r="K1163" s="6"/>
      <c r="L1163" s="5"/>
      <c r="M1163" s="4"/>
    </row>
    <row r="1164" spans="11:13">
      <c r="K1164" s="6"/>
      <c r="L1164" s="5"/>
      <c r="M1164" s="4"/>
    </row>
    <row r="1165" spans="11:13">
      <c r="K1165" s="6"/>
      <c r="L1165" s="5"/>
      <c r="M1165" s="4"/>
    </row>
    <row r="1166" spans="11:13">
      <c r="K1166" s="6"/>
      <c r="L1166" s="5"/>
      <c r="M1166" s="4"/>
    </row>
    <row r="1167" spans="11:13">
      <c r="K1167" s="6"/>
      <c r="L1167" s="5"/>
      <c r="M1167" s="4"/>
    </row>
    <row r="1168" spans="11:13">
      <c r="K1168" s="6"/>
      <c r="L1168" s="5"/>
      <c r="M1168" s="4"/>
    </row>
    <row r="1169" spans="11:13">
      <c r="K1169" s="6"/>
      <c r="L1169" s="5"/>
      <c r="M1169" s="4"/>
    </row>
    <row r="1170" spans="11:13">
      <c r="K1170" s="6"/>
      <c r="L1170" s="5"/>
      <c r="M1170" s="4"/>
    </row>
    <row r="1171" spans="11:13">
      <c r="K1171" s="6"/>
      <c r="L1171" s="5"/>
      <c r="M1171" s="4"/>
    </row>
    <row r="1172" spans="11:13">
      <c r="K1172" s="6"/>
      <c r="L1172" s="5"/>
      <c r="M1172" s="4"/>
    </row>
    <row r="1173" spans="11:13">
      <c r="K1173" s="6"/>
      <c r="L1173" s="5"/>
      <c r="M1173" s="4"/>
    </row>
    <row r="1174" spans="11:13">
      <c r="K1174" s="6"/>
      <c r="L1174" s="5"/>
      <c r="M1174" s="4"/>
    </row>
    <row r="1175" spans="11:13">
      <c r="K1175" s="6"/>
      <c r="L1175" s="5"/>
      <c r="M1175" s="4"/>
    </row>
    <row r="1176" spans="11:13">
      <c r="K1176" s="6"/>
      <c r="L1176" s="5"/>
      <c r="M1176" s="4"/>
    </row>
    <row r="1177" spans="11:13">
      <c r="K1177" s="6"/>
      <c r="L1177" s="5"/>
      <c r="M1177" s="4"/>
    </row>
    <row r="1178" spans="11:13">
      <c r="K1178" s="6"/>
      <c r="L1178" s="5"/>
      <c r="M1178" s="4"/>
    </row>
    <row r="1179" spans="11:13">
      <c r="K1179" s="6"/>
      <c r="L1179" s="5"/>
      <c r="M1179" s="4"/>
    </row>
    <row r="1180" spans="11:13">
      <c r="K1180" s="6"/>
      <c r="L1180" s="5"/>
      <c r="M1180" s="4"/>
    </row>
    <row r="1181" spans="11:13">
      <c r="K1181" s="6"/>
      <c r="L1181" s="5"/>
      <c r="M1181" s="4"/>
    </row>
    <row r="1182" spans="11:13">
      <c r="K1182" s="6"/>
      <c r="L1182" s="5"/>
      <c r="M1182" s="4"/>
    </row>
    <row r="1183" spans="11:13">
      <c r="K1183" s="6"/>
      <c r="L1183" s="5"/>
      <c r="M1183" s="4"/>
    </row>
    <row r="1184" spans="11:13">
      <c r="K1184" s="6"/>
      <c r="L1184" s="5"/>
      <c r="M1184" s="4"/>
    </row>
    <row r="1185" spans="11:13">
      <c r="K1185" s="6"/>
      <c r="L1185" s="5"/>
      <c r="M1185" s="4"/>
    </row>
    <row r="1186" spans="11:13">
      <c r="K1186" s="6"/>
      <c r="L1186" s="5"/>
      <c r="M1186" s="4"/>
    </row>
    <row r="1187" spans="11:13">
      <c r="K1187" s="6"/>
      <c r="L1187" s="5"/>
      <c r="M1187" s="4"/>
    </row>
    <row r="1188" spans="11:13">
      <c r="K1188" s="6"/>
      <c r="L1188" s="5"/>
      <c r="M1188" s="4"/>
    </row>
    <row r="1189" spans="11:13">
      <c r="K1189" s="6"/>
      <c r="L1189" s="5"/>
      <c r="M1189" s="4"/>
    </row>
    <row r="1190" spans="11:13">
      <c r="K1190" s="6"/>
      <c r="L1190" s="5"/>
      <c r="M1190" s="4"/>
    </row>
    <row r="1191" spans="11:13">
      <c r="K1191" s="6"/>
      <c r="L1191" s="5"/>
      <c r="M1191" s="4"/>
    </row>
    <row r="1192" spans="11:13">
      <c r="K1192" s="6"/>
      <c r="L1192" s="5"/>
      <c r="M1192" s="4"/>
    </row>
    <row r="1193" spans="11:13">
      <c r="K1193" s="6"/>
      <c r="L1193" s="5"/>
      <c r="M1193" s="4"/>
    </row>
    <row r="1194" spans="11:13">
      <c r="K1194" s="6"/>
      <c r="L1194" s="5"/>
      <c r="M1194" s="4"/>
    </row>
    <row r="1195" spans="11:13">
      <c r="K1195" s="6"/>
      <c r="L1195" s="5"/>
      <c r="M1195" s="4"/>
    </row>
    <row r="1196" spans="11:13">
      <c r="K1196" s="6"/>
      <c r="L1196" s="5"/>
      <c r="M1196" s="4"/>
    </row>
    <row r="1197" spans="11:13">
      <c r="K1197" s="6"/>
      <c r="L1197" s="5"/>
      <c r="M1197" s="4"/>
    </row>
    <row r="1198" spans="11:13">
      <c r="K1198" s="6"/>
      <c r="L1198" s="5"/>
      <c r="M1198" s="4"/>
    </row>
    <row r="1199" spans="11:13">
      <c r="K1199" s="6"/>
      <c r="L1199" s="5"/>
      <c r="M1199" s="4"/>
    </row>
    <row r="1200" spans="11:13">
      <c r="K1200" s="6"/>
      <c r="L1200" s="5"/>
      <c r="M1200" s="4"/>
    </row>
    <row r="1201" spans="11:13">
      <c r="K1201" s="6"/>
      <c r="L1201" s="5"/>
      <c r="M1201" s="4"/>
    </row>
    <row r="1202" spans="11:13">
      <c r="K1202" s="6"/>
      <c r="L1202" s="5"/>
      <c r="M1202" s="4"/>
    </row>
    <row r="1203" spans="11:13">
      <c r="K1203" s="6"/>
      <c r="L1203" s="5"/>
      <c r="M1203" s="4"/>
    </row>
    <row r="1204" spans="11:13">
      <c r="K1204" s="6"/>
      <c r="L1204" s="5"/>
      <c r="M1204" s="4"/>
    </row>
    <row r="1205" spans="11:13">
      <c r="K1205" s="6"/>
      <c r="L1205" s="5"/>
      <c r="M1205" s="4"/>
    </row>
    <row r="1206" spans="11:13">
      <c r="K1206" s="6"/>
      <c r="L1206" s="5"/>
      <c r="M1206" s="4"/>
    </row>
    <row r="1207" spans="11:13">
      <c r="K1207" s="6"/>
      <c r="L1207" s="5"/>
      <c r="M1207" s="4"/>
    </row>
    <row r="1208" spans="11:13">
      <c r="K1208" s="6"/>
      <c r="L1208" s="5"/>
      <c r="M1208" s="4"/>
    </row>
    <row r="1209" spans="11:13">
      <c r="K1209" s="6"/>
      <c r="L1209" s="5"/>
      <c r="M1209" s="4"/>
    </row>
    <row r="1210" spans="11:13">
      <c r="K1210" s="6"/>
      <c r="L1210" s="5"/>
      <c r="M1210" s="4"/>
    </row>
    <row r="1211" spans="11:13">
      <c r="K1211" s="6"/>
      <c r="L1211" s="5"/>
      <c r="M1211" s="4"/>
    </row>
    <row r="1212" spans="11:13">
      <c r="K1212" s="6"/>
      <c r="L1212" s="5"/>
      <c r="M1212" s="4"/>
    </row>
    <row r="1213" spans="11:13">
      <c r="K1213" s="6"/>
      <c r="L1213" s="5"/>
      <c r="M1213" s="4"/>
    </row>
    <row r="1214" spans="11:13">
      <c r="K1214" s="6"/>
      <c r="L1214" s="5"/>
      <c r="M1214" s="4"/>
    </row>
    <row r="1215" spans="11:13">
      <c r="K1215" s="6"/>
      <c r="L1215" s="5"/>
      <c r="M1215" s="4"/>
    </row>
    <row r="1216" spans="11:13">
      <c r="K1216" s="6"/>
      <c r="L1216" s="5"/>
      <c r="M1216" s="4"/>
    </row>
    <row r="1217" spans="11:13">
      <c r="K1217" s="6"/>
      <c r="L1217" s="5"/>
      <c r="M1217" s="4"/>
    </row>
    <row r="1218" spans="11:13">
      <c r="K1218" s="6"/>
      <c r="L1218" s="5"/>
      <c r="M1218" s="4"/>
    </row>
    <row r="1219" spans="11:13">
      <c r="K1219" s="6"/>
      <c r="L1219" s="5"/>
      <c r="M1219" s="4"/>
    </row>
    <row r="1220" spans="11:13">
      <c r="K1220" s="6"/>
      <c r="L1220" s="5"/>
      <c r="M1220" s="4"/>
    </row>
    <row r="1221" spans="11:13">
      <c r="K1221" s="6"/>
      <c r="L1221" s="5"/>
      <c r="M1221" s="4"/>
    </row>
    <row r="1222" spans="11:13">
      <c r="K1222" s="6"/>
      <c r="L1222" s="5"/>
      <c r="M1222" s="4"/>
    </row>
    <row r="1223" spans="11:13">
      <c r="K1223" s="6"/>
      <c r="L1223" s="5"/>
      <c r="M1223" s="4"/>
    </row>
    <row r="1224" spans="11:13">
      <c r="K1224" s="6"/>
      <c r="L1224" s="5"/>
      <c r="M1224" s="4"/>
    </row>
    <row r="1225" spans="11:13">
      <c r="K1225" s="6"/>
      <c r="L1225" s="5"/>
      <c r="M1225" s="4"/>
    </row>
    <row r="1226" spans="11:13">
      <c r="K1226" s="6"/>
      <c r="L1226" s="5"/>
      <c r="M1226" s="4"/>
    </row>
    <row r="1227" spans="11:13">
      <c r="K1227" s="6"/>
      <c r="L1227" s="5"/>
      <c r="M1227" s="4"/>
    </row>
    <row r="1228" spans="11:13">
      <c r="K1228" s="6"/>
      <c r="L1228" s="5"/>
      <c r="M1228" s="4"/>
    </row>
    <row r="1229" spans="11:13">
      <c r="K1229" s="6"/>
      <c r="L1229" s="5"/>
      <c r="M1229" s="4"/>
    </row>
    <row r="1230" spans="11:13">
      <c r="K1230" s="6"/>
      <c r="L1230" s="5"/>
      <c r="M1230" s="4"/>
    </row>
    <row r="1231" spans="11:13">
      <c r="K1231" s="6"/>
      <c r="L1231" s="5"/>
      <c r="M1231" s="4"/>
    </row>
    <row r="1232" spans="11:13">
      <c r="K1232" s="6"/>
      <c r="L1232" s="5"/>
      <c r="M1232" s="4"/>
    </row>
    <row r="1233" spans="11:13">
      <c r="K1233" s="6"/>
      <c r="L1233" s="5"/>
      <c r="M1233" s="4"/>
    </row>
    <row r="1234" spans="11:13">
      <c r="K1234" s="6"/>
      <c r="L1234" s="5"/>
      <c r="M1234" s="4"/>
    </row>
    <row r="1235" spans="11:13">
      <c r="K1235" s="6"/>
      <c r="L1235" s="5"/>
      <c r="M1235" s="4"/>
    </row>
    <row r="1236" spans="11:13">
      <c r="K1236" s="6"/>
      <c r="L1236" s="5"/>
      <c r="M1236" s="4"/>
    </row>
    <row r="1237" spans="11:13">
      <c r="K1237" s="6"/>
      <c r="L1237" s="5"/>
      <c r="M1237" s="4"/>
    </row>
    <row r="1238" spans="11:13">
      <c r="K1238" s="6"/>
      <c r="L1238" s="5"/>
      <c r="M1238" s="4"/>
    </row>
    <row r="1239" spans="11:13">
      <c r="K1239" s="6"/>
      <c r="L1239" s="5"/>
      <c r="M1239" s="4"/>
    </row>
    <row r="1240" spans="11:13">
      <c r="K1240" s="6"/>
      <c r="L1240" s="5"/>
      <c r="M1240" s="4"/>
    </row>
    <row r="1241" spans="11:13">
      <c r="K1241" s="6"/>
      <c r="L1241" s="5"/>
      <c r="M1241" s="4"/>
    </row>
    <row r="1242" spans="11:13">
      <c r="K1242" s="6"/>
      <c r="L1242" s="5"/>
      <c r="M1242" s="4"/>
    </row>
    <row r="1243" spans="11:13">
      <c r="K1243" s="6"/>
      <c r="L1243" s="5"/>
      <c r="M1243" s="4"/>
    </row>
    <row r="1244" spans="11:13">
      <c r="K1244" s="6"/>
      <c r="L1244" s="5"/>
      <c r="M1244" s="4"/>
    </row>
    <row r="1245" spans="11:13">
      <c r="K1245" s="6"/>
      <c r="L1245" s="5"/>
      <c r="M1245" s="4"/>
    </row>
    <row r="1246" spans="11:13">
      <c r="K1246" s="6"/>
      <c r="L1246" s="5"/>
      <c r="M1246" s="4"/>
    </row>
    <row r="1247" spans="11:13">
      <c r="K1247" s="6"/>
      <c r="L1247" s="5"/>
      <c r="M1247" s="4"/>
    </row>
    <row r="1248" spans="11:13">
      <c r="K1248" s="6"/>
      <c r="L1248" s="5"/>
      <c r="M1248" s="4"/>
    </row>
    <row r="1249" spans="11:13">
      <c r="K1249" s="6"/>
      <c r="L1249" s="5"/>
      <c r="M1249" s="4"/>
    </row>
    <row r="1250" spans="11:13">
      <c r="K1250" s="6"/>
      <c r="L1250" s="5"/>
      <c r="M1250" s="4"/>
    </row>
    <row r="1251" spans="11:13">
      <c r="K1251" s="6"/>
      <c r="L1251" s="5"/>
      <c r="M1251" s="4"/>
    </row>
    <row r="1252" spans="11:13">
      <c r="K1252" s="6"/>
      <c r="L1252" s="5"/>
      <c r="M1252" s="4"/>
    </row>
    <row r="1253" spans="11:13">
      <c r="K1253" s="6"/>
      <c r="L1253" s="5"/>
      <c r="M1253" s="4"/>
    </row>
    <row r="1254" spans="11:13">
      <c r="K1254" s="6"/>
      <c r="L1254" s="5"/>
      <c r="M1254" s="4"/>
    </row>
    <row r="1255" spans="11:13">
      <c r="K1255" s="6"/>
      <c r="L1255" s="5"/>
      <c r="M1255" s="4"/>
    </row>
    <row r="1256" spans="11:13">
      <c r="K1256" s="6"/>
      <c r="L1256" s="5"/>
      <c r="M1256" s="4"/>
    </row>
    <row r="1257" spans="11:13">
      <c r="K1257" s="6"/>
      <c r="L1257" s="5"/>
      <c r="M1257" s="4"/>
    </row>
    <row r="1258" spans="11:13">
      <c r="K1258" s="6"/>
      <c r="L1258" s="5"/>
      <c r="M1258" s="4"/>
    </row>
    <row r="1259" spans="11:13">
      <c r="K1259" s="6"/>
      <c r="L1259" s="5"/>
      <c r="M1259" s="4"/>
    </row>
    <row r="1260" spans="11:13">
      <c r="K1260" s="6"/>
      <c r="L1260" s="5"/>
      <c r="M1260" s="4"/>
    </row>
    <row r="1261" spans="11:13">
      <c r="K1261" s="6"/>
      <c r="L1261" s="5"/>
      <c r="M1261" s="4"/>
    </row>
    <row r="1262" spans="11:13">
      <c r="K1262" s="6"/>
      <c r="L1262" s="5"/>
      <c r="M1262" s="4"/>
    </row>
    <row r="1263" spans="11:13">
      <c r="K1263" s="6"/>
      <c r="L1263" s="5"/>
      <c r="M1263" s="4"/>
    </row>
    <row r="1264" spans="11:13">
      <c r="K1264" s="6"/>
      <c r="L1264" s="5"/>
      <c r="M1264" s="4"/>
    </row>
    <row r="1265" spans="11:13">
      <c r="K1265" s="6"/>
      <c r="L1265" s="5"/>
      <c r="M1265" s="4"/>
    </row>
    <row r="1266" spans="11:13">
      <c r="K1266" s="6"/>
      <c r="L1266" s="5"/>
      <c r="M1266" s="4"/>
    </row>
    <row r="1267" spans="11:13">
      <c r="K1267" s="6"/>
      <c r="L1267" s="5"/>
      <c r="M1267" s="4"/>
    </row>
    <row r="1268" spans="11:13">
      <c r="K1268" s="6"/>
      <c r="L1268" s="5"/>
      <c r="M1268" s="4"/>
    </row>
    <row r="1269" spans="11:13">
      <c r="K1269" s="6"/>
      <c r="L1269" s="5"/>
      <c r="M1269" s="4"/>
    </row>
    <row r="1270" spans="11:13">
      <c r="K1270" s="6"/>
      <c r="L1270" s="5"/>
      <c r="M1270" s="4"/>
    </row>
    <row r="1271" spans="11:13">
      <c r="K1271" s="6"/>
      <c r="L1271" s="5"/>
      <c r="M1271" s="4"/>
    </row>
    <row r="1272" spans="11:13">
      <c r="K1272" s="6"/>
      <c r="L1272" s="5"/>
      <c r="M1272" s="4"/>
    </row>
    <row r="1273" spans="11:13">
      <c r="K1273" s="6"/>
      <c r="L1273" s="5"/>
      <c r="M1273" s="4"/>
    </row>
    <row r="1274" spans="11:13">
      <c r="K1274" s="6"/>
      <c r="L1274" s="5"/>
      <c r="M1274" s="4"/>
    </row>
    <row r="1275" spans="11:13">
      <c r="K1275" s="6"/>
      <c r="L1275" s="5"/>
      <c r="M1275" s="4"/>
    </row>
    <row r="1276" spans="11:13">
      <c r="K1276" s="6"/>
      <c r="L1276" s="5"/>
      <c r="M1276" s="4"/>
    </row>
    <row r="1277" spans="11:13">
      <c r="K1277" s="6"/>
      <c r="L1277" s="5"/>
      <c r="M1277" s="4"/>
    </row>
    <row r="1278" spans="11:13">
      <c r="K1278" s="6"/>
      <c r="L1278" s="5"/>
      <c r="M1278" s="4"/>
    </row>
    <row r="1279" spans="11:13">
      <c r="K1279" s="6"/>
      <c r="L1279" s="5"/>
      <c r="M1279" s="4"/>
    </row>
    <row r="1280" spans="11:13">
      <c r="K1280" s="6"/>
      <c r="L1280" s="5"/>
      <c r="M1280" s="4"/>
    </row>
    <row r="1281" spans="11:13">
      <c r="K1281" s="6"/>
      <c r="L1281" s="5"/>
      <c r="M1281" s="4"/>
    </row>
    <row r="1282" spans="11:13">
      <c r="K1282" s="6"/>
      <c r="L1282" s="5"/>
      <c r="M1282" s="4"/>
    </row>
    <row r="1283" spans="11:13">
      <c r="K1283" s="6"/>
      <c r="L1283" s="5"/>
      <c r="M1283" s="4"/>
    </row>
    <row r="1284" spans="11:13">
      <c r="K1284" s="6"/>
      <c r="L1284" s="5"/>
      <c r="M1284" s="4"/>
    </row>
    <row r="1285" spans="11:13">
      <c r="K1285" s="6"/>
      <c r="L1285" s="5"/>
      <c r="M1285" s="4"/>
    </row>
    <row r="1286" spans="11:13">
      <c r="K1286" s="6"/>
      <c r="L1286" s="5"/>
      <c r="M1286" s="4"/>
    </row>
    <row r="1287" spans="11:13">
      <c r="K1287" s="6"/>
      <c r="L1287" s="5"/>
      <c r="M1287" s="4"/>
    </row>
    <row r="1288" spans="11:13">
      <c r="K1288" s="6"/>
      <c r="L1288" s="5"/>
      <c r="M1288" s="4"/>
    </row>
    <row r="1289" spans="11:13">
      <c r="K1289" s="6"/>
      <c r="L1289" s="5"/>
      <c r="M1289" s="4"/>
    </row>
    <row r="1290" spans="11:13">
      <c r="K1290" s="6"/>
      <c r="L1290" s="5"/>
      <c r="M1290" s="4"/>
    </row>
    <row r="1291" spans="11:13">
      <c r="K1291" s="6"/>
      <c r="L1291" s="5"/>
      <c r="M1291" s="4"/>
    </row>
    <row r="1292" spans="11:13">
      <c r="K1292" s="6"/>
      <c r="L1292" s="5"/>
      <c r="M1292" s="4"/>
    </row>
    <row r="1293" spans="11:13">
      <c r="K1293" s="6"/>
      <c r="L1293" s="5"/>
      <c r="M1293" s="4"/>
    </row>
    <row r="1294" spans="11:13">
      <c r="K1294" s="6"/>
      <c r="L1294" s="5"/>
      <c r="M1294" s="4"/>
    </row>
    <row r="1295" spans="11:13">
      <c r="K1295" s="6"/>
      <c r="L1295" s="5"/>
      <c r="M1295" s="4"/>
    </row>
    <row r="1296" spans="11:13">
      <c r="K1296" s="6"/>
      <c r="L1296" s="5"/>
      <c r="M1296" s="4"/>
    </row>
    <row r="1297" spans="11:13">
      <c r="K1297" s="6"/>
      <c r="L1297" s="5"/>
      <c r="M1297" s="4"/>
    </row>
    <row r="1298" spans="11:13">
      <c r="K1298" s="6"/>
      <c r="L1298" s="5"/>
      <c r="M1298" s="4"/>
    </row>
    <row r="1299" spans="11:13">
      <c r="K1299" s="6"/>
      <c r="L1299" s="5"/>
      <c r="M1299" s="4"/>
    </row>
    <row r="1300" spans="11:13">
      <c r="K1300" s="6"/>
      <c r="L1300" s="5"/>
      <c r="M1300" s="4"/>
    </row>
    <row r="1301" spans="11:13">
      <c r="K1301" s="6"/>
      <c r="L1301" s="5"/>
      <c r="M1301" s="4"/>
    </row>
    <row r="1302" spans="11:13">
      <c r="K1302" s="6"/>
      <c r="L1302" s="5"/>
      <c r="M1302" s="4"/>
    </row>
    <row r="1303" spans="11:13">
      <c r="K1303" s="6"/>
      <c r="L1303" s="5"/>
      <c r="M1303" s="4"/>
    </row>
    <row r="1304" spans="11:13">
      <c r="K1304" s="6"/>
      <c r="L1304" s="5"/>
      <c r="M1304" s="4"/>
    </row>
    <row r="1305" spans="11:13">
      <c r="K1305" s="6"/>
      <c r="L1305" s="5"/>
      <c r="M1305" s="4"/>
    </row>
    <row r="1306" spans="11:13">
      <c r="K1306" s="6"/>
      <c r="L1306" s="5"/>
      <c r="M1306" s="4"/>
    </row>
    <row r="1307" spans="11:13">
      <c r="K1307" s="6"/>
      <c r="L1307" s="5"/>
      <c r="M1307" s="4"/>
    </row>
    <row r="1308" spans="11:13">
      <c r="K1308" s="6"/>
      <c r="L1308" s="5"/>
      <c r="M1308" s="4"/>
    </row>
    <row r="1309" spans="11:13">
      <c r="K1309" s="6"/>
      <c r="L1309" s="5"/>
      <c r="M1309" s="4"/>
    </row>
    <row r="1310" spans="11:13">
      <c r="K1310" s="6"/>
      <c r="L1310" s="5"/>
      <c r="M1310" s="4"/>
    </row>
    <row r="1311" spans="11:13">
      <c r="K1311" s="6"/>
      <c r="L1311" s="5"/>
      <c r="M1311" s="4"/>
    </row>
    <row r="1312" spans="11:13">
      <c r="K1312" s="6"/>
      <c r="L1312" s="5"/>
      <c r="M1312" s="4"/>
    </row>
    <row r="1313" spans="11:13">
      <c r="K1313" s="6"/>
      <c r="L1313" s="5"/>
      <c r="M1313" s="4"/>
    </row>
    <row r="1314" spans="11:13">
      <c r="K1314" s="6"/>
      <c r="L1314" s="5"/>
      <c r="M1314" s="4"/>
    </row>
    <row r="1315" spans="11:13">
      <c r="K1315" s="6"/>
      <c r="L1315" s="5"/>
      <c r="M1315" s="4"/>
    </row>
    <row r="1316" spans="11:13">
      <c r="K1316" s="6"/>
      <c r="L1316" s="5"/>
      <c r="M1316" s="4"/>
    </row>
    <row r="1317" spans="11:13">
      <c r="K1317" s="6"/>
      <c r="L1317" s="5"/>
      <c r="M1317" s="4"/>
    </row>
    <row r="1318" spans="11:13">
      <c r="K1318" s="6"/>
      <c r="L1318" s="5"/>
      <c r="M1318" s="4"/>
    </row>
    <row r="1319" spans="11:13">
      <c r="K1319" s="6"/>
      <c r="L1319" s="5"/>
      <c r="M1319" s="4"/>
    </row>
    <row r="1320" spans="11:13">
      <c r="K1320" s="6"/>
      <c r="L1320" s="5"/>
      <c r="M1320" s="4"/>
    </row>
    <row r="1321" spans="11:13">
      <c r="K1321" s="6"/>
      <c r="L1321" s="5"/>
      <c r="M1321" s="4"/>
    </row>
    <row r="1322" spans="11:13">
      <c r="K1322" s="6"/>
      <c r="L1322" s="5"/>
      <c r="M1322" s="4"/>
    </row>
    <row r="1323" spans="11:13">
      <c r="K1323" s="6"/>
      <c r="L1323" s="5"/>
      <c r="M1323" s="4"/>
    </row>
    <row r="1324" spans="11:13">
      <c r="K1324" s="6"/>
      <c r="L1324" s="5"/>
      <c r="M1324" s="4"/>
    </row>
    <row r="1325" spans="11:13">
      <c r="K1325" s="6"/>
      <c r="L1325" s="5"/>
      <c r="M1325" s="4"/>
    </row>
    <row r="1326" spans="11:13">
      <c r="K1326" s="6"/>
      <c r="L1326" s="5"/>
      <c r="M1326" s="4"/>
    </row>
    <row r="1327" spans="11:13">
      <c r="K1327" s="6"/>
      <c r="L1327" s="5"/>
      <c r="M1327" s="4"/>
    </row>
    <row r="1328" spans="11:13">
      <c r="K1328" s="6"/>
      <c r="L1328" s="5"/>
      <c r="M1328" s="4"/>
    </row>
    <row r="1329" spans="11:13">
      <c r="K1329" s="6"/>
      <c r="L1329" s="5"/>
      <c r="M1329" s="4"/>
    </row>
    <row r="1330" spans="11:13">
      <c r="K1330" s="6"/>
      <c r="L1330" s="5"/>
      <c r="M1330" s="4"/>
    </row>
    <row r="1331" spans="11:13">
      <c r="K1331" s="6"/>
      <c r="L1331" s="5"/>
      <c r="M1331" s="4"/>
    </row>
    <row r="1332" spans="11:13">
      <c r="K1332" s="6"/>
      <c r="L1332" s="5"/>
      <c r="M1332" s="4"/>
    </row>
    <row r="1333" spans="11:13">
      <c r="K1333" s="6"/>
      <c r="L1333" s="5"/>
      <c r="M1333" s="4"/>
    </row>
    <row r="1334" spans="11:13">
      <c r="K1334" s="6"/>
      <c r="L1334" s="5"/>
      <c r="M1334" s="4"/>
    </row>
    <row r="1335" spans="11:13">
      <c r="K1335" s="6"/>
      <c r="L1335" s="5"/>
      <c r="M1335" s="4"/>
    </row>
    <row r="1336" spans="11:13">
      <c r="K1336" s="6"/>
      <c r="L1336" s="5"/>
      <c r="M1336" s="4"/>
    </row>
    <row r="1337" spans="11:13">
      <c r="K1337" s="6"/>
      <c r="L1337" s="5"/>
      <c r="M1337" s="4"/>
    </row>
    <row r="1338" spans="11:13">
      <c r="K1338" s="6"/>
      <c r="L1338" s="5"/>
      <c r="M1338" s="4"/>
    </row>
    <row r="1339" spans="11:13">
      <c r="K1339" s="6"/>
      <c r="L1339" s="5"/>
      <c r="M1339" s="4"/>
    </row>
    <row r="1340" spans="11:13">
      <c r="K1340" s="6"/>
      <c r="L1340" s="5"/>
      <c r="M1340" s="4"/>
    </row>
    <row r="1341" spans="11:13">
      <c r="K1341" s="6"/>
      <c r="L1341" s="5"/>
      <c r="M1341" s="4"/>
    </row>
    <row r="1342" spans="11:13">
      <c r="K1342" s="6"/>
      <c r="L1342" s="5"/>
      <c r="M1342" s="4"/>
    </row>
    <row r="1343" spans="11:13">
      <c r="K1343" s="6"/>
      <c r="L1343" s="5"/>
      <c r="M1343" s="4"/>
    </row>
    <row r="1344" spans="11:13">
      <c r="K1344" s="6"/>
      <c r="L1344" s="5"/>
      <c r="M1344" s="4"/>
    </row>
    <row r="1345" spans="11:13">
      <c r="K1345" s="6"/>
      <c r="L1345" s="5"/>
      <c r="M1345" s="4"/>
    </row>
    <row r="1346" spans="11:13">
      <c r="K1346" s="6"/>
      <c r="L1346" s="5"/>
      <c r="M1346" s="4"/>
    </row>
    <row r="1347" spans="11:13">
      <c r="K1347" s="6"/>
      <c r="L1347" s="5"/>
      <c r="M1347" s="4"/>
    </row>
    <row r="1348" spans="11:13">
      <c r="K1348" s="6"/>
      <c r="L1348" s="5"/>
      <c r="M1348" s="4"/>
    </row>
    <row r="1349" spans="11:13">
      <c r="K1349" s="6"/>
      <c r="L1349" s="5"/>
      <c r="M1349" s="4"/>
    </row>
    <row r="1350" spans="11:13">
      <c r="K1350" s="6"/>
      <c r="L1350" s="5"/>
      <c r="M1350" s="4"/>
    </row>
    <row r="1351" spans="11:13">
      <c r="K1351" s="6"/>
      <c r="L1351" s="5"/>
      <c r="M1351" s="4"/>
    </row>
    <row r="1352" spans="11:13">
      <c r="K1352" s="6"/>
      <c r="L1352" s="5"/>
      <c r="M1352" s="4"/>
    </row>
    <row r="1353" spans="11:13">
      <c r="K1353" s="6"/>
      <c r="L1353" s="5"/>
      <c r="M1353" s="4"/>
    </row>
    <row r="1354" spans="11:13">
      <c r="K1354" s="6"/>
      <c r="L1354" s="5"/>
      <c r="M1354" s="4"/>
    </row>
    <row r="1355" spans="11:13">
      <c r="K1355" s="6"/>
      <c r="L1355" s="5"/>
      <c r="M1355" s="4"/>
    </row>
    <row r="1356" spans="11:13">
      <c r="K1356" s="6"/>
      <c r="L1356" s="5"/>
      <c r="M1356" s="4"/>
    </row>
    <row r="1357" spans="11:13">
      <c r="K1357" s="6"/>
      <c r="L1357" s="5"/>
      <c r="M1357" s="4"/>
    </row>
    <row r="1358" spans="11:13">
      <c r="K1358" s="6"/>
      <c r="L1358" s="5"/>
      <c r="M1358" s="4"/>
    </row>
    <row r="1359" spans="11:13">
      <c r="K1359" s="6"/>
      <c r="L1359" s="5"/>
      <c r="M1359" s="4"/>
    </row>
    <row r="1360" spans="11:13">
      <c r="K1360" s="6"/>
      <c r="L1360" s="5"/>
      <c r="M1360" s="4"/>
    </row>
    <row r="1361" spans="11:13">
      <c r="K1361" s="6"/>
      <c r="L1361" s="5"/>
      <c r="M1361" s="4"/>
    </row>
    <row r="1362" spans="11:13">
      <c r="K1362" s="6"/>
      <c r="L1362" s="5"/>
      <c r="M1362" s="4"/>
    </row>
    <row r="1363" spans="11:13">
      <c r="K1363" s="6"/>
      <c r="L1363" s="5"/>
      <c r="M1363" s="4"/>
    </row>
    <row r="1364" spans="11:13">
      <c r="K1364" s="6"/>
      <c r="L1364" s="5"/>
      <c r="M1364" s="4"/>
    </row>
    <row r="1365" spans="11:13">
      <c r="K1365" s="6"/>
      <c r="L1365" s="5"/>
      <c r="M1365" s="4"/>
    </row>
    <row r="1366" spans="11:13">
      <c r="K1366" s="6"/>
      <c r="L1366" s="5"/>
      <c r="M1366" s="4"/>
    </row>
    <row r="1367" spans="11:13">
      <c r="K1367" s="6"/>
      <c r="L1367" s="5"/>
      <c r="M1367" s="4"/>
    </row>
    <row r="1368" spans="11:13">
      <c r="K1368" s="6"/>
      <c r="L1368" s="5"/>
      <c r="M1368" s="4"/>
    </row>
    <row r="1369" spans="11:13">
      <c r="K1369" s="6"/>
      <c r="L1369" s="5"/>
      <c r="M1369" s="4"/>
    </row>
    <row r="1370" spans="11:13">
      <c r="K1370" s="6"/>
      <c r="L1370" s="5"/>
      <c r="M1370" s="4"/>
    </row>
    <row r="1371" spans="11:13">
      <c r="K1371" s="6"/>
      <c r="L1371" s="5"/>
      <c r="M1371" s="4"/>
    </row>
    <row r="1372" spans="11:13">
      <c r="K1372" s="6"/>
      <c r="L1372" s="5"/>
      <c r="M1372" s="4"/>
    </row>
    <row r="1373" spans="11:13">
      <c r="K1373" s="6"/>
      <c r="L1373" s="5"/>
      <c r="M1373" s="4"/>
    </row>
    <row r="1374" spans="11:13">
      <c r="K1374" s="6"/>
      <c r="L1374" s="5"/>
      <c r="M1374" s="4"/>
    </row>
    <row r="1375" spans="11:13">
      <c r="K1375" s="6"/>
      <c r="L1375" s="5"/>
      <c r="M1375" s="4"/>
    </row>
    <row r="1376" spans="11:13">
      <c r="K1376" s="6"/>
      <c r="L1376" s="5"/>
      <c r="M1376" s="4"/>
    </row>
    <row r="1377" spans="11:13">
      <c r="K1377" s="6"/>
      <c r="L1377" s="5"/>
      <c r="M1377" s="4"/>
    </row>
    <row r="1378" spans="11:13">
      <c r="K1378" s="6"/>
      <c r="L1378" s="5"/>
      <c r="M1378" s="4"/>
    </row>
    <row r="1379" spans="11:13">
      <c r="K1379" s="6"/>
      <c r="L1379" s="5"/>
      <c r="M1379" s="4"/>
    </row>
    <row r="1380" spans="11:13">
      <c r="K1380" s="6"/>
      <c r="L1380" s="5"/>
      <c r="M1380" s="4"/>
    </row>
    <row r="1381" spans="11:13">
      <c r="K1381" s="6"/>
      <c r="L1381" s="5"/>
      <c r="M1381" s="4"/>
    </row>
    <row r="1382" spans="11:13">
      <c r="K1382" s="6"/>
      <c r="L1382" s="5"/>
      <c r="M1382" s="4"/>
    </row>
    <row r="1383" spans="11:13">
      <c r="K1383" s="6"/>
      <c r="L1383" s="5"/>
      <c r="M1383" s="4"/>
    </row>
    <row r="1384" spans="11:13">
      <c r="K1384" s="6"/>
      <c r="L1384" s="5"/>
      <c r="M1384" s="4"/>
    </row>
    <row r="1385" spans="11:13">
      <c r="K1385" s="6"/>
      <c r="L1385" s="5"/>
      <c r="M1385" s="4"/>
    </row>
    <row r="1386" spans="11:13">
      <c r="K1386" s="6"/>
      <c r="L1386" s="5"/>
      <c r="M1386" s="4"/>
    </row>
    <row r="1387" spans="11:13">
      <c r="K1387" s="6"/>
      <c r="L1387" s="5"/>
      <c r="M1387" s="4"/>
    </row>
    <row r="1388" spans="11:13">
      <c r="K1388" s="6"/>
      <c r="L1388" s="5"/>
      <c r="M1388" s="4"/>
    </row>
    <row r="1389" spans="11:13">
      <c r="K1389" s="6"/>
      <c r="L1389" s="5"/>
      <c r="M1389" s="4"/>
    </row>
    <row r="1390" spans="11:13">
      <c r="K1390" s="6"/>
      <c r="L1390" s="5"/>
      <c r="M1390" s="4"/>
    </row>
    <row r="1391" spans="11:13">
      <c r="K1391" s="6"/>
      <c r="L1391" s="5"/>
      <c r="M1391" s="4"/>
    </row>
    <row r="1392" spans="11:13">
      <c r="K1392" s="6"/>
      <c r="L1392" s="5"/>
      <c r="M1392" s="4"/>
    </row>
    <row r="1393" spans="11:13">
      <c r="K1393" s="6"/>
      <c r="L1393" s="5"/>
      <c r="M1393" s="4"/>
    </row>
    <row r="1394" spans="11:13">
      <c r="K1394" s="6"/>
      <c r="L1394" s="5"/>
      <c r="M1394" s="4"/>
    </row>
    <row r="1395" spans="11:13">
      <c r="K1395" s="6"/>
      <c r="L1395" s="5"/>
      <c r="M1395" s="4"/>
    </row>
    <row r="1396" spans="11:13">
      <c r="K1396" s="6"/>
      <c r="L1396" s="5"/>
      <c r="M1396" s="4"/>
    </row>
    <row r="1397" spans="11:13">
      <c r="K1397" s="6"/>
      <c r="L1397" s="5"/>
      <c r="M1397" s="4"/>
    </row>
    <row r="1398" spans="11:13">
      <c r="K1398" s="6"/>
      <c r="L1398" s="5"/>
      <c r="M1398" s="4"/>
    </row>
    <row r="1399" spans="11:13">
      <c r="K1399" s="6"/>
      <c r="L1399" s="5"/>
      <c r="M1399" s="4"/>
    </row>
    <row r="1400" spans="11:13">
      <c r="K1400" s="6"/>
      <c r="L1400" s="5"/>
      <c r="M1400" s="4"/>
    </row>
    <row r="1401" spans="11:13">
      <c r="K1401" s="6"/>
      <c r="L1401" s="5"/>
      <c r="M1401" s="4"/>
    </row>
    <row r="1402" spans="11:13">
      <c r="K1402" s="6"/>
      <c r="L1402" s="5"/>
      <c r="M1402" s="4"/>
    </row>
    <row r="1403" spans="11:13">
      <c r="K1403" s="6"/>
      <c r="L1403" s="5"/>
      <c r="M1403" s="4"/>
    </row>
    <row r="1404" spans="11:13">
      <c r="K1404" s="6"/>
      <c r="L1404" s="5"/>
      <c r="M1404" s="4"/>
    </row>
    <row r="1405" spans="11:13">
      <c r="K1405" s="6"/>
      <c r="L1405" s="5"/>
      <c r="M1405" s="4"/>
    </row>
    <row r="1406" spans="11:13">
      <c r="K1406" s="6"/>
      <c r="L1406" s="5"/>
      <c r="M1406" s="4"/>
    </row>
    <row r="1407" spans="11:13">
      <c r="K1407" s="6"/>
      <c r="L1407" s="5"/>
      <c r="M1407" s="4"/>
    </row>
    <row r="1408" spans="11:13">
      <c r="K1408" s="6"/>
      <c r="L1408" s="5"/>
      <c r="M1408" s="4"/>
    </row>
    <row r="1409" spans="11:13">
      <c r="K1409" s="6"/>
      <c r="L1409" s="5"/>
      <c r="M1409" s="4"/>
    </row>
    <row r="1410" spans="11:13">
      <c r="K1410" s="6"/>
      <c r="L1410" s="5"/>
      <c r="M1410" s="4"/>
    </row>
    <row r="1411" spans="11:13">
      <c r="K1411" s="6"/>
      <c r="L1411" s="5"/>
      <c r="M1411" s="4"/>
    </row>
    <row r="1412" spans="11:13">
      <c r="K1412" s="6"/>
      <c r="L1412" s="5"/>
      <c r="M1412" s="4"/>
    </row>
    <row r="1413" spans="11:13">
      <c r="K1413" s="6"/>
      <c r="L1413" s="5"/>
      <c r="M1413" s="4"/>
    </row>
    <row r="1414" spans="11:13">
      <c r="K1414" s="6"/>
      <c r="L1414" s="5"/>
      <c r="M1414" s="4"/>
    </row>
    <row r="1415" spans="11:13">
      <c r="K1415" s="6"/>
      <c r="L1415" s="5"/>
      <c r="M1415" s="4"/>
    </row>
    <row r="1416" spans="11:13">
      <c r="K1416" s="6"/>
      <c r="L1416" s="5"/>
      <c r="M1416" s="4"/>
    </row>
    <row r="1417" spans="11:13">
      <c r="K1417" s="6"/>
      <c r="L1417" s="5"/>
      <c r="M1417" s="4"/>
    </row>
    <row r="1418" spans="11:13">
      <c r="K1418" s="6"/>
      <c r="L1418" s="5"/>
      <c r="M1418" s="4"/>
    </row>
    <row r="1419" spans="11:13">
      <c r="K1419" s="6"/>
      <c r="L1419" s="5"/>
      <c r="M1419" s="4"/>
    </row>
    <row r="1420" spans="11:13">
      <c r="K1420" s="6"/>
      <c r="L1420" s="5"/>
      <c r="M1420" s="4"/>
    </row>
    <row r="1421" spans="11:13">
      <c r="K1421" s="6"/>
      <c r="L1421" s="5"/>
      <c r="M1421" s="4"/>
    </row>
    <row r="1422" spans="11:13">
      <c r="K1422" s="6"/>
      <c r="L1422" s="5"/>
      <c r="M1422" s="4"/>
    </row>
    <row r="1423" spans="11:13">
      <c r="K1423" s="6"/>
      <c r="L1423" s="5"/>
      <c r="M1423" s="4"/>
    </row>
    <row r="1424" spans="11:13">
      <c r="K1424" s="6"/>
      <c r="L1424" s="5"/>
      <c r="M1424" s="4"/>
    </row>
    <row r="1425" spans="11:13">
      <c r="K1425" s="6"/>
      <c r="L1425" s="5"/>
      <c r="M1425" s="4"/>
    </row>
    <row r="1426" spans="11:13">
      <c r="K1426" s="6"/>
      <c r="L1426" s="5"/>
      <c r="M1426" s="4"/>
    </row>
    <row r="1427" spans="11:13">
      <c r="K1427" s="6"/>
      <c r="L1427" s="5"/>
      <c r="M1427" s="4"/>
    </row>
    <row r="1428" spans="11:13">
      <c r="K1428" s="6"/>
      <c r="L1428" s="5"/>
      <c r="M1428" s="4"/>
    </row>
    <row r="1429" spans="11:13">
      <c r="K1429" s="6"/>
      <c r="L1429" s="5"/>
      <c r="M1429" s="4"/>
    </row>
    <row r="1430" spans="11:13">
      <c r="K1430" s="6"/>
      <c r="L1430" s="5"/>
      <c r="M1430" s="4"/>
    </row>
    <row r="1431" spans="11:13">
      <c r="K1431" s="6"/>
      <c r="L1431" s="5"/>
      <c r="M1431" s="4"/>
    </row>
    <row r="1432" spans="11:13">
      <c r="K1432" s="6"/>
      <c r="L1432" s="5"/>
      <c r="M1432" s="4"/>
    </row>
    <row r="1433" spans="11:13">
      <c r="K1433" s="6"/>
      <c r="L1433" s="5"/>
      <c r="M1433" s="4"/>
    </row>
    <row r="1434" spans="11:13">
      <c r="K1434" s="6"/>
      <c r="L1434" s="5"/>
      <c r="M1434" s="4"/>
    </row>
    <row r="1435" spans="11:13">
      <c r="K1435" s="6"/>
      <c r="L1435" s="5"/>
      <c r="M1435" s="4"/>
    </row>
    <row r="1436" spans="11:13">
      <c r="K1436" s="6"/>
      <c r="L1436" s="5"/>
      <c r="M1436" s="4"/>
    </row>
    <row r="1437" spans="11:13">
      <c r="K1437" s="6"/>
      <c r="L1437" s="5"/>
      <c r="M1437" s="4"/>
    </row>
    <row r="1438" spans="11:13">
      <c r="K1438" s="6"/>
      <c r="L1438" s="5"/>
      <c r="M1438" s="4"/>
    </row>
    <row r="1439" spans="11:13">
      <c r="K1439" s="6"/>
      <c r="L1439" s="5"/>
      <c r="M1439" s="4"/>
    </row>
    <row r="1440" spans="11:13">
      <c r="K1440" s="6"/>
      <c r="L1440" s="5"/>
      <c r="M1440" s="4"/>
    </row>
    <row r="1441" spans="11:13">
      <c r="K1441" s="6"/>
      <c r="L1441" s="5"/>
      <c r="M1441" s="4"/>
    </row>
    <row r="1442" spans="11:13">
      <c r="K1442" s="6"/>
      <c r="L1442" s="5"/>
      <c r="M1442" s="4"/>
    </row>
    <row r="1443" spans="11:13">
      <c r="K1443" s="6"/>
      <c r="L1443" s="5"/>
      <c r="M1443" s="4"/>
    </row>
    <row r="1444" spans="11:13">
      <c r="K1444" s="6"/>
      <c r="L1444" s="5"/>
      <c r="M1444" s="4"/>
    </row>
    <row r="1445" spans="11:13">
      <c r="K1445" s="6"/>
      <c r="L1445" s="5"/>
      <c r="M1445" s="4"/>
    </row>
    <row r="1446" spans="11:13">
      <c r="K1446" s="6"/>
      <c r="L1446" s="5"/>
      <c r="M1446" s="4"/>
    </row>
    <row r="1447" spans="11:13">
      <c r="K1447" s="6"/>
      <c r="L1447" s="5"/>
      <c r="M1447" s="4"/>
    </row>
    <row r="1448" spans="11:13">
      <c r="K1448" s="6"/>
      <c r="L1448" s="5"/>
      <c r="M1448" s="4"/>
    </row>
    <row r="1449" spans="11:13">
      <c r="K1449" s="6"/>
      <c r="L1449" s="5"/>
      <c r="M1449" s="4"/>
    </row>
    <row r="1450" spans="11:13">
      <c r="K1450" s="6"/>
      <c r="L1450" s="5"/>
      <c r="M1450" s="4"/>
    </row>
    <row r="1451" spans="11:13">
      <c r="K1451" s="6"/>
      <c r="L1451" s="5"/>
      <c r="M1451" s="4"/>
    </row>
    <row r="1452" spans="11:13">
      <c r="K1452" s="6"/>
      <c r="L1452" s="5"/>
      <c r="M1452" s="4"/>
    </row>
    <row r="1453" spans="11:13">
      <c r="K1453" s="6"/>
      <c r="L1453" s="5"/>
      <c r="M1453" s="4"/>
    </row>
    <row r="1454" spans="11:13">
      <c r="K1454" s="6"/>
      <c r="L1454" s="5"/>
      <c r="M1454" s="4"/>
    </row>
    <row r="1455" spans="11:13">
      <c r="K1455" s="6"/>
      <c r="L1455" s="5"/>
      <c r="M1455" s="4"/>
    </row>
    <row r="1456" spans="11:13">
      <c r="K1456" s="6"/>
      <c r="L1456" s="5"/>
      <c r="M1456" s="4"/>
    </row>
    <row r="1457" spans="11:13">
      <c r="K1457" s="6"/>
      <c r="L1457" s="5"/>
      <c r="M1457" s="4"/>
    </row>
    <row r="1458" spans="11:13">
      <c r="K1458" s="6"/>
      <c r="L1458" s="5"/>
      <c r="M1458" s="4"/>
    </row>
    <row r="1459" spans="11:13">
      <c r="K1459" s="6"/>
      <c r="L1459" s="5"/>
      <c r="M1459" s="4"/>
    </row>
    <row r="1460" spans="11:13">
      <c r="K1460" s="6"/>
      <c r="L1460" s="5"/>
      <c r="M1460" s="4"/>
    </row>
    <row r="1461" spans="11:13">
      <c r="K1461" s="6"/>
      <c r="L1461" s="5"/>
      <c r="M1461" s="4"/>
    </row>
    <row r="1462" spans="11:13">
      <c r="K1462" s="6"/>
      <c r="L1462" s="5"/>
      <c r="M1462" s="4"/>
    </row>
    <row r="1463" spans="11:13">
      <c r="K1463" s="6"/>
      <c r="L1463" s="5"/>
      <c r="M1463" s="4"/>
    </row>
    <row r="1464" spans="11:13">
      <c r="K1464" s="6"/>
      <c r="L1464" s="5"/>
      <c r="M1464" s="4"/>
    </row>
    <row r="1465" spans="11:13">
      <c r="K1465" s="6"/>
      <c r="L1465" s="5"/>
      <c r="M1465" s="4"/>
    </row>
    <row r="1466" spans="11:13">
      <c r="K1466" s="6"/>
      <c r="L1466" s="5"/>
      <c r="M1466" s="4"/>
    </row>
    <row r="1467" spans="11:13">
      <c r="K1467" s="6"/>
      <c r="L1467" s="5"/>
      <c r="M1467" s="4"/>
    </row>
    <row r="1468" spans="11:13">
      <c r="K1468" s="6"/>
      <c r="L1468" s="5"/>
      <c r="M1468" s="4"/>
    </row>
    <row r="1469" spans="11:13">
      <c r="K1469" s="6"/>
      <c r="L1469" s="5"/>
      <c r="M1469" s="4"/>
    </row>
    <row r="1470" spans="11:13">
      <c r="K1470" s="6"/>
      <c r="L1470" s="5"/>
      <c r="M1470" s="4"/>
    </row>
    <row r="1471" spans="11:13">
      <c r="K1471" s="6"/>
      <c r="L1471" s="5"/>
      <c r="M1471" s="4"/>
    </row>
    <row r="1472" spans="11:13">
      <c r="K1472" s="6"/>
      <c r="L1472" s="5"/>
      <c r="M1472" s="4"/>
    </row>
    <row r="1473" spans="11:13">
      <c r="K1473" s="6"/>
      <c r="L1473" s="5"/>
      <c r="M1473" s="4"/>
    </row>
    <row r="1474" spans="11:13">
      <c r="K1474" s="6"/>
      <c r="L1474" s="5"/>
      <c r="M1474" s="4"/>
    </row>
    <row r="1475" spans="11:13">
      <c r="K1475" s="6"/>
      <c r="L1475" s="5"/>
      <c r="M1475" s="4"/>
    </row>
    <row r="1476" spans="11:13">
      <c r="K1476" s="6"/>
      <c r="L1476" s="5"/>
      <c r="M1476" s="4"/>
    </row>
    <row r="1477" spans="11:13">
      <c r="K1477" s="6"/>
      <c r="L1477" s="5"/>
      <c r="M1477" s="4"/>
    </row>
    <row r="1478" spans="11:13">
      <c r="K1478" s="6"/>
      <c r="L1478" s="5"/>
      <c r="M1478" s="4"/>
    </row>
    <row r="1479" spans="11:13">
      <c r="K1479" s="6"/>
      <c r="L1479" s="5"/>
      <c r="M1479" s="4"/>
    </row>
    <row r="1480" spans="11:13">
      <c r="K1480" s="6"/>
      <c r="L1480" s="5"/>
      <c r="M1480" s="4"/>
    </row>
    <row r="1481" spans="11:13">
      <c r="K1481" s="6"/>
      <c r="L1481" s="5"/>
      <c r="M1481" s="4"/>
    </row>
    <row r="1482" spans="11:13">
      <c r="K1482" s="6"/>
      <c r="L1482" s="5"/>
      <c r="M1482" s="4"/>
    </row>
    <row r="1483" spans="11:13">
      <c r="K1483" s="6"/>
      <c r="L1483" s="5"/>
      <c r="M1483" s="4"/>
    </row>
    <row r="1484" spans="11:13">
      <c r="K1484" s="6"/>
      <c r="L1484" s="5"/>
      <c r="M1484" s="4"/>
    </row>
    <row r="1485" spans="11:13">
      <c r="K1485" s="6"/>
      <c r="L1485" s="5"/>
      <c r="M1485" s="4"/>
    </row>
    <row r="1486" spans="11:13">
      <c r="K1486" s="6"/>
      <c r="L1486" s="5"/>
      <c r="M1486" s="4"/>
    </row>
    <row r="1487" spans="11:13">
      <c r="K1487" s="6"/>
      <c r="L1487" s="5"/>
      <c r="M1487" s="4"/>
    </row>
    <row r="1488" spans="11:13">
      <c r="K1488" s="6"/>
      <c r="L1488" s="5"/>
      <c r="M1488" s="4"/>
    </row>
    <row r="1489" spans="11:13">
      <c r="K1489" s="6"/>
      <c r="L1489" s="5"/>
      <c r="M1489" s="4"/>
    </row>
    <row r="1490" spans="11:13">
      <c r="K1490" s="6"/>
      <c r="L1490" s="5"/>
      <c r="M1490" s="4"/>
    </row>
    <row r="1491" spans="11:13">
      <c r="K1491" s="6"/>
      <c r="L1491" s="5"/>
      <c r="M1491" s="4"/>
    </row>
    <row r="1492" spans="11:13">
      <c r="K1492" s="6"/>
      <c r="L1492" s="5"/>
      <c r="M1492" s="4"/>
    </row>
    <row r="1493" spans="11:13">
      <c r="K1493" s="6"/>
      <c r="L1493" s="5"/>
      <c r="M1493" s="4"/>
    </row>
    <row r="1494" spans="11:13">
      <c r="K1494" s="6"/>
      <c r="L1494" s="5"/>
      <c r="M1494" s="4"/>
    </row>
    <row r="1495" spans="11:13">
      <c r="K1495" s="6"/>
      <c r="L1495" s="5"/>
      <c r="M1495" s="4"/>
    </row>
    <row r="1496" spans="11:13">
      <c r="K1496" s="6"/>
      <c r="L1496" s="5"/>
      <c r="M1496" s="4"/>
    </row>
    <row r="1497" spans="11:13">
      <c r="K1497" s="6"/>
      <c r="L1497" s="5"/>
      <c r="M1497" s="4"/>
    </row>
    <row r="1498" spans="11:13">
      <c r="K1498" s="6"/>
      <c r="L1498" s="5"/>
      <c r="M1498" s="4"/>
    </row>
    <row r="1499" spans="11:13">
      <c r="K1499" s="6"/>
      <c r="L1499" s="5"/>
      <c r="M1499" s="4"/>
    </row>
    <row r="1500" spans="11:13">
      <c r="K1500" s="6"/>
      <c r="L1500" s="5"/>
      <c r="M1500" s="4"/>
    </row>
    <row r="1501" spans="11:13">
      <c r="K1501" s="6"/>
      <c r="L1501" s="5"/>
      <c r="M1501" s="4"/>
    </row>
    <row r="1502" spans="11:13">
      <c r="K1502" s="6"/>
      <c r="L1502" s="5"/>
      <c r="M1502" s="4"/>
    </row>
    <row r="1503" spans="11:13">
      <c r="K1503" s="6"/>
      <c r="L1503" s="5"/>
      <c r="M1503" s="4"/>
    </row>
    <row r="1504" spans="11:13">
      <c r="K1504" s="6"/>
      <c r="L1504" s="5"/>
      <c r="M1504" s="4"/>
    </row>
    <row r="1505" spans="11:13">
      <c r="K1505" s="6"/>
      <c r="L1505" s="5"/>
      <c r="M1505" s="4"/>
    </row>
  </sheetData>
  <pageMargins left="0.7" right="0.7" top="0.75" bottom="0.75" header="0.3" footer="0.3"/>
  <pageSetup paperSize="9" orientation="portrait" r:id="rId1"/>
  <headerFooter>
    <oddFooter>&amp;L&amp;1#&amp;"Calibri"&amp;1&amp;KFFFFFFC2 - Internal Natixis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DB41-EAF2-4793-83F4-473461139E47}">
  <dimension ref="A1:U50"/>
  <sheetViews>
    <sheetView topLeftCell="A20" zoomScale="85" zoomScaleNormal="85" workbookViewId="0">
      <selection activeCell="P25" sqref="P25"/>
    </sheetView>
  </sheetViews>
  <sheetFormatPr baseColWidth="10" defaultRowHeight="13.8"/>
  <cols>
    <col min="1" max="1" width="11.5546875" style="37"/>
    <col min="2" max="2" width="24.77734375" style="37" customWidth="1"/>
    <col min="3" max="3" width="16" style="37" customWidth="1"/>
    <col min="4" max="4" width="18.44140625" style="37" customWidth="1"/>
    <col min="5" max="5" width="19.5546875" style="37" customWidth="1"/>
    <col min="6" max="6" width="12.88671875" style="37" bestFit="1" customWidth="1"/>
    <col min="7" max="7" width="7.6640625" style="37" bestFit="1" customWidth="1"/>
    <col min="8" max="9" width="13.6640625" style="37" customWidth="1"/>
    <col min="10" max="10" width="17.77734375" style="37" customWidth="1"/>
    <col min="11" max="11" width="10.44140625" style="37" customWidth="1"/>
    <col min="12" max="12" width="18.21875" style="37" customWidth="1"/>
    <col min="13" max="13" width="14.44140625" style="37" bestFit="1" customWidth="1"/>
    <col min="14" max="14" width="6.77734375" style="37" bestFit="1" customWidth="1"/>
    <col min="15" max="15" width="18.6640625" style="37" customWidth="1"/>
    <col min="16" max="16" width="23.44140625" style="37" customWidth="1"/>
    <col min="17" max="16384" width="11.5546875" style="37"/>
  </cols>
  <sheetData>
    <row r="1" spans="1:19" s="31" customFormat="1" ht="42.75" customHeight="1">
      <c r="A1" s="30"/>
      <c r="B1" s="30" t="s">
        <v>3</v>
      </c>
      <c r="C1" s="30" t="s">
        <v>4</v>
      </c>
      <c r="D1" s="30" t="s">
        <v>5</v>
      </c>
      <c r="E1" s="30" t="s">
        <v>6</v>
      </c>
      <c r="F1" s="30" t="s">
        <v>7</v>
      </c>
      <c r="G1" s="43" t="s">
        <v>8</v>
      </c>
      <c r="H1" s="44" t="s">
        <v>9</v>
      </c>
      <c r="I1" s="44" t="s">
        <v>10</v>
      </c>
      <c r="J1" s="43" t="s">
        <v>11</v>
      </c>
      <c r="K1" s="43" t="s">
        <v>12</v>
      </c>
      <c r="L1" s="43" t="s">
        <v>13</v>
      </c>
      <c r="M1" s="43" t="s">
        <v>14</v>
      </c>
      <c r="N1" s="43" t="s">
        <v>15</v>
      </c>
      <c r="O1" s="30" t="s">
        <v>16</v>
      </c>
      <c r="P1" s="89" t="s">
        <v>17</v>
      </c>
    </row>
    <row r="2" spans="1:19" ht="22.8" customHeight="1">
      <c r="A2" s="32">
        <v>1</v>
      </c>
      <c r="B2" s="33" t="s">
        <v>18</v>
      </c>
      <c r="C2" s="18">
        <v>44204</v>
      </c>
      <c r="D2" s="34">
        <v>1090.73</v>
      </c>
      <c r="E2" s="18">
        <v>46022</v>
      </c>
      <c r="F2" s="35">
        <v>1646.07</v>
      </c>
      <c r="G2" s="45">
        <f>F2/D2*1000</f>
        <v>1509.1452513454292</v>
      </c>
      <c r="H2" s="46">
        <v>0.75</v>
      </c>
      <c r="I2" s="46">
        <v>0.65</v>
      </c>
      <c r="J2" s="47">
        <v>0.5</v>
      </c>
      <c r="K2" s="48" t="s">
        <v>19</v>
      </c>
      <c r="L2" s="49">
        <v>5.3999999999999999E-2</v>
      </c>
      <c r="M2" s="48">
        <v>5</v>
      </c>
      <c r="N2" s="48">
        <v>8</v>
      </c>
      <c r="O2" s="36">
        <v>126.25</v>
      </c>
      <c r="P2" s="91">
        <v>126.76169899999999</v>
      </c>
      <c r="R2" s="38">
        <f>P2-O2</f>
        <v>0.51169899999999302</v>
      </c>
      <c r="S2" s="17">
        <f>R2/P2</f>
        <v>4.0367003916537362E-3</v>
      </c>
    </row>
    <row r="3" spans="1:19" ht="22.8" customHeight="1">
      <c r="A3" s="32">
        <v>2</v>
      </c>
      <c r="B3" s="33" t="s">
        <v>20</v>
      </c>
      <c r="C3" s="18">
        <v>44316</v>
      </c>
      <c r="D3" s="39">
        <v>1149.53</v>
      </c>
      <c r="E3" s="18">
        <v>46022</v>
      </c>
      <c r="F3" s="40">
        <v>1570.99</v>
      </c>
      <c r="G3" s="45">
        <f>F3/D3*1000</f>
        <v>1366.6367993875758</v>
      </c>
      <c r="H3" s="46">
        <v>0.8</v>
      </c>
      <c r="I3" s="46">
        <v>0.8</v>
      </c>
      <c r="J3" s="47">
        <v>0.5</v>
      </c>
      <c r="K3" s="48" t="s">
        <v>19</v>
      </c>
      <c r="L3" s="49">
        <v>0.05</v>
      </c>
      <c r="M3" s="48">
        <v>5</v>
      </c>
      <c r="N3" s="48">
        <v>8</v>
      </c>
      <c r="O3" s="40">
        <v>122.66999999999999</v>
      </c>
      <c r="P3" s="91">
        <v>124.0951901</v>
      </c>
      <c r="R3" s="38">
        <f t="shared" ref="R3:R50" si="0">P3-O3</f>
        <v>1.4251901000000089</v>
      </c>
      <c r="S3" s="17">
        <f t="shared" ref="S3" si="1">R3/P3</f>
        <v>1.1484652216186169E-2</v>
      </c>
    </row>
    <row r="4" spans="1:19" ht="22.8" customHeight="1">
      <c r="A4" s="32">
        <v>3</v>
      </c>
      <c r="B4" s="33" t="s">
        <v>21</v>
      </c>
      <c r="C4" s="18">
        <v>44421</v>
      </c>
      <c r="D4" s="41">
        <v>1176.47</v>
      </c>
      <c r="E4" s="18">
        <v>46022</v>
      </c>
      <c r="F4" s="42">
        <v>1593.81</v>
      </c>
      <c r="G4" s="45">
        <f>F4/D4*1000</f>
        <v>1354.7391773695888</v>
      </c>
      <c r="H4" s="46">
        <v>0.83</v>
      </c>
      <c r="I4" s="46">
        <v>0.83</v>
      </c>
      <c r="J4" s="47">
        <v>0.5</v>
      </c>
      <c r="K4" s="48" t="s">
        <v>19</v>
      </c>
      <c r="L4" s="49">
        <v>0.05</v>
      </c>
      <c r="M4" s="48">
        <v>5</v>
      </c>
      <c r="N4" s="48">
        <v>8</v>
      </c>
      <c r="O4" s="36">
        <v>117.99000003780573</v>
      </c>
      <c r="P4" s="91">
        <v>122.9025547</v>
      </c>
      <c r="Q4" s="91"/>
      <c r="R4" s="38">
        <f>P4-O4</f>
        <v>4.9125546621942675</v>
      </c>
      <c r="S4" s="17">
        <f>R4/P4</f>
        <v>3.9971135459190482E-2</v>
      </c>
    </row>
    <row r="5" spans="1:19" ht="22.8" customHeight="1">
      <c r="A5" s="32">
        <v>4</v>
      </c>
      <c r="B5" s="33" t="s">
        <v>22</v>
      </c>
      <c r="C5" s="18">
        <v>44568</v>
      </c>
      <c r="D5" s="39">
        <v>1013.24</v>
      </c>
      <c r="E5" s="18">
        <v>46022</v>
      </c>
      <c r="F5" s="19">
        <v>1131.94</v>
      </c>
      <c r="G5" s="45">
        <f t="shared" ref="G5:G50" si="2">F5/D5*1000</f>
        <v>1117.1489479294146</v>
      </c>
      <c r="H5" s="46">
        <v>0.85</v>
      </c>
      <c r="I5" s="46">
        <v>0.5</v>
      </c>
      <c r="J5" s="47">
        <v>0.5</v>
      </c>
      <c r="K5" s="48" t="s">
        <v>19</v>
      </c>
      <c r="L5" s="49">
        <v>0.05</v>
      </c>
      <c r="M5" s="48">
        <v>5</v>
      </c>
      <c r="N5" s="48">
        <v>8</v>
      </c>
      <c r="O5" s="36">
        <v>118.07999999999998</v>
      </c>
      <c r="P5" s="91">
        <v>118.05544420000001</v>
      </c>
      <c r="R5" s="38">
        <f t="shared" si="0"/>
        <v>-2.455579999997326E-2</v>
      </c>
      <c r="S5" s="17">
        <f t="shared" ref="S5:S50" si="3">R5/P5</f>
        <v>-2.0800226678553514E-4</v>
      </c>
    </row>
    <row r="6" spans="1:19" ht="22.8" customHeight="1">
      <c r="A6" s="32">
        <v>5</v>
      </c>
      <c r="B6" s="33" t="s">
        <v>23</v>
      </c>
      <c r="C6" s="18">
        <v>44680</v>
      </c>
      <c r="D6" s="41">
        <v>978.45</v>
      </c>
      <c r="E6" s="18">
        <v>46022</v>
      </c>
      <c r="F6" s="42">
        <v>1330.39</v>
      </c>
      <c r="G6" s="45">
        <f t="shared" si="2"/>
        <v>1359.6913485615003</v>
      </c>
      <c r="H6" s="46">
        <v>0.73499999999999999</v>
      </c>
      <c r="I6" s="46">
        <v>0.73499999999999999</v>
      </c>
      <c r="J6" s="47">
        <v>0.5</v>
      </c>
      <c r="K6" s="48" t="s">
        <v>19</v>
      </c>
      <c r="L6" s="49">
        <v>4.4999999999999998E-2</v>
      </c>
      <c r="M6" s="48">
        <v>5</v>
      </c>
      <c r="N6" s="48">
        <v>8</v>
      </c>
      <c r="O6" s="36">
        <v>117.11</v>
      </c>
      <c r="P6" s="91">
        <v>118.18033629999999</v>
      </c>
      <c r="R6" s="38">
        <f t="shared" si="0"/>
        <v>1.0703362999999939</v>
      </c>
      <c r="S6" s="17">
        <f t="shared" si="3"/>
        <v>9.0568053325127823E-3</v>
      </c>
    </row>
    <row r="7" spans="1:19" ht="22.8" customHeight="1">
      <c r="A7" s="32">
        <v>6</v>
      </c>
      <c r="B7" s="33" t="s">
        <v>24</v>
      </c>
      <c r="C7" s="18">
        <v>44785</v>
      </c>
      <c r="D7" s="39">
        <v>926.06399999999996</v>
      </c>
      <c r="E7" s="18">
        <v>46022</v>
      </c>
      <c r="F7" s="19">
        <v>1343.1880000000001</v>
      </c>
      <c r="G7" s="45">
        <f t="shared" si="2"/>
        <v>1450.4267523626879</v>
      </c>
      <c r="H7" s="46">
        <v>0.69499999999999995</v>
      </c>
      <c r="I7" s="46">
        <v>0.69499999999999995</v>
      </c>
      <c r="J7" s="47">
        <v>0.5</v>
      </c>
      <c r="K7" s="48" t="s">
        <v>19</v>
      </c>
      <c r="L7" s="49">
        <v>4.4999999999999998E-2</v>
      </c>
      <c r="M7" s="48">
        <v>5</v>
      </c>
      <c r="N7" s="48">
        <v>8</v>
      </c>
      <c r="O7" s="36">
        <v>115.12</v>
      </c>
      <c r="P7" s="91">
        <v>117.6001559</v>
      </c>
      <c r="Q7" s="99" t="s">
        <v>200</v>
      </c>
      <c r="R7" s="38">
        <f t="shared" si="0"/>
        <v>2.4801558999999997</v>
      </c>
      <c r="S7" s="17">
        <f t="shared" si="3"/>
        <v>2.1089733096178655E-2</v>
      </c>
    </row>
    <row r="8" spans="1:19" ht="22.8" customHeight="1">
      <c r="A8" s="32">
        <v>7</v>
      </c>
      <c r="B8" s="33" t="s">
        <v>25</v>
      </c>
      <c r="C8" s="18">
        <v>44932</v>
      </c>
      <c r="D8" s="39">
        <v>998.59</v>
      </c>
      <c r="E8" s="18">
        <v>46022</v>
      </c>
      <c r="F8" s="19">
        <v>1458.71</v>
      </c>
      <c r="G8" s="45">
        <f t="shared" si="2"/>
        <v>1460.7696852562112</v>
      </c>
      <c r="H8" s="46">
        <v>0.5</v>
      </c>
      <c r="I8" s="46">
        <v>888.88</v>
      </c>
      <c r="J8" s="47">
        <v>0.5</v>
      </c>
      <c r="K8" s="48" t="s">
        <v>19</v>
      </c>
      <c r="L8" s="49">
        <v>0.05</v>
      </c>
      <c r="M8" s="48">
        <v>5</v>
      </c>
      <c r="N8" s="48">
        <v>8</v>
      </c>
      <c r="O8" s="36">
        <v>117.57999999999997</v>
      </c>
      <c r="P8" s="91">
        <v>119.39221330000001</v>
      </c>
      <c r="R8" s="38">
        <f t="shared" si="0"/>
        <v>1.8122133000000389</v>
      </c>
      <c r="S8" s="17">
        <f t="shared" si="3"/>
        <v>1.5178655708864714E-2</v>
      </c>
    </row>
    <row r="9" spans="1:19" ht="22.8" customHeight="1">
      <c r="A9" s="53">
        <v>8</v>
      </c>
      <c r="B9" s="54" t="s">
        <v>26</v>
      </c>
      <c r="C9" s="55">
        <v>44932</v>
      </c>
      <c r="D9" s="56">
        <v>1606.453</v>
      </c>
      <c r="E9" s="55">
        <v>46022</v>
      </c>
      <c r="F9" s="57">
        <v>2214.8200000000002</v>
      </c>
      <c r="G9" s="58">
        <f t="shared" si="2"/>
        <v>1378.7020224058845</v>
      </c>
      <c r="H9" s="59"/>
      <c r="I9" s="59"/>
      <c r="J9" s="60"/>
      <c r="K9" s="61" t="s">
        <v>19</v>
      </c>
      <c r="L9" s="62">
        <v>0.08</v>
      </c>
      <c r="M9" s="61">
        <v>8</v>
      </c>
      <c r="N9" s="61">
        <v>8</v>
      </c>
      <c r="O9" s="94">
        <v>118.359737170931</v>
      </c>
      <c r="P9" s="61">
        <v>133.05000000000001</v>
      </c>
      <c r="Q9" s="63" t="s">
        <v>27</v>
      </c>
      <c r="R9" s="38">
        <f t="shared" si="0"/>
        <v>14.690262829069013</v>
      </c>
      <c r="S9" s="17">
        <f t="shared" si="3"/>
        <v>0.11041159585921843</v>
      </c>
    </row>
    <row r="10" spans="1:19" ht="22.8" customHeight="1">
      <c r="A10" s="32">
        <v>9</v>
      </c>
      <c r="B10" s="33" t="s">
        <v>28</v>
      </c>
      <c r="C10" s="18">
        <v>45044</v>
      </c>
      <c r="D10" s="39">
        <v>1062.71</v>
      </c>
      <c r="E10" s="18">
        <v>46022</v>
      </c>
      <c r="F10" s="19">
        <v>1397.85</v>
      </c>
      <c r="G10" s="45">
        <f t="shared" si="2"/>
        <v>1315.3635516744923</v>
      </c>
      <c r="H10" s="46">
        <v>0.3</v>
      </c>
      <c r="I10" s="46">
        <v>888.88</v>
      </c>
      <c r="J10" s="47">
        <v>0.3</v>
      </c>
      <c r="K10" s="48" t="s">
        <v>19</v>
      </c>
      <c r="L10" s="49">
        <v>5.5E-2</v>
      </c>
      <c r="M10" s="48">
        <v>5</v>
      </c>
      <c r="N10" s="48">
        <v>8</v>
      </c>
      <c r="O10" s="36">
        <v>114.84</v>
      </c>
      <c r="P10" s="91">
        <v>121.42391090000001</v>
      </c>
      <c r="R10" s="38">
        <f>P10-O10</f>
        <v>6.5839109000000064</v>
      </c>
      <c r="S10" s="17">
        <f t="shared" si="3"/>
        <v>5.4222523811000109E-2</v>
      </c>
    </row>
    <row r="11" spans="1:19" ht="22.8" customHeight="1">
      <c r="A11" s="53">
        <v>10</v>
      </c>
      <c r="B11" s="54" t="s">
        <v>29</v>
      </c>
      <c r="C11" s="55">
        <v>45044</v>
      </c>
      <c r="D11" s="56">
        <v>1693.62</v>
      </c>
      <c r="E11" s="55">
        <v>46022</v>
      </c>
      <c r="F11" s="57">
        <v>2214.8200000000002</v>
      </c>
      <c r="G11" s="58">
        <f t="shared" si="2"/>
        <v>1307.7431773361207</v>
      </c>
      <c r="H11" s="59"/>
      <c r="I11" s="59"/>
      <c r="J11" s="60"/>
      <c r="K11" s="61" t="s">
        <v>19</v>
      </c>
      <c r="L11" s="62"/>
      <c r="M11" s="61">
        <v>5</v>
      </c>
      <c r="N11" s="61">
        <v>8</v>
      </c>
      <c r="O11" s="61"/>
      <c r="P11" s="61"/>
      <c r="Q11" s="63" t="s">
        <v>27</v>
      </c>
      <c r="R11" s="38">
        <f t="shared" si="0"/>
        <v>0</v>
      </c>
      <c r="S11" s="17" t="e">
        <f t="shared" si="3"/>
        <v>#DIV/0!</v>
      </c>
    </row>
    <row r="12" spans="1:19" ht="22.8" customHeight="1">
      <c r="A12" s="32">
        <v>11</v>
      </c>
      <c r="B12" s="33" t="s">
        <v>30</v>
      </c>
      <c r="C12" s="18">
        <v>45149</v>
      </c>
      <c r="D12" s="39">
        <v>983.77</v>
      </c>
      <c r="E12" s="18">
        <v>46022</v>
      </c>
      <c r="F12" s="19">
        <v>1420.13</v>
      </c>
      <c r="G12" s="45">
        <f t="shared" si="2"/>
        <v>1443.5589619524892</v>
      </c>
      <c r="H12" s="46">
        <v>0.5</v>
      </c>
      <c r="I12" s="46">
        <v>0.3</v>
      </c>
      <c r="J12" s="47">
        <v>0.3</v>
      </c>
      <c r="K12" s="48" t="s">
        <v>19</v>
      </c>
      <c r="L12" s="49">
        <v>5.6500000000000002E-2</v>
      </c>
      <c r="M12" s="48">
        <v>5</v>
      </c>
      <c r="N12" s="48">
        <v>8</v>
      </c>
      <c r="O12" s="36">
        <v>116.290000029341</v>
      </c>
      <c r="P12" s="91">
        <v>120.6788615</v>
      </c>
      <c r="R12" s="38">
        <f t="shared" si="0"/>
        <v>4.3888614706589948</v>
      </c>
      <c r="S12" s="17">
        <f t="shared" si="3"/>
        <v>3.6368104704559173E-2</v>
      </c>
    </row>
    <row r="13" spans="1:19" ht="22.8" customHeight="1">
      <c r="A13" s="53">
        <v>12</v>
      </c>
      <c r="B13" s="54" t="s">
        <v>31</v>
      </c>
      <c r="C13" s="55">
        <v>45149</v>
      </c>
      <c r="D13" s="56"/>
      <c r="E13" s="55">
        <v>46022</v>
      </c>
      <c r="F13" s="57"/>
      <c r="G13" s="58" t="e">
        <f t="shared" si="2"/>
        <v>#DIV/0!</v>
      </c>
      <c r="H13" s="59"/>
      <c r="I13" s="59"/>
      <c r="J13" s="60"/>
      <c r="K13" s="61" t="s">
        <v>19</v>
      </c>
      <c r="L13" s="62"/>
      <c r="M13" s="61">
        <v>5</v>
      </c>
      <c r="N13" s="61">
        <v>8</v>
      </c>
      <c r="O13" s="61"/>
      <c r="P13" s="61"/>
      <c r="Q13" s="63" t="s">
        <v>32</v>
      </c>
      <c r="R13" s="38">
        <f t="shared" si="0"/>
        <v>0</v>
      </c>
      <c r="S13" s="17" t="e">
        <f t="shared" si="3"/>
        <v>#DIV/0!</v>
      </c>
    </row>
    <row r="14" spans="1:19" ht="22.8" customHeight="1">
      <c r="A14" s="32">
        <v>13</v>
      </c>
      <c r="B14" s="33" t="s">
        <v>33</v>
      </c>
      <c r="C14" s="18">
        <v>45296</v>
      </c>
      <c r="D14" s="39">
        <v>1041.73</v>
      </c>
      <c r="E14" s="18">
        <v>46022</v>
      </c>
      <c r="F14" s="19">
        <v>1330.46</v>
      </c>
      <c r="G14" s="45">
        <f t="shared" si="2"/>
        <v>1277.1639484319353</v>
      </c>
      <c r="H14" s="46">
        <v>0.55000000000000004</v>
      </c>
      <c r="I14" s="46">
        <v>0.5</v>
      </c>
      <c r="J14" s="47">
        <v>0.5</v>
      </c>
      <c r="K14" s="48" t="s">
        <v>19</v>
      </c>
      <c r="L14" s="49">
        <v>6.5000000000000002E-2</v>
      </c>
      <c r="M14" s="48">
        <v>5</v>
      </c>
      <c r="N14" s="48">
        <v>8</v>
      </c>
      <c r="O14" s="36">
        <v>118.65999999999998</v>
      </c>
      <c r="P14" s="91">
        <v>121.18763329999999</v>
      </c>
      <c r="R14" s="38">
        <f t="shared" si="0"/>
        <v>2.5276333000000051</v>
      </c>
      <c r="S14" s="17">
        <f t="shared" si="3"/>
        <v>2.0857188404223133E-2</v>
      </c>
    </row>
    <row r="15" spans="1:19" ht="22.8" customHeight="1">
      <c r="A15" s="32">
        <v>14</v>
      </c>
      <c r="B15" s="33" t="s">
        <v>34</v>
      </c>
      <c r="C15" s="18">
        <v>45296</v>
      </c>
      <c r="D15" s="39">
        <v>1041.73</v>
      </c>
      <c r="E15" s="18">
        <v>46022</v>
      </c>
      <c r="F15" s="19">
        <v>1330.46</v>
      </c>
      <c r="G15" s="45">
        <f t="shared" si="2"/>
        <v>1277.1639484319353</v>
      </c>
      <c r="H15" s="46">
        <v>0.75</v>
      </c>
      <c r="I15" s="46">
        <v>0.75</v>
      </c>
      <c r="J15" s="47">
        <v>0</v>
      </c>
      <c r="K15" s="48" t="s">
        <v>19</v>
      </c>
      <c r="L15" s="49">
        <v>4.4999999999999998E-2</v>
      </c>
      <c r="M15" s="48">
        <v>5</v>
      </c>
      <c r="N15" s="48">
        <v>8</v>
      </c>
      <c r="O15" s="36">
        <v>111.58999999999999</v>
      </c>
      <c r="P15" s="91">
        <v>112.22941350000001</v>
      </c>
      <c r="R15" s="38">
        <f t="shared" si="0"/>
        <v>0.63941350000001762</v>
      </c>
      <c r="S15" s="17">
        <f t="shared" si="3"/>
        <v>5.6973789674131872E-3</v>
      </c>
    </row>
    <row r="16" spans="1:19" ht="22.8" customHeight="1">
      <c r="A16" s="32">
        <v>15</v>
      </c>
      <c r="B16" s="33" t="s">
        <v>35</v>
      </c>
      <c r="C16" s="18">
        <v>45149</v>
      </c>
      <c r="D16" s="39">
        <v>1084.81</v>
      </c>
      <c r="E16" s="18">
        <v>46022</v>
      </c>
      <c r="F16" s="19">
        <v>1458.71</v>
      </c>
      <c r="G16" s="45">
        <f t="shared" si="2"/>
        <v>1344.668651653285</v>
      </c>
      <c r="H16" s="46">
        <v>1</v>
      </c>
      <c r="I16" s="46">
        <v>1</v>
      </c>
      <c r="J16" s="47">
        <v>0</v>
      </c>
      <c r="K16" s="48" t="s">
        <v>19</v>
      </c>
      <c r="L16" s="49">
        <v>5.0500000000000003E-2</v>
      </c>
      <c r="M16" s="48">
        <v>3</v>
      </c>
      <c r="N16" s="48">
        <v>10</v>
      </c>
      <c r="O16" s="36">
        <v>111.69</v>
      </c>
      <c r="P16" s="91">
        <v>112.66609739999998</v>
      </c>
      <c r="R16" s="38">
        <f t="shared" si="0"/>
        <v>0.97609739999998624</v>
      </c>
      <c r="S16" s="17">
        <f t="shared" si="3"/>
        <v>8.6636301649335948E-3</v>
      </c>
    </row>
    <row r="17" spans="1:21" ht="22.8" customHeight="1">
      <c r="A17" s="32">
        <v>16</v>
      </c>
      <c r="B17" s="33" t="s">
        <v>36</v>
      </c>
      <c r="C17" s="18">
        <v>45296</v>
      </c>
      <c r="D17" s="39">
        <v>1036.6099999999999</v>
      </c>
      <c r="E17" s="18">
        <v>46022</v>
      </c>
      <c r="F17" s="19">
        <v>1373.2223047698169</v>
      </c>
      <c r="G17" s="45">
        <f t="shared" si="2"/>
        <v>1324.7241535098224</v>
      </c>
      <c r="H17" s="46">
        <v>0.9</v>
      </c>
      <c r="I17" s="46">
        <v>0.6</v>
      </c>
      <c r="J17" s="47">
        <v>0</v>
      </c>
      <c r="K17" s="48" t="s">
        <v>42</v>
      </c>
      <c r="L17" s="50">
        <f>7.65%/4</f>
        <v>1.9125E-2</v>
      </c>
      <c r="M17" s="48">
        <v>2</v>
      </c>
      <c r="N17" s="48">
        <v>10</v>
      </c>
      <c r="O17" s="36">
        <v>114.98000000000002</v>
      </c>
      <c r="P17" s="91">
        <v>114.983840382502</v>
      </c>
      <c r="R17" s="38">
        <f t="shared" si="0"/>
        <v>3.8403825019770466E-3</v>
      </c>
      <c r="S17" s="17">
        <f t="shared" si="3"/>
        <v>3.3399323671932846E-5</v>
      </c>
    </row>
    <row r="18" spans="1:21" ht="22.8" customHeight="1">
      <c r="A18" s="32">
        <v>17</v>
      </c>
      <c r="B18" s="33" t="s">
        <v>38</v>
      </c>
      <c r="C18" s="18">
        <v>45296</v>
      </c>
      <c r="D18" s="39">
        <v>1038.73</v>
      </c>
      <c r="E18" s="18">
        <v>46022</v>
      </c>
      <c r="F18" s="19">
        <v>1451.22</v>
      </c>
      <c r="G18" s="45">
        <f t="shared" si="2"/>
        <v>1397.1099323211999</v>
      </c>
      <c r="H18" s="46">
        <v>1</v>
      </c>
      <c r="I18" s="46">
        <v>1</v>
      </c>
      <c r="J18" s="47">
        <v>1</v>
      </c>
      <c r="K18" s="48" t="s">
        <v>39</v>
      </c>
      <c r="L18" s="50">
        <v>2.5000000000000001E-2</v>
      </c>
      <c r="M18" s="48">
        <v>2</v>
      </c>
      <c r="N18" s="48">
        <v>12</v>
      </c>
      <c r="O18" s="36">
        <v>110.94999999999999</v>
      </c>
      <c r="P18" s="91">
        <v>109.7935976</v>
      </c>
      <c r="R18" s="38">
        <f t="shared" si="0"/>
        <v>-1.1564023999999904</v>
      </c>
      <c r="S18" s="17">
        <f t="shared" si="3"/>
        <v>-1.0532512143494882E-2</v>
      </c>
    </row>
    <row r="19" spans="1:21" ht="22.8" customHeight="1">
      <c r="A19" s="32">
        <v>18</v>
      </c>
      <c r="B19" s="33" t="s">
        <v>40</v>
      </c>
      <c r="C19" s="18">
        <v>45275</v>
      </c>
      <c r="D19" s="39">
        <v>1044.24</v>
      </c>
      <c r="E19" s="18">
        <v>46022</v>
      </c>
      <c r="F19" s="19">
        <v>1337.44</v>
      </c>
      <c r="G19" s="45">
        <f t="shared" si="2"/>
        <v>1280.7783651267907</v>
      </c>
      <c r="H19" s="46">
        <v>1</v>
      </c>
      <c r="I19" s="46">
        <v>0.6</v>
      </c>
      <c r="J19" s="47">
        <v>0.6</v>
      </c>
      <c r="K19" s="48" t="s">
        <v>19</v>
      </c>
      <c r="L19" s="50">
        <v>0.1</v>
      </c>
      <c r="M19" s="48">
        <v>2</v>
      </c>
      <c r="N19" s="48">
        <v>12</v>
      </c>
      <c r="O19" s="36">
        <v>0</v>
      </c>
      <c r="P19" s="91">
        <v>123.9287446</v>
      </c>
      <c r="R19" s="38">
        <f t="shared" si="0"/>
        <v>123.9287446</v>
      </c>
      <c r="S19" s="17">
        <f t="shared" si="3"/>
        <v>1</v>
      </c>
    </row>
    <row r="20" spans="1:21" ht="23.4" customHeight="1">
      <c r="A20" s="32">
        <v>19</v>
      </c>
      <c r="B20" s="33" t="s">
        <v>41</v>
      </c>
      <c r="C20" s="18">
        <v>45408</v>
      </c>
      <c r="D20" s="39">
        <v>1183.1300000000001</v>
      </c>
      <c r="E20" s="18">
        <v>46022</v>
      </c>
      <c r="F20" s="19">
        <v>1453.08</v>
      </c>
      <c r="G20" s="45">
        <f t="shared" si="2"/>
        <v>1228.1659665463642</v>
      </c>
      <c r="H20" s="46">
        <v>0.9</v>
      </c>
      <c r="I20" s="46">
        <v>0.6</v>
      </c>
      <c r="J20" s="47">
        <v>0</v>
      </c>
      <c r="K20" s="48" t="s">
        <v>42</v>
      </c>
      <c r="L20" s="50">
        <f>7.6%/4</f>
        <v>1.9E-2</v>
      </c>
      <c r="M20" s="48">
        <v>2</v>
      </c>
      <c r="N20" s="48">
        <v>10</v>
      </c>
      <c r="O20" s="36">
        <v>112.80000000000001</v>
      </c>
      <c r="P20" s="91">
        <v>114.3077059</v>
      </c>
      <c r="R20" s="38">
        <f t="shared" si="0"/>
        <v>1.5077058999999906</v>
      </c>
      <c r="S20" s="17">
        <f t="shared" si="3"/>
        <v>1.318988853926418E-2</v>
      </c>
    </row>
    <row r="21" spans="1:21" ht="22.8" customHeight="1">
      <c r="A21" s="32">
        <v>20</v>
      </c>
      <c r="B21" s="33" t="s">
        <v>43</v>
      </c>
      <c r="C21" s="18">
        <v>45408</v>
      </c>
      <c r="D21" s="39">
        <v>1216.6369999999999</v>
      </c>
      <c r="E21" s="18">
        <v>46022</v>
      </c>
      <c r="F21" s="19">
        <v>1154.98</v>
      </c>
      <c r="G21" s="45">
        <f t="shared" si="2"/>
        <v>949.32177798307964</v>
      </c>
      <c r="H21" s="46">
        <v>0.5</v>
      </c>
      <c r="I21" s="46">
        <v>0.5</v>
      </c>
      <c r="J21" s="47">
        <v>0</v>
      </c>
      <c r="K21" s="48" t="s">
        <v>19</v>
      </c>
      <c r="L21" s="51">
        <v>6.5000000000000002E-2</v>
      </c>
      <c r="M21" s="48">
        <v>5</v>
      </c>
      <c r="N21" s="48">
        <v>8</v>
      </c>
      <c r="O21" s="36">
        <v>115.82000000000001</v>
      </c>
      <c r="P21" s="91">
        <v>118.73186860000001</v>
      </c>
      <c r="R21" s="38">
        <f t="shared" si="0"/>
        <v>2.9118686000000054</v>
      </c>
      <c r="S21" s="17">
        <f t="shared" si="3"/>
        <v>2.4524743308891251E-2</v>
      </c>
    </row>
    <row r="22" spans="1:21" ht="22.8" customHeight="1">
      <c r="A22" s="32">
        <v>21</v>
      </c>
      <c r="B22" s="33" t="s">
        <v>44</v>
      </c>
      <c r="C22" s="18">
        <v>45408</v>
      </c>
      <c r="D22" s="39">
        <v>1216.6369999999999</v>
      </c>
      <c r="E22" s="18">
        <v>46022</v>
      </c>
      <c r="F22" s="19">
        <v>1154.98</v>
      </c>
      <c r="G22" s="45">
        <f t="shared" si="2"/>
        <v>949.32177798307964</v>
      </c>
      <c r="H22" s="46">
        <v>0.7</v>
      </c>
      <c r="I22" s="46">
        <v>0.7</v>
      </c>
      <c r="J22" s="47">
        <v>0</v>
      </c>
      <c r="K22" s="48" t="s">
        <v>19</v>
      </c>
      <c r="L22" s="51">
        <v>4.8000000000000001E-2</v>
      </c>
      <c r="M22" s="48">
        <v>5</v>
      </c>
      <c r="N22" s="48">
        <v>8</v>
      </c>
      <c r="O22" s="36">
        <v>110.64</v>
      </c>
      <c r="P22" s="91">
        <v>107.88944790000001</v>
      </c>
      <c r="R22" s="38">
        <f t="shared" si="0"/>
        <v>-2.7505520999999931</v>
      </c>
      <c r="S22" s="17">
        <f t="shared" si="3"/>
        <v>-2.549417161305163E-2</v>
      </c>
    </row>
    <row r="23" spans="1:21" ht="22.8" customHeight="1">
      <c r="A23" s="20">
        <v>22</v>
      </c>
      <c r="B23" s="21" t="s">
        <v>45</v>
      </c>
      <c r="C23" s="23">
        <v>45394</v>
      </c>
      <c r="D23" s="22"/>
      <c r="E23" s="23">
        <v>46022</v>
      </c>
      <c r="F23" s="24"/>
      <c r="G23" s="26"/>
      <c r="H23" s="27">
        <v>0.01</v>
      </c>
      <c r="I23" s="27">
        <v>0.01</v>
      </c>
      <c r="J23" s="28">
        <v>0</v>
      </c>
      <c r="K23" s="25" t="s">
        <v>19</v>
      </c>
      <c r="L23" s="29">
        <v>0.183</v>
      </c>
      <c r="M23" s="25">
        <v>5</v>
      </c>
      <c r="N23" s="25">
        <v>8</v>
      </c>
      <c r="O23" s="25"/>
      <c r="P23" s="25"/>
      <c r="R23" s="38">
        <f t="shared" si="0"/>
        <v>0</v>
      </c>
      <c r="S23" s="17" t="e">
        <f t="shared" si="3"/>
        <v>#DIV/0!</v>
      </c>
    </row>
    <row r="24" spans="1:21" ht="22.8" customHeight="1">
      <c r="A24" s="32">
        <v>23</v>
      </c>
      <c r="B24" s="33" t="s">
        <v>46</v>
      </c>
      <c r="C24" s="18">
        <v>45408</v>
      </c>
      <c r="D24" s="90">
        <v>3522.42</v>
      </c>
      <c r="E24" s="18">
        <v>46022</v>
      </c>
      <c r="F24" s="90">
        <v>4368.9799999999996</v>
      </c>
      <c r="G24" s="45">
        <f t="shared" si="2"/>
        <v>1240.334769845731</v>
      </c>
      <c r="H24" s="46">
        <v>1</v>
      </c>
      <c r="I24" s="46">
        <v>1</v>
      </c>
      <c r="J24" s="47">
        <v>0</v>
      </c>
      <c r="K24" s="48" t="s">
        <v>42</v>
      </c>
      <c r="L24" s="51">
        <f>5.5%/4</f>
        <v>1.375E-2</v>
      </c>
      <c r="M24" s="48">
        <v>2</v>
      </c>
      <c r="N24" s="48">
        <v>12</v>
      </c>
      <c r="O24" s="93">
        <v>108.4</v>
      </c>
      <c r="P24" s="91">
        <v>109.682513</v>
      </c>
      <c r="R24" s="38">
        <f t="shared" si="0"/>
        <v>1.2825129999999945</v>
      </c>
      <c r="S24" s="17">
        <f t="shared" si="3"/>
        <v>1.1692957837317188E-2</v>
      </c>
    </row>
    <row r="25" spans="1:21" ht="23.4" customHeight="1">
      <c r="A25" s="53">
        <v>24</v>
      </c>
      <c r="B25" s="54" t="s">
        <v>47</v>
      </c>
      <c r="C25" s="55">
        <v>45513</v>
      </c>
      <c r="D25" s="56">
        <v>1026.33</v>
      </c>
      <c r="E25" s="55">
        <v>46022</v>
      </c>
      <c r="F25" s="57">
        <v>1251.3900000000001</v>
      </c>
      <c r="G25" s="58">
        <f t="shared" si="2"/>
        <v>1219.2861944988456</v>
      </c>
      <c r="H25" s="59">
        <v>0.62</v>
      </c>
      <c r="I25" s="59">
        <v>0.5</v>
      </c>
      <c r="J25" s="60">
        <v>0</v>
      </c>
      <c r="K25" s="61" t="s">
        <v>19</v>
      </c>
      <c r="L25" s="100">
        <v>6.5000000000000002E-2</v>
      </c>
      <c r="M25" s="61">
        <v>5</v>
      </c>
      <c r="N25" s="61">
        <v>8</v>
      </c>
      <c r="O25" s="61">
        <v>110.94999999999999</v>
      </c>
      <c r="P25" s="92">
        <v>119.4647138</v>
      </c>
      <c r="Q25" s="63">
        <v>117.97</v>
      </c>
      <c r="R25" s="88">
        <f>P25-$O$25</f>
        <v>8.5147138000000098</v>
      </c>
      <c r="S25" s="101">
        <f>R25/$P$25</f>
        <v>7.1273881041181639E-2</v>
      </c>
      <c r="T25" s="38">
        <f>Q25-$O$25</f>
        <v>7.0200000000000102</v>
      </c>
      <c r="U25" s="17">
        <f>T25/Q25</f>
        <v>5.9506654234127411E-2</v>
      </c>
    </row>
    <row r="26" spans="1:21" ht="23.4" customHeight="1">
      <c r="A26" s="32">
        <v>25</v>
      </c>
      <c r="B26" s="33" t="s">
        <v>48</v>
      </c>
      <c r="C26" s="18">
        <v>45513</v>
      </c>
      <c r="D26" s="39">
        <v>799.03899999999999</v>
      </c>
      <c r="E26" s="18">
        <v>46022</v>
      </c>
      <c r="F26" s="19">
        <v>1302.55</v>
      </c>
      <c r="G26" s="45">
        <f t="shared" si="2"/>
        <v>1630.1457125371853</v>
      </c>
      <c r="H26" s="46">
        <v>0.8</v>
      </c>
      <c r="I26" s="46">
        <v>0.8</v>
      </c>
      <c r="J26" s="47">
        <v>0</v>
      </c>
      <c r="K26" s="48" t="s">
        <v>19</v>
      </c>
      <c r="L26" s="50">
        <f>36%/8</f>
        <v>4.4999999999999998E-2</v>
      </c>
      <c r="M26" s="48">
        <v>5</v>
      </c>
      <c r="N26" s="48">
        <v>8</v>
      </c>
      <c r="O26" s="36">
        <v>107.94</v>
      </c>
      <c r="P26" s="91">
        <v>111.87033360000001</v>
      </c>
      <c r="R26" s="38">
        <f t="shared" si="0"/>
        <v>3.9303336000000115</v>
      </c>
      <c r="S26" s="17">
        <f t="shared" si="3"/>
        <v>3.5132938943877534E-2</v>
      </c>
    </row>
    <row r="27" spans="1:21" ht="22.8" customHeight="1">
      <c r="A27" s="32">
        <v>26</v>
      </c>
      <c r="B27" s="33" t="s">
        <v>49</v>
      </c>
      <c r="C27" s="18">
        <v>45513</v>
      </c>
      <c r="D27" s="39">
        <v>1213.93</v>
      </c>
      <c r="E27" s="18">
        <v>46022</v>
      </c>
      <c r="F27" s="36">
        <v>1442</v>
      </c>
      <c r="G27" s="45">
        <f t="shared" si="2"/>
        <v>1187.8773899648249</v>
      </c>
      <c r="H27" s="46">
        <v>1</v>
      </c>
      <c r="I27" s="46">
        <v>1</v>
      </c>
      <c r="J27" s="47">
        <v>0.5</v>
      </c>
      <c r="K27" s="48" t="s">
        <v>42</v>
      </c>
      <c r="L27" s="51">
        <f>9%/4</f>
        <v>2.2499999999999999E-2</v>
      </c>
      <c r="M27" s="48">
        <v>2</v>
      </c>
      <c r="N27" s="48">
        <v>10</v>
      </c>
      <c r="O27" s="36">
        <v>113.23999999999998</v>
      </c>
      <c r="P27" s="91">
        <v>113.16560010000001</v>
      </c>
      <c r="R27" s="38">
        <f t="shared" si="0"/>
        <v>-7.439989999997465E-2</v>
      </c>
      <c r="S27" s="17">
        <f t="shared" si="3"/>
        <v>-6.5744272052841476E-4</v>
      </c>
    </row>
    <row r="28" spans="1:21" ht="22.8" customHeight="1">
      <c r="A28" s="32">
        <v>27</v>
      </c>
      <c r="B28" s="33" t="s">
        <v>50</v>
      </c>
      <c r="C28" s="18">
        <v>45513</v>
      </c>
      <c r="D28" s="39">
        <v>996.79</v>
      </c>
      <c r="E28" s="18">
        <v>46022</v>
      </c>
      <c r="F28" s="19">
        <v>1157.9100000000001</v>
      </c>
      <c r="G28" s="45">
        <f t="shared" si="2"/>
        <v>1161.6388607429851</v>
      </c>
      <c r="H28" s="46">
        <v>0.9</v>
      </c>
      <c r="I28" s="46">
        <v>0.6</v>
      </c>
      <c r="J28" s="47">
        <v>0</v>
      </c>
      <c r="K28" s="48" t="s">
        <v>39</v>
      </c>
      <c r="L28" s="51">
        <v>3.7499999999999999E-2</v>
      </c>
      <c r="M28" s="48">
        <v>2</v>
      </c>
      <c r="N28" s="48">
        <v>12</v>
      </c>
      <c r="O28" s="36">
        <v>110.11999999999999</v>
      </c>
      <c r="P28" s="91">
        <v>112.1032137</v>
      </c>
      <c r="R28" s="38">
        <f t="shared" si="0"/>
        <v>1.9832137000000074</v>
      </c>
      <c r="S28" s="17">
        <f t="shared" si="3"/>
        <v>1.7690962056692648E-2</v>
      </c>
    </row>
    <row r="29" spans="1:21" ht="22.8" customHeight="1">
      <c r="A29" s="32">
        <v>28</v>
      </c>
      <c r="B29" s="33" t="s">
        <v>51</v>
      </c>
      <c r="C29" s="18">
        <v>45513</v>
      </c>
      <c r="D29" s="39">
        <v>996.79</v>
      </c>
      <c r="E29" s="18">
        <v>46022</v>
      </c>
      <c r="F29" s="19">
        <v>1157.9100000000001</v>
      </c>
      <c r="G29" s="45">
        <f t="shared" si="2"/>
        <v>1161.6388607429851</v>
      </c>
      <c r="H29" s="46">
        <v>1</v>
      </c>
      <c r="I29" s="46">
        <v>1</v>
      </c>
      <c r="J29" s="47">
        <v>0</v>
      </c>
      <c r="K29" s="48" t="s">
        <v>39</v>
      </c>
      <c r="L29" s="51">
        <v>2.5000000000000001E-2</v>
      </c>
      <c r="M29" s="48">
        <v>2</v>
      </c>
      <c r="N29" s="48">
        <v>12</v>
      </c>
      <c r="O29" s="36">
        <v>105.79999999999998</v>
      </c>
      <c r="P29" s="91">
        <v>105.29165949999999</v>
      </c>
      <c r="R29" s="38">
        <f t="shared" si="0"/>
        <v>-0.50834049999998854</v>
      </c>
      <c r="S29" s="17">
        <f t="shared" si="3"/>
        <v>-4.8279275149993106E-3</v>
      </c>
    </row>
    <row r="30" spans="1:21" ht="22.8" customHeight="1">
      <c r="A30" s="32">
        <v>29</v>
      </c>
      <c r="B30" s="33" t="s">
        <v>52</v>
      </c>
      <c r="C30" s="18">
        <v>45513</v>
      </c>
      <c r="D30" s="39">
        <v>996.79</v>
      </c>
      <c r="E30" s="18">
        <v>46022</v>
      </c>
      <c r="F30" s="19">
        <v>1157.9100000000001</v>
      </c>
      <c r="G30" s="45">
        <f t="shared" si="2"/>
        <v>1161.6388607429851</v>
      </c>
      <c r="H30" s="46">
        <v>0.9</v>
      </c>
      <c r="I30" s="46">
        <v>0.6</v>
      </c>
      <c r="J30" s="47">
        <v>0</v>
      </c>
      <c r="K30" s="48" t="s">
        <v>42</v>
      </c>
      <c r="L30" s="51">
        <v>2.2749999999999999E-2</v>
      </c>
      <c r="M30" s="48">
        <v>2</v>
      </c>
      <c r="N30" s="48">
        <v>12</v>
      </c>
      <c r="O30" s="36">
        <v>112.67</v>
      </c>
      <c r="P30" s="91"/>
      <c r="R30" s="38">
        <f t="shared" si="0"/>
        <v>-112.67</v>
      </c>
      <c r="S30" s="17" t="e">
        <f t="shared" si="3"/>
        <v>#DIV/0!</v>
      </c>
    </row>
    <row r="31" spans="1:21" ht="22.8" customHeight="1">
      <c r="A31" s="20">
        <v>30</v>
      </c>
      <c r="B31" s="21" t="s">
        <v>53</v>
      </c>
      <c r="C31" s="23"/>
      <c r="D31" s="22"/>
      <c r="E31" s="23">
        <v>46022</v>
      </c>
      <c r="F31" s="24"/>
      <c r="G31" s="26" t="e">
        <f t="shared" si="2"/>
        <v>#DIV/0!</v>
      </c>
      <c r="H31" s="27"/>
      <c r="I31" s="27"/>
      <c r="J31" s="28"/>
      <c r="K31" s="25" t="s">
        <v>19</v>
      </c>
      <c r="L31" s="29"/>
      <c r="M31" s="25">
        <v>5</v>
      </c>
      <c r="N31" s="25">
        <v>8</v>
      </c>
      <c r="O31" s="25"/>
      <c r="P31" s="25"/>
      <c r="R31" s="38">
        <f t="shared" si="0"/>
        <v>0</v>
      </c>
      <c r="S31" s="17" t="e">
        <f t="shared" si="3"/>
        <v>#DIV/0!</v>
      </c>
    </row>
    <row r="32" spans="1:21" ht="22.8" customHeight="1">
      <c r="A32" s="20">
        <v>31</v>
      </c>
      <c r="B32" s="21" t="s">
        <v>54</v>
      </c>
      <c r="C32" s="23">
        <v>45646</v>
      </c>
      <c r="D32" s="22"/>
      <c r="E32" s="23">
        <v>46022</v>
      </c>
      <c r="F32" s="24"/>
      <c r="G32" s="26" t="e">
        <f t="shared" si="2"/>
        <v>#DIV/0!</v>
      </c>
      <c r="H32" s="27"/>
      <c r="I32" s="27"/>
      <c r="J32" s="28"/>
      <c r="K32" s="25" t="s">
        <v>19</v>
      </c>
      <c r="L32" s="29"/>
      <c r="M32" s="25">
        <v>5</v>
      </c>
      <c r="N32" s="25">
        <v>8</v>
      </c>
      <c r="O32" s="25">
        <v>101.491</v>
      </c>
      <c r="P32" s="25"/>
      <c r="R32" s="38">
        <f t="shared" si="0"/>
        <v>-101.491</v>
      </c>
      <c r="S32" s="17" t="e">
        <f t="shared" si="3"/>
        <v>#DIV/0!</v>
      </c>
    </row>
    <row r="33" spans="1:19" ht="22.8" customHeight="1">
      <c r="A33" s="32">
        <v>32</v>
      </c>
      <c r="B33" s="33" t="s">
        <v>55</v>
      </c>
      <c r="C33" s="18">
        <v>45660</v>
      </c>
      <c r="D33" s="39">
        <v>963.5</v>
      </c>
      <c r="E33" s="18">
        <v>46022</v>
      </c>
      <c r="F33" s="19">
        <v>1104.087</v>
      </c>
      <c r="G33" s="45">
        <f t="shared" si="2"/>
        <v>1145.9128178515828</v>
      </c>
      <c r="H33" s="46">
        <v>0.59</v>
      </c>
      <c r="I33" s="46">
        <v>0.5</v>
      </c>
      <c r="J33" s="47">
        <v>0.5</v>
      </c>
      <c r="K33" s="48" t="s">
        <v>19</v>
      </c>
      <c r="L33" s="51">
        <v>6.5000000000000002E-2</v>
      </c>
      <c r="M33" s="48">
        <v>5</v>
      </c>
      <c r="N33" s="48">
        <v>8</v>
      </c>
      <c r="O33" s="36">
        <v>108.18</v>
      </c>
      <c r="P33" s="91">
        <v>111.9319911</v>
      </c>
      <c r="R33" s="38">
        <f t="shared" si="0"/>
        <v>3.7519910999999979</v>
      </c>
      <c r="S33" s="17">
        <f t="shared" si="3"/>
        <v>3.3520274794790084E-2</v>
      </c>
    </row>
    <row r="34" spans="1:19" ht="22.8" customHeight="1">
      <c r="A34" s="32">
        <v>33</v>
      </c>
      <c r="B34" s="33" t="s">
        <v>56</v>
      </c>
      <c r="C34" s="18">
        <v>45660</v>
      </c>
      <c r="D34" s="39">
        <v>1071.73</v>
      </c>
      <c r="E34" s="18">
        <v>46022</v>
      </c>
      <c r="F34" s="19">
        <v>1162.49</v>
      </c>
      <c r="G34" s="45">
        <f t="shared" si="2"/>
        <v>1084.6855084769484</v>
      </c>
      <c r="H34" s="46">
        <v>0.8</v>
      </c>
      <c r="I34" s="46">
        <v>0.8</v>
      </c>
      <c r="J34" s="47">
        <v>0</v>
      </c>
      <c r="K34" s="48" t="s">
        <v>19</v>
      </c>
      <c r="L34" s="51">
        <v>4.65E-2</v>
      </c>
      <c r="M34" s="48">
        <v>5</v>
      </c>
      <c r="N34" s="48">
        <v>8</v>
      </c>
      <c r="O34" s="36">
        <v>106.41000000000001</v>
      </c>
      <c r="P34" s="91">
        <v>105.17746400000001</v>
      </c>
      <c r="R34" s="38">
        <f t="shared" si="0"/>
        <v>-1.2325359999999961</v>
      </c>
      <c r="S34" s="17">
        <f t="shared" si="3"/>
        <v>-1.1718632044598413E-2</v>
      </c>
    </row>
    <row r="35" spans="1:19" ht="22.8" customHeight="1">
      <c r="A35" s="32">
        <v>34</v>
      </c>
      <c r="B35" s="33" t="s">
        <v>57</v>
      </c>
      <c r="C35" s="18">
        <v>45660</v>
      </c>
      <c r="D35" s="39">
        <v>962.74</v>
      </c>
      <c r="E35" s="18">
        <v>46022</v>
      </c>
      <c r="F35" s="19">
        <v>1158.5999999999999</v>
      </c>
      <c r="G35" s="45">
        <f t="shared" si="2"/>
        <v>1203.4401811496355</v>
      </c>
      <c r="H35" s="46">
        <v>1</v>
      </c>
      <c r="I35" s="46">
        <v>0.8</v>
      </c>
      <c r="J35" s="47">
        <v>0.6</v>
      </c>
      <c r="K35" s="48" t="s">
        <v>42</v>
      </c>
      <c r="L35" s="51">
        <v>2.2499999999999999E-2</v>
      </c>
      <c r="M35" s="48">
        <v>2</v>
      </c>
      <c r="N35" s="48">
        <v>12</v>
      </c>
      <c r="O35" s="36">
        <v>105.79999999999998</v>
      </c>
      <c r="P35" s="91">
        <v>111.27847039999999</v>
      </c>
      <c r="R35" s="38">
        <f t="shared" si="0"/>
        <v>5.4784704000000062</v>
      </c>
      <c r="S35" s="17">
        <f t="shared" si="3"/>
        <v>4.9232078589031419E-2</v>
      </c>
    </row>
    <row r="36" spans="1:19" ht="22.8" customHeight="1">
      <c r="A36" s="32">
        <v>35</v>
      </c>
      <c r="B36" s="33" t="s">
        <v>58</v>
      </c>
      <c r="C36" s="18">
        <v>45660</v>
      </c>
      <c r="D36" s="39">
        <v>1071.73</v>
      </c>
      <c r="E36" s="18">
        <v>46022</v>
      </c>
      <c r="F36" s="19">
        <v>1162.49</v>
      </c>
      <c r="G36" s="45">
        <f t="shared" si="2"/>
        <v>1084.6855084769484</v>
      </c>
      <c r="H36" s="46">
        <v>0.9</v>
      </c>
      <c r="I36" s="46">
        <v>0.6</v>
      </c>
      <c r="J36" s="46">
        <v>0.6</v>
      </c>
      <c r="K36" s="48" t="s">
        <v>42</v>
      </c>
      <c r="L36" s="50">
        <f>7.65%/4</f>
        <v>1.9125E-2</v>
      </c>
      <c r="M36" s="48">
        <v>2</v>
      </c>
      <c r="N36" s="48">
        <v>12</v>
      </c>
      <c r="O36" s="36">
        <v>107.80000000000003</v>
      </c>
      <c r="P36" s="91">
        <v>107.88783800000002</v>
      </c>
      <c r="R36" s="38">
        <f t="shared" si="0"/>
        <v>8.7837999999990757E-2</v>
      </c>
      <c r="S36" s="17">
        <f t="shared" si="3"/>
        <v>8.1416035049280294E-4</v>
      </c>
    </row>
    <row r="37" spans="1:19" ht="22.8" customHeight="1">
      <c r="A37" s="32">
        <v>36</v>
      </c>
      <c r="B37" s="33" t="s">
        <v>59</v>
      </c>
      <c r="C37" s="18">
        <v>45779</v>
      </c>
      <c r="D37" s="39">
        <v>988.83</v>
      </c>
      <c r="E37" s="18">
        <v>46022</v>
      </c>
      <c r="F37" s="19">
        <v>1160.1199999999999</v>
      </c>
      <c r="G37" s="45">
        <f t="shared" si="2"/>
        <v>1173.2249223830183</v>
      </c>
      <c r="H37" s="46">
        <v>0.85</v>
      </c>
      <c r="I37" s="46">
        <v>0.85</v>
      </c>
      <c r="J37" s="47">
        <v>0</v>
      </c>
      <c r="K37" s="48" t="s">
        <v>19</v>
      </c>
      <c r="L37" s="51">
        <v>4.4999999999999998E-2</v>
      </c>
      <c r="M37" s="48">
        <v>5</v>
      </c>
      <c r="N37" s="48">
        <v>8</v>
      </c>
      <c r="O37" s="36">
        <v>103.89999999999999</v>
      </c>
      <c r="P37" s="91">
        <v>103.99470790000001</v>
      </c>
      <c r="R37" s="38">
        <f t="shared" si="0"/>
        <v>9.4707900000017275E-2</v>
      </c>
      <c r="S37" s="17">
        <f t="shared" si="3"/>
        <v>9.1069922607107273E-4</v>
      </c>
    </row>
    <row r="38" spans="1:19" ht="22.8" customHeight="1">
      <c r="A38" s="32">
        <v>37</v>
      </c>
      <c r="B38" s="33" t="s">
        <v>60</v>
      </c>
      <c r="C38" s="18">
        <v>45779</v>
      </c>
      <c r="D38" s="36">
        <v>1017.73</v>
      </c>
      <c r="E38" s="18">
        <v>46022</v>
      </c>
      <c r="F38" s="19">
        <v>1208.92</v>
      </c>
      <c r="G38" s="45">
        <f t="shared" si="2"/>
        <v>1187.8592554017273</v>
      </c>
      <c r="H38" s="46">
        <v>0.6</v>
      </c>
      <c r="I38" s="46">
        <v>0.6</v>
      </c>
      <c r="J38" s="47">
        <v>0.5</v>
      </c>
      <c r="K38" s="48" t="s">
        <v>19</v>
      </c>
      <c r="L38" s="52">
        <v>6.25E-2</v>
      </c>
      <c r="M38" s="48">
        <v>5</v>
      </c>
      <c r="N38" s="48">
        <v>8</v>
      </c>
      <c r="O38" s="36">
        <v>103.03000000000002</v>
      </c>
      <c r="P38" s="91">
        <v>109.25165199999999</v>
      </c>
      <c r="R38" s="38">
        <f t="shared" si="0"/>
        <v>6.2216519999999775</v>
      </c>
      <c r="S38" s="17">
        <f t="shared" si="3"/>
        <v>5.6947898600196709E-2</v>
      </c>
    </row>
    <row r="39" spans="1:19" ht="22.8" customHeight="1">
      <c r="A39" s="32">
        <v>38</v>
      </c>
      <c r="B39" s="33" t="s">
        <v>61</v>
      </c>
      <c r="C39" s="18">
        <v>45779</v>
      </c>
      <c r="D39" s="39">
        <v>918.92</v>
      </c>
      <c r="E39" s="18">
        <v>46022</v>
      </c>
      <c r="F39" s="19">
        <v>1135.06</v>
      </c>
      <c r="G39" s="45">
        <f t="shared" si="2"/>
        <v>1235.2108997518826</v>
      </c>
      <c r="H39" s="46">
        <v>0.95</v>
      </c>
      <c r="I39" s="46">
        <v>0.95</v>
      </c>
      <c r="J39" s="47">
        <v>0.5</v>
      </c>
      <c r="K39" s="48" t="s">
        <v>42</v>
      </c>
      <c r="L39" s="51">
        <v>2.5000000000000001E-2</v>
      </c>
      <c r="M39" s="48">
        <v>2</v>
      </c>
      <c r="N39" s="48">
        <v>12</v>
      </c>
      <c r="O39" s="36">
        <v>112.59416529021399</v>
      </c>
      <c r="P39" s="91">
        <v>117.37653150000001</v>
      </c>
      <c r="Q39" s="38"/>
      <c r="R39" s="38">
        <f t="shared" si="0"/>
        <v>4.7823662097860193</v>
      </c>
      <c r="S39" s="17">
        <f t="shared" si="3"/>
        <v>4.0743802433674904E-2</v>
      </c>
    </row>
    <row r="40" spans="1:19" ht="22.8" customHeight="1">
      <c r="A40" s="32">
        <v>39</v>
      </c>
      <c r="B40" s="33" t="s">
        <v>62</v>
      </c>
      <c r="C40" s="18">
        <v>45779</v>
      </c>
      <c r="D40" s="39">
        <v>1001.39</v>
      </c>
      <c r="E40" s="18">
        <v>46022</v>
      </c>
      <c r="F40" s="19">
        <v>1212.8900000000001</v>
      </c>
      <c r="G40" s="45">
        <f t="shared" si="2"/>
        <v>1211.2064230719302</v>
      </c>
      <c r="H40" s="46">
        <v>0.9</v>
      </c>
      <c r="I40" s="46">
        <v>0.6</v>
      </c>
      <c r="J40" s="47">
        <v>0.6</v>
      </c>
      <c r="K40" s="48" t="s">
        <v>42</v>
      </c>
      <c r="L40" s="51">
        <f>7.5%/4</f>
        <v>1.8749999999999999E-2</v>
      </c>
      <c r="M40" s="48">
        <v>2</v>
      </c>
      <c r="N40" s="48">
        <v>10</v>
      </c>
      <c r="O40" s="36">
        <v>102.62</v>
      </c>
      <c r="P40" s="91">
        <v>107.7753981</v>
      </c>
      <c r="Q40" s="38"/>
      <c r="R40" s="38">
        <f t="shared" si="0"/>
        <v>5.1553980999999993</v>
      </c>
      <c r="S40" s="17">
        <f t="shared" si="3"/>
        <v>4.7834646782900628E-2</v>
      </c>
    </row>
    <row r="41" spans="1:19" ht="22.8" customHeight="1">
      <c r="A41" s="20">
        <v>40</v>
      </c>
      <c r="B41" s="21" t="s">
        <v>63</v>
      </c>
      <c r="C41" s="23"/>
      <c r="D41" s="22"/>
      <c r="E41" s="23">
        <v>46022</v>
      </c>
      <c r="F41" s="24"/>
      <c r="G41" s="26" t="e">
        <f t="shared" si="2"/>
        <v>#DIV/0!</v>
      </c>
      <c r="H41" s="27"/>
      <c r="I41" s="27"/>
      <c r="J41" s="28"/>
      <c r="K41" s="25" t="s">
        <v>19</v>
      </c>
      <c r="L41" s="29"/>
      <c r="M41" s="25">
        <v>5</v>
      </c>
      <c r="N41" s="25">
        <v>8</v>
      </c>
      <c r="O41" s="25"/>
      <c r="P41" s="25"/>
      <c r="Q41" s="38"/>
      <c r="R41" s="38">
        <f t="shared" si="0"/>
        <v>0</v>
      </c>
      <c r="S41" s="17" t="e">
        <f t="shared" si="3"/>
        <v>#DIV/0!</v>
      </c>
    </row>
    <row r="42" spans="1:19" ht="22.8" customHeight="1">
      <c r="A42" s="32">
        <v>41</v>
      </c>
      <c r="B42" s="33" t="s">
        <v>64</v>
      </c>
      <c r="C42" s="18">
        <v>45877</v>
      </c>
      <c r="D42" s="39">
        <v>929.14</v>
      </c>
      <c r="E42" s="18">
        <v>46022</v>
      </c>
      <c r="F42" s="19">
        <v>950.93</v>
      </c>
      <c r="G42" s="45">
        <f t="shared" si="2"/>
        <v>1023.4517941322083</v>
      </c>
      <c r="H42" s="45">
        <v>0.6</v>
      </c>
      <c r="I42" s="46">
        <v>0.6</v>
      </c>
      <c r="J42" s="47">
        <v>0.5</v>
      </c>
      <c r="K42" s="48" t="s">
        <v>19</v>
      </c>
      <c r="L42" s="51">
        <v>6.25E-2</v>
      </c>
      <c r="M42" s="48">
        <v>5</v>
      </c>
      <c r="N42" s="48">
        <v>8</v>
      </c>
      <c r="O42" s="36">
        <v>98.71</v>
      </c>
      <c r="P42" s="91">
        <v>102.17178129999999</v>
      </c>
      <c r="Q42" s="38"/>
      <c r="R42" s="38">
        <f t="shared" si="0"/>
        <v>3.4617812999999984</v>
      </c>
      <c r="S42" s="17">
        <f t="shared" si="3"/>
        <v>3.3881970696345277E-2</v>
      </c>
    </row>
    <row r="43" spans="1:19" ht="22.8" customHeight="1">
      <c r="A43" s="20">
        <v>42</v>
      </c>
      <c r="B43" s="21" t="s">
        <v>65</v>
      </c>
      <c r="C43" s="23"/>
      <c r="D43" s="22"/>
      <c r="E43" s="23">
        <v>46022</v>
      </c>
      <c r="F43" s="24"/>
      <c r="G43" s="26" t="e">
        <f t="shared" si="2"/>
        <v>#DIV/0!</v>
      </c>
      <c r="H43" s="27"/>
      <c r="I43" s="27"/>
      <c r="J43" s="28"/>
      <c r="K43" s="25" t="s">
        <v>19</v>
      </c>
      <c r="L43" s="29"/>
      <c r="M43" s="25">
        <v>5</v>
      </c>
      <c r="N43" s="25">
        <v>8</v>
      </c>
      <c r="O43" s="25"/>
      <c r="P43" s="25"/>
      <c r="Q43" s="38"/>
      <c r="R43" s="38">
        <f t="shared" si="0"/>
        <v>0</v>
      </c>
      <c r="S43" s="17" t="e">
        <f t="shared" si="3"/>
        <v>#DIV/0!</v>
      </c>
    </row>
    <row r="44" spans="1:19" ht="22.8" customHeight="1">
      <c r="A44" s="53">
        <v>43</v>
      </c>
      <c r="B44" s="54" t="s">
        <v>66</v>
      </c>
      <c r="C44" s="55">
        <v>45877</v>
      </c>
      <c r="D44" s="56"/>
      <c r="E44" s="55">
        <v>46022</v>
      </c>
      <c r="F44" s="57"/>
      <c r="G44" s="58" t="e">
        <f t="shared" si="2"/>
        <v>#DIV/0!</v>
      </c>
      <c r="H44" s="59">
        <v>0.95</v>
      </c>
      <c r="I44" s="59">
        <v>0.95</v>
      </c>
      <c r="J44" s="60">
        <v>0.5</v>
      </c>
      <c r="K44" s="61" t="s">
        <v>42</v>
      </c>
      <c r="L44" s="87">
        <v>2.5000000000000001E-2</v>
      </c>
      <c r="M44" s="61">
        <v>2</v>
      </c>
      <c r="N44" s="61">
        <v>12</v>
      </c>
      <c r="O44" s="61">
        <v>108.4</v>
      </c>
      <c r="P44" s="92"/>
      <c r="Q44" s="88" t="s">
        <v>193</v>
      </c>
      <c r="R44" s="38">
        <f t="shared" si="0"/>
        <v>-108.4</v>
      </c>
      <c r="S44" s="17" t="e">
        <f t="shared" si="3"/>
        <v>#DIV/0!</v>
      </c>
    </row>
    <row r="45" spans="1:19" ht="22.8" customHeight="1">
      <c r="A45" s="32">
        <v>44</v>
      </c>
      <c r="B45" s="33" t="s">
        <v>67</v>
      </c>
      <c r="C45" s="18">
        <v>45877</v>
      </c>
      <c r="D45" s="39">
        <v>957.01</v>
      </c>
      <c r="E45" s="18">
        <v>46022</v>
      </c>
      <c r="F45" s="19">
        <v>1030.95</v>
      </c>
      <c r="G45" s="45">
        <f t="shared" si="2"/>
        <v>1077.2614706220415</v>
      </c>
      <c r="H45" s="46">
        <v>0.87</v>
      </c>
      <c r="I45" s="46">
        <v>0.6</v>
      </c>
      <c r="J45" s="47">
        <v>0.6</v>
      </c>
      <c r="K45" s="48" t="s">
        <v>42</v>
      </c>
      <c r="L45" s="50">
        <f>7.6%/4</f>
        <v>1.9E-2</v>
      </c>
      <c r="M45" s="48">
        <v>2</v>
      </c>
      <c r="N45" s="48">
        <v>10</v>
      </c>
      <c r="O45" s="36">
        <v>103.78999999999998</v>
      </c>
      <c r="P45" s="91">
        <v>104.1858727</v>
      </c>
      <c r="Q45" s="38"/>
      <c r="R45" s="38">
        <f t="shared" si="0"/>
        <v>0.39587270000002661</v>
      </c>
      <c r="S45" s="17">
        <f t="shared" si="3"/>
        <v>3.799677343395009E-3</v>
      </c>
    </row>
    <row r="46" spans="1:19" ht="22.8" customHeight="1">
      <c r="A46" s="32">
        <v>45</v>
      </c>
      <c r="B46" s="33" t="s">
        <v>68</v>
      </c>
      <c r="C46" s="18">
        <v>45877</v>
      </c>
      <c r="D46" s="39">
        <v>957.01</v>
      </c>
      <c r="E46" s="18">
        <v>46022</v>
      </c>
      <c r="F46" s="19">
        <v>1030.95</v>
      </c>
      <c r="G46" s="45">
        <f t="shared" si="2"/>
        <v>1077.2614706220415</v>
      </c>
      <c r="H46" s="46">
        <v>0.89</v>
      </c>
      <c r="I46" s="46">
        <v>1</v>
      </c>
      <c r="J46" s="47">
        <v>0</v>
      </c>
      <c r="K46" s="48" t="s">
        <v>19</v>
      </c>
      <c r="L46" s="51">
        <v>4.4999999999999998E-2</v>
      </c>
      <c r="M46" s="48">
        <v>5</v>
      </c>
      <c r="N46" s="48">
        <v>8</v>
      </c>
      <c r="O46" s="36">
        <v>103.36000000000001</v>
      </c>
      <c r="P46" s="91">
        <v>100.56978319999999</v>
      </c>
      <c r="Q46" s="38"/>
      <c r="R46" s="38">
        <f t="shared" si="0"/>
        <v>-2.7902168000000245</v>
      </c>
      <c r="S46" s="17">
        <f t="shared" si="3"/>
        <v>-2.7744086854112109E-2</v>
      </c>
    </row>
    <row r="47" spans="1:19" ht="22.8" customHeight="1">
      <c r="A47" s="20">
        <v>46</v>
      </c>
      <c r="B47" s="21" t="s">
        <v>69</v>
      </c>
      <c r="C47" s="23"/>
      <c r="D47" s="22"/>
      <c r="E47" s="23">
        <v>46022</v>
      </c>
      <c r="F47" s="24"/>
      <c r="G47" s="26" t="e">
        <f t="shared" si="2"/>
        <v>#DIV/0!</v>
      </c>
      <c r="H47" s="27"/>
      <c r="I47" s="27"/>
      <c r="J47" s="28"/>
      <c r="K47" s="25" t="s">
        <v>19</v>
      </c>
      <c r="L47" s="29"/>
      <c r="M47" s="25">
        <v>5</v>
      </c>
      <c r="N47" s="25">
        <v>8</v>
      </c>
      <c r="O47" s="25"/>
      <c r="P47" s="25"/>
      <c r="Q47" s="38"/>
      <c r="R47" s="38">
        <f t="shared" si="0"/>
        <v>0</v>
      </c>
      <c r="S47" s="17" t="e">
        <f t="shared" si="3"/>
        <v>#DIV/0!</v>
      </c>
    </row>
    <row r="48" spans="1:19" ht="22.8" customHeight="1">
      <c r="A48" s="32">
        <v>47</v>
      </c>
      <c r="B48" s="33" t="s">
        <v>70</v>
      </c>
      <c r="C48" s="18">
        <v>46010</v>
      </c>
      <c r="D48" s="39">
        <v>1116.47</v>
      </c>
      <c r="E48" s="18">
        <v>46022</v>
      </c>
      <c r="F48" s="19">
        <v>1122.57</v>
      </c>
      <c r="G48" s="45">
        <f t="shared" si="2"/>
        <v>1005.4636488217328</v>
      </c>
      <c r="H48" s="46">
        <v>0.85</v>
      </c>
      <c r="I48" s="46">
        <v>0.85</v>
      </c>
      <c r="J48" s="47">
        <v>0</v>
      </c>
      <c r="K48" s="48" t="s">
        <v>19</v>
      </c>
      <c r="L48" s="51">
        <v>4.4999999999999998E-2</v>
      </c>
      <c r="M48" s="48">
        <v>5</v>
      </c>
      <c r="N48" s="48">
        <v>8</v>
      </c>
      <c r="O48" s="36">
        <v>102.14000000000001</v>
      </c>
      <c r="P48" s="91">
        <v>97.736516500000008</v>
      </c>
      <c r="Q48" s="38"/>
      <c r="R48" s="38">
        <f t="shared" si="0"/>
        <v>-4.4034835000000072</v>
      </c>
      <c r="S48" s="17">
        <f t="shared" si="3"/>
        <v>-4.5054639327154727E-2</v>
      </c>
    </row>
    <row r="49" spans="1:19" ht="22.8" customHeight="1">
      <c r="A49" s="32">
        <v>48</v>
      </c>
      <c r="B49" s="33" t="s">
        <v>71</v>
      </c>
      <c r="C49" s="18">
        <v>46010</v>
      </c>
      <c r="D49" s="39">
        <v>998.01</v>
      </c>
      <c r="E49" s="18">
        <v>46022</v>
      </c>
      <c r="F49" s="19">
        <v>1012.26</v>
      </c>
      <c r="G49" s="45">
        <f t="shared" si="2"/>
        <v>1014.2784140439474</v>
      </c>
      <c r="H49" s="46">
        <v>0.55000000000000004</v>
      </c>
      <c r="I49" s="46">
        <v>0.5</v>
      </c>
      <c r="J49" s="47">
        <v>0.5</v>
      </c>
      <c r="K49" s="48" t="s">
        <v>19</v>
      </c>
      <c r="L49" s="51">
        <v>6.25E-2</v>
      </c>
      <c r="M49" s="48">
        <v>5</v>
      </c>
      <c r="N49" s="48">
        <v>8</v>
      </c>
      <c r="O49" s="36">
        <v>101.81000001519757</v>
      </c>
      <c r="P49" s="36">
        <v>101.8206247</v>
      </c>
      <c r="Q49" s="38"/>
      <c r="R49" s="38">
        <f t="shared" si="0"/>
        <v>1.0624684802422735E-2</v>
      </c>
      <c r="S49" s="17">
        <f t="shared" si="3"/>
        <v>1.0434707932432018E-4</v>
      </c>
    </row>
    <row r="50" spans="1:19" ht="22.8" customHeight="1">
      <c r="A50" s="32">
        <v>49</v>
      </c>
      <c r="B50" s="33" t="s">
        <v>72</v>
      </c>
      <c r="C50" s="18">
        <v>46010</v>
      </c>
      <c r="D50" s="39">
        <v>1112.24</v>
      </c>
      <c r="E50" s="18">
        <v>46022</v>
      </c>
      <c r="F50" s="19">
        <v>1119.1400000000001</v>
      </c>
      <c r="G50" s="45">
        <f t="shared" si="2"/>
        <v>1006.2036970438036</v>
      </c>
      <c r="H50" s="46">
        <v>0.93</v>
      </c>
      <c r="I50" s="46">
        <v>0.93</v>
      </c>
      <c r="J50" s="47">
        <v>0.5</v>
      </c>
      <c r="K50" s="48" t="s">
        <v>37</v>
      </c>
      <c r="L50" s="51">
        <v>6.4339999999999996E-3</v>
      </c>
      <c r="M50" s="48">
        <v>2</v>
      </c>
      <c r="N50" s="48">
        <v>12</v>
      </c>
      <c r="O50" s="36">
        <v>103.41</v>
      </c>
      <c r="P50" s="36">
        <v>99.263428850207205</v>
      </c>
      <c r="Q50" s="38"/>
      <c r="R50" s="38">
        <f t="shared" si="0"/>
        <v>-4.1465711497927913</v>
      </c>
      <c r="S50" s="17">
        <f t="shared" si="3"/>
        <v>-4.1773402327761069E-2</v>
      </c>
    </row>
  </sheetData>
  <conditionalFormatting sqref="R2:S50 T25:U25">
    <cfRule type="expression" dxfId="0" priority="3">
      <formula>ABS($S2) &gt; 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BB73-5576-4468-AD5F-E7E3647F3D1C}">
  <dimension ref="A1:F50"/>
  <sheetViews>
    <sheetView topLeftCell="A12" workbookViewId="0">
      <selection activeCell="C25" sqref="C25"/>
    </sheetView>
  </sheetViews>
  <sheetFormatPr baseColWidth="10" defaultRowHeight="14.4"/>
  <cols>
    <col min="1" max="1" width="24.77734375" style="86" customWidth="1"/>
    <col min="2" max="2" width="18.88671875" style="86" bestFit="1" customWidth="1"/>
    <col min="3" max="3" width="35.6640625" style="86" bestFit="1" customWidth="1"/>
    <col min="4" max="4" width="36.21875" style="86" bestFit="1" customWidth="1"/>
  </cols>
  <sheetData>
    <row r="1" spans="1:6">
      <c r="A1" s="65" t="s">
        <v>3</v>
      </c>
      <c r="B1" s="65" t="s">
        <v>73</v>
      </c>
      <c r="C1" s="65" t="s">
        <v>74</v>
      </c>
      <c r="D1" s="65" t="s">
        <v>75</v>
      </c>
    </row>
    <row r="2" spans="1:6">
      <c r="A2" s="67" t="s">
        <v>18</v>
      </c>
      <c r="B2" s="68" t="s">
        <v>76</v>
      </c>
      <c r="C2" s="69" t="s">
        <v>77</v>
      </c>
      <c r="D2" s="70" t="s">
        <v>78</v>
      </c>
    </row>
    <row r="3" spans="1:6">
      <c r="A3" s="71" t="s">
        <v>20</v>
      </c>
      <c r="B3" s="68" t="s">
        <v>79</v>
      </c>
      <c r="C3" s="69" t="s">
        <v>80</v>
      </c>
      <c r="D3" s="70" t="s">
        <v>81</v>
      </c>
      <c r="E3" t="s">
        <v>195</v>
      </c>
      <c r="F3" t="s">
        <v>194</v>
      </c>
    </row>
    <row r="4" spans="1:6">
      <c r="A4" s="67" t="s">
        <v>21</v>
      </c>
      <c r="B4" s="68" t="s">
        <v>82</v>
      </c>
      <c r="C4" s="69" t="s">
        <v>83</v>
      </c>
      <c r="D4" s="70" t="s">
        <v>84</v>
      </c>
      <c r="E4">
        <f>21.1 + 14.9 + 14.5+10.8+6.3+2+1.9</f>
        <v>71.5</v>
      </c>
      <c r="F4">
        <f>100-E4</f>
        <v>28.5</v>
      </c>
    </row>
    <row r="5" spans="1:6">
      <c r="A5" s="67" t="s">
        <v>22</v>
      </c>
      <c r="B5" s="68" t="s">
        <v>85</v>
      </c>
      <c r="C5" s="69" t="s">
        <v>86</v>
      </c>
      <c r="D5" s="70" t="s">
        <v>87</v>
      </c>
    </row>
    <row r="6" spans="1:6">
      <c r="A6" s="71" t="s">
        <v>23</v>
      </c>
      <c r="B6" s="68" t="s">
        <v>88</v>
      </c>
      <c r="C6" s="69" t="s">
        <v>89</v>
      </c>
      <c r="D6" s="70" t="s">
        <v>90</v>
      </c>
    </row>
    <row r="7" spans="1:6">
      <c r="A7" s="73" t="s">
        <v>24</v>
      </c>
      <c r="B7" s="74" t="s">
        <v>91</v>
      </c>
      <c r="C7" s="75" t="s">
        <v>92</v>
      </c>
      <c r="D7" s="76" t="s">
        <v>93</v>
      </c>
    </row>
    <row r="8" spans="1:6" ht="27.6">
      <c r="A8" s="67" t="s">
        <v>25</v>
      </c>
      <c r="B8" s="68" t="s">
        <v>94</v>
      </c>
      <c r="C8" s="69" t="s">
        <v>95</v>
      </c>
      <c r="D8" s="70" t="s">
        <v>96</v>
      </c>
    </row>
    <row r="9" spans="1:6">
      <c r="A9" s="67" t="s">
        <v>26</v>
      </c>
      <c r="B9" s="68" t="s">
        <v>97</v>
      </c>
      <c r="C9" s="69" t="s">
        <v>98</v>
      </c>
      <c r="D9" s="76" t="s">
        <v>99</v>
      </c>
    </row>
    <row r="10" spans="1:6">
      <c r="A10" s="67" t="s">
        <v>28</v>
      </c>
      <c r="B10" s="68" t="s">
        <v>100</v>
      </c>
      <c r="C10" s="69" t="s">
        <v>101</v>
      </c>
      <c r="D10" s="70" t="s">
        <v>102</v>
      </c>
    </row>
    <row r="11" spans="1:6">
      <c r="A11" s="73" t="s">
        <v>29</v>
      </c>
      <c r="B11" s="74" t="s">
        <v>97</v>
      </c>
      <c r="C11" s="75" t="s">
        <v>103</v>
      </c>
      <c r="D11" s="76" t="s">
        <v>104</v>
      </c>
    </row>
    <row r="12" spans="1:6" ht="27.6">
      <c r="A12" s="67" t="s">
        <v>30</v>
      </c>
      <c r="B12" s="68" t="s">
        <v>105</v>
      </c>
      <c r="C12" s="69" t="s">
        <v>106</v>
      </c>
      <c r="D12" s="70" t="s">
        <v>107</v>
      </c>
      <c r="E12">
        <f>52.5</f>
        <v>52.5</v>
      </c>
      <c r="F12">
        <f>100-E12</f>
        <v>47.5</v>
      </c>
    </row>
    <row r="13" spans="1:6" ht="27.6">
      <c r="A13" s="73" t="s">
        <v>31</v>
      </c>
      <c r="B13" s="74" t="s">
        <v>108</v>
      </c>
      <c r="C13" s="75" t="s">
        <v>109</v>
      </c>
      <c r="D13" s="76" t="s">
        <v>110</v>
      </c>
    </row>
    <row r="14" spans="1:6">
      <c r="A14" s="67" t="s">
        <v>33</v>
      </c>
      <c r="B14" s="68" t="s">
        <v>111</v>
      </c>
      <c r="C14" s="69" t="s">
        <v>112</v>
      </c>
      <c r="D14" s="70" t="s">
        <v>113</v>
      </c>
    </row>
    <row r="15" spans="1:6">
      <c r="A15" s="67" t="s">
        <v>34</v>
      </c>
      <c r="B15" s="68" t="s">
        <v>111</v>
      </c>
      <c r="C15" s="69" t="s">
        <v>112</v>
      </c>
      <c r="D15" s="77" t="s">
        <v>114</v>
      </c>
    </row>
    <row r="16" spans="1:6" ht="27.6">
      <c r="A16" s="73" t="s">
        <v>35</v>
      </c>
      <c r="B16" s="74" t="s">
        <v>115</v>
      </c>
      <c r="C16" s="75" t="s">
        <v>116</v>
      </c>
      <c r="D16" s="77" t="s">
        <v>117</v>
      </c>
    </row>
    <row r="17" spans="1:4">
      <c r="A17" s="67" t="s">
        <v>36</v>
      </c>
      <c r="B17" s="68" t="s">
        <v>118</v>
      </c>
      <c r="C17" s="69" t="s">
        <v>119</v>
      </c>
      <c r="D17" s="78" t="s">
        <v>120</v>
      </c>
    </row>
    <row r="18" spans="1:4">
      <c r="A18" s="73" t="s">
        <v>38</v>
      </c>
      <c r="B18" s="74" t="s">
        <v>121</v>
      </c>
      <c r="C18" s="75" t="s">
        <v>122</v>
      </c>
      <c r="D18" s="77" t="s">
        <v>123</v>
      </c>
    </row>
    <row r="19" spans="1:4">
      <c r="A19" s="73" t="s">
        <v>40</v>
      </c>
      <c r="B19" s="74" t="s">
        <v>118</v>
      </c>
      <c r="C19" s="75" t="s">
        <v>119</v>
      </c>
      <c r="D19" s="77" t="s">
        <v>124</v>
      </c>
    </row>
    <row r="20" spans="1:4">
      <c r="A20" s="67" t="s">
        <v>41</v>
      </c>
      <c r="B20" s="68" t="s">
        <v>125</v>
      </c>
      <c r="C20" s="69" t="s">
        <v>126</v>
      </c>
      <c r="D20" s="66" t="s">
        <v>127</v>
      </c>
    </row>
    <row r="21" spans="1:4">
      <c r="A21" s="67" t="s">
        <v>43</v>
      </c>
      <c r="B21" s="68" t="s">
        <v>128</v>
      </c>
      <c r="C21" s="69" t="s">
        <v>129</v>
      </c>
      <c r="D21" s="66" t="s">
        <v>96</v>
      </c>
    </row>
    <row r="22" spans="1:4">
      <c r="A22" s="67" t="s">
        <v>44</v>
      </c>
      <c r="B22" s="68" t="s">
        <v>128</v>
      </c>
      <c r="C22" s="69" t="s">
        <v>129</v>
      </c>
      <c r="D22" s="66" t="s">
        <v>130</v>
      </c>
    </row>
    <row r="23" spans="1:4">
      <c r="A23" s="73" t="s">
        <v>45</v>
      </c>
      <c r="B23" s="74" t="s">
        <v>131</v>
      </c>
      <c r="C23" s="75" t="s">
        <v>132</v>
      </c>
      <c r="D23" s="72" t="s">
        <v>133</v>
      </c>
    </row>
    <row r="24" spans="1:4" ht="27.6">
      <c r="A24" s="73" t="s">
        <v>46</v>
      </c>
      <c r="B24" s="74" t="s">
        <v>134</v>
      </c>
      <c r="C24" s="75" t="s">
        <v>135</v>
      </c>
      <c r="D24" s="72" t="s">
        <v>136</v>
      </c>
    </row>
    <row r="25" spans="1:4">
      <c r="A25" s="67" t="s">
        <v>47</v>
      </c>
      <c r="B25" s="68" t="s">
        <v>137</v>
      </c>
      <c r="C25" s="69" t="s">
        <v>138</v>
      </c>
      <c r="D25" s="66" t="s">
        <v>139</v>
      </c>
    </row>
    <row r="26" spans="1:4">
      <c r="A26" s="67" t="s">
        <v>48</v>
      </c>
      <c r="B26" s="68" t="s">
        <v>85</v>
      </c>
      <c r="C26" s="69" t="s">
        <v>140</v>
      </c>
      <c r="D26" s="66" t="s">
        <v>141</v>
      </c>
    </row>
    <row r="27" spans="1:4">
      <c r="A27" s="73" t="s">
        <v>49</v>
      </c>
      <c r="B27" s="74" t="s">
        <v>142</v>
      </c>
      <c r="C27" s="75" t="s">
        <v>122</v>
      </c>
      <c r="D27" s="72" t="s">
        <v>143</v>
      </c>
    </row>
    <row r="28" spans="1:4" ht="27.6">
      <c r="A28" s="67" t="s">
        <v>50</v>
      </c>
      <c r="B28" s="68" t="s">
        <v>144</v>
      </c>
      <c r="C28" s="69" t="s">
        <v>145</v>
      </c>
      <c r="D28" s="66" t="s">
        <v>146</v>
      </c>
    </row>
    <row r="29" spans="1:4" ht="27.6">
      <c r="A29" s="67" t="s">
        <v>51</v>
      </c>
      <c r="B29" s="68" t="s">
        <v>144</v>
      </c>
      <c r="C29" s="69" t="s">
        <v>145</v>
      </c>
      <c r="D29" s="66" t="s">
        <v>147</v>
      </c>
    </row>
    <row r="30" spans="1:4" ht="27.6">
      <c r="A30" s="67" t="s">
        <v>52</v>
      </c>
      <c r="B30" s="68" t="s">
        <v>144</v>
      </c>
      <c r="C30" s="69" t="s">
        <v>145</v>
      </c>
      <c r="D30" s="66" t="s">
        <v>148</v>
      </c>
    </row>
    <row r="31" spans="1:4">
      <c r="A31" s="80" t="s">
        <v>53</v>
      </c>
      <c r="B31" s="81" t="s">
        <v>131</v>
      </c>
      <c r="C31" s="82" t="s">
        <v>149</v>
      </c>
      <c r="D31" s="79" t="s">
        <v>150</v>
      </c>
    </row>
    <row r="32" spans="1:4" ht="27.6">
      <c r="A32" s="80" t="s">
        <v>54</v>
      </c>
      <c r="B32" s="81" t="s">
        <v>151</v>
      </c>
      <c r="C32" s="82" t="s">
        <v>152</v>
      </c>
      <c r="D32" s="79" t="s">
        <v>153</v>
      </c>
    </row>
    <row r="33" spans="1:4">
      <c r="A33" s="67" t="s">
        <v>55</v>
      </c>
      <c r="B33" s="68" t="s">
        <v>154</v>
      </c>
      <c r="C33" s="69" t="s">
        <v>140</v>
      </c>
      <c r="D33" s="66" t="s">
        <v>96</v>
      </c>
    </row>
    <row r="34" spans="1:4" ht="27.6">
      <c r="A34" s="67" t="s">
        <v>56</v>
      </c>
      <c r="B34" s="68" t="s">
        <v>155</v>
      </c>
      <c r="C34" s="69" t="s">
        <v>156</v>
      </c>
      <c r="D34" s="66" t="s">
        <v>157</v>
      </c>
    </row>
    <row r="35" spans="1:4">
      <c r="A35" s="73" t="s">
        <v>57</v>
      </c>
      <c r="B35" s="74" t="s">
        <v>158</v>
      </c>
      <c r="C35" s="75" t="s">
        <v>159</v>
      </c>
      <c r="D35" s="72" t="s">
        <v>160</v>
      </c>
    </row>
    <row r="36" spans="1:4" ht="27.6">
      <c r="A36" s="67" t="s">
        <v>58</v>
      </c>
      <c r="B36" s="68" t="s">
        <v>155</v>
      </c>
      <c r="C36" s="69" t="s">
        <v>156</v>
      </c>
      <c r="D36" s="66" t="s">
        <v>161</v>
      </c>
    </row>
    <row r="37" spans="1:4">
      <c r="A37" s="67" t="s">
        <v>59</v>
      </c>
      <c r="B37" s="68" t="s">
        <v>162</v>
      </c>
      <c r="C37" s="69" t="s">
        <v>163</v>
      </c>
      <c r="D37" s="66" t="s">
        <v>164</v>
      </c>
    </row>
    <row r="38" spans="1:4">
      <c r="A38" s="67" t="s">
        <v>60</v>
      </c>
      <c r="B38" s="68" t="s">
        <v>165</v>
      </c>
      <c r="C38" s="69" t="s">
        <v>166</v>
      </c>
      <c r="D38" s="66" t="s">
        <v>167</v>
      </c>
    </row>
    <row r="39" spans="1:4">
      <c r="A39" s="73" t="s">
        <v>61</v>
      </c>
      <c r="B39" s="74" t="s">
        <v>168</v>
      </c>
      <c r="C39" s="75" t="s">
        <v>169</v>
      </c>
      <c r="D39" s="72" t="s">
        <v>170</v>
      </c>
    </row>
    <row r="40" spans="1:4" ht="27.6">
      <c r="A40" s="67" t="s">
        <v>62</v>
      </c>
      <c r="B40" s="68" t="s">
        <v>165</v>
      </c>
      <c r="C40" s="69" t="s">
        <v>171</v>
      </c>
      <c r="D40" s="66" t="s">
        <v>172</v>
      </c>
    </row>
    <row r="41" spans="1:4">
      <c r="A41" s="80" t="s">
        <v>63</v>
      </c>
      <c r="B41" s="81" t="s">
        <v>131</v>
      </c>
      <c r="C41" s="82" t="s">
        <v>149</v>
      </c>
      <c r="D41" s="79" t="s">
        <v>173</v>
      </c>
    </row>
    <row r="42" spans="1:4">
      <c r="A42" s="67" t="s">
        <v>64</v>
      </c>
      <c r="B42" s="68" t="s">
        <v>174</v>
      </c>
      <c r="C42" s="69" t="s">
        <v>175</v>
      </c>
      <c r="D42" s="66" t="s">
        <v>176</v>
      </c>
    </row>
    <row r="43" spans="1:4">
      <c r="A43" s="80" t="s">
        <v>65</v>
      </c>
      <c r="B43" s="81" t="s">
        <v>131</v>
      </c>
      <c r="C43" s="82" t="s">
        <v>149</v>
      </c>
      <c r="D43" s="79" t="s">
        <v>177</v>
      </c>
    </row>
    <row r="44" spans="1:4">
      <c r="A44" s="73" t="s">
        <v>66</v>
      </c>
      <c r="B44" s="74" t="s">
        <v>178</v>
      </c>
      <c r="C44" s="75" t="s">
        <v>179</v>
      </c>
      <c r="D44" s="72" t="s">
        <v>153</v>
      </c>
    </row>
    <row r="45" spans="1:4" ht="27.6">
      <c r="A45" s="83" t="s">
        <v>67</v>
      </c>
      <c r="B45" s="84" t="s">
        <v>180</v>
      </c>
      <c r="C45" s="85" t="s">
        <v>181</v>
      </c>
      <c r="D45" s="64" t="s">
        <v>182</v>
      </c>
    </row>
    <row r="46" spans="1:4" ht="27.6">
      <c r="A46" s="83" t="s">
        <v>68</v>
      </c>
      <c r="B46" s="84" t="s">
        <v>180</v>
      </c>
      <c r="C46" s="85" t="s">
        <v>181</v>
      </c>
      <c r="D46" s="64" t="s">
        <v>183</v>
      </c>
    </row>
    <row r="47" spans="1:4" ht="26.4">
      <c r="A47" s="80" t="s">
        <v>69</v>
      </c>
      <c r="B47" s="81" t="s">
        <v>184</v>
      </c>
      <c r="C47" s="82" t="s">
        <v>185</v>
      </c>
      <c r="D47" s="79" t="s">
        <v>186</v>
      </c>
    </row>
    <row r="48" spans="1:4">
      <c r="A48" s="67" t="s">
        <v>70</v>
      </c>
      <c r="B48" s="68" t="s">
        <v>162</v>
      </c>
      <c r="C48" s="69" t="s">
        <v>163</v>
      </c>
      <c r="D48" s="66" t="s">
        <v>164</v>
      </c>
    </row>
    <row r="49" spans="1:4">
      <c r="A49" s="83" t="s">
        <v>71</v>
      </c>
      <c r="B49" s="84" t="s">
        <v>187</v>
      </c>
      <c r="C49" s="85" t="s">
        <v>188</v>
      </c>
      <c r="D49" s="64" t="s">
        <v>189</v>
      </c>
    </row>
    <row r="50" spans="1:4">
      <c r="A50" s="83" t="s">
        <v>72</v>
      </c>
      <c r="B50" s="84" t="s">
        <v>190</v>
      </c>
      <c r="C50" s="85" t="s">
        <v>191</v>
      </c>
      <c r="D50" s="64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8990-386E-473D-8783-FECE1A8E7893}">
  <dimension ref="A1:B2557"/>
  <sheetViews>
    <sheetView workbookViewId="0">
      <selection activeCell="J11" sqref="J11"/>
    </sheetView>
  </sheetViews>
  <sheetFormatPr baseColWidth="10" defaultRowHeight="14.4"/>
  <cols>
    <col min="1" max="1" width="15.5546875" bestFit="1" customWidth="1"/>
  </cols>
  <sheetData>
    <row r="1" spans="1:2">
      <c r="A1" t="s">
        <v>198</v>
      </c>
      <c r="B1" t="s">
        <v>199</v>
      </c>
    </row>
    <row r="2" spans="1:2">
      <c r="A2" s="10">
        <v>42446</v>
      </c>
      <c r="B2">
        <v>3043.1</v>
      </c>
    </row>
    <row r="3" spans="1:2">
      <c r="A3" s="10">
        <v>42447</v>
      </c>
      <c r="B3">
        <v>3059.77</v>
      </c>
    </row>
    <row r="4" spans="1:2">
      <c r="A4" s="10">
        <v>42450</v>
      </c>
      <c r="B4">
        <v>3048.77</v>
      </c>
    </row>
    <row r="5" spans="1:2">
      <c r="A5" s="10">
        <v>42451</v>
      </c>
      <c r="B5">
        <v>3051.23</v>
      </c>
    </row>
    <row r="6" spans="1:2">
      <c r="A6" s="10">
        <v>42452</v>
      </c>
      <c r="B6">
        <v>3042.42</v>
      </c>
    </row>
    <row r="7" spans="1:2">
      <c r="A7" s="10">
        <v>42453</v>
      </c>
      <c r="B7">
        <v>2986.73</v>
      </c>
    </row>
    <row r="8" spans="1:2">
      <c r="A8" s="10">
        <v>42458</v>
      </c>
      <c r="B8">
        <v>3004.87</v>
      </c>
    </row>
    <row r="9" spans="1:2">
      <c r="A9" s="10">
        <v>42459</v>
      </c>
      <c r="B9">
        <v>3044.1</v>
      </c>
    </row>
    <row r="10" spans="1:2">
      <c r="A10" s="10">
        <v>42460</v>
      </c>
      <c r="B10">
        <v>3004.93</v>
      </c>
    </row>
    <row r="11" spans="1:2">
      <c r="A11" s="10">
        <v>42461</v>
      </c>
      <c r="B11">
        <v>2953.28</v>
      </c>
    </row>
    <row r="12" spans="1:2">
      <c r="A12" s="10">
        <v>42464</v>
      </c>
      <c r="B12">
        <v>2962.28</v>
      </c>
    </row>
    <row r="13" spans="1:2">
      <c r="A13" s="10">
        <v>42465</v>
      </c>
      <c r="B13">
        <v>2890.35</v>
      </c>
    </row>
    <row r="14" spans="1:2">
      <c r="A14" s="10">
        <v>42466</v>
      </c>
      <c r="B14">
        <v>2909.36</v>
      </c>
    </row>
    <row r="15" spans="1:2">
      <c r="A15" s="10">
        <v>42467</v>
      </c>
      <c r="B15">
        <v>2871.57</v>
      </c>
    </row>
    <row r="16" spans="1:2">
      <c r="A16" s="10">
        <v>42468</v>
      </c>
      <c r="B16">
        <v>2911.98</v>
      </c>
    </row>
    <row r="17" spans="1:2">
      <c r="A17" s="10">
        <v>42471</v>
      </c>
      <c r="B17">
        <v>2924.23</v>
      </c>
    </row>
    <row r="18" spans="1:2">
      <c r="A18" s="10">
        <v>42472</v>
      </c>
      <c r="B18">
        <v>2942.09</v>
      </c>
    </row>
    <row r="19" spans="1:2">
      <c r="A19" s="10">
        <v>42473</v>
      </c>
      <c r="B19">
        <v>3039.19</v>
      </c>
    </row>
    <row r="20" spans="1:2">
      <c r="A20" s="10">
        <v>42474</v>
      </c>
      <c r="B20">
        <v>3060.86</v>
      </c>
    </row>
    <row r="21" spans="1:2">
      <c r="A21" s="10">
        <v>42475</v>
      </c>
      <c r="B21">
        <v>3054.34</v>
      </c>
    </row>
    <row r="22" spans="1:2">
      <c r="A22" s="10">
        <v>42478</v>
      </c>
      <c r="B22">
        <v>3064.03</v>
      </c>
    </row>
    <row r="23" spans="1:2">
      <c r="A23" s="10">
        <v>42479</v>
      </c>
      <c r="B23">
        <v>3112.99</v>
      </c>
    </row>
    <row r="24" spans="1:2">
      <c r="A24" s="10">
        <v>42480</v>
      </c>
      <c r="B24">
        <v>3142.52</v>
      </c>
    </row>
    <row r="25" spans="1:2">
      <c r="A25" s="10">
        <v>42481</v>
      </c>
      <c r="B25">
        <v>3151.69</v>
      </c>
    </row>
    <row r="26" spans="1:2">
      <c r="A26" s="10">
        <v>42482</v>
      </c>
      <c r="B26">
        <v>3141.12</v>
      </c>
    </row>
    <row r="27" spans="1:2">
      <c r="A27" s="10">
        <v>42485</v>
      </c>
      <c r="B27">
        <v>3117.62</v>
      </c>
    </row>
    <row r="28" spans="1:2">
      <c r="A28" s="10">
        <v>42486</v>
      </c>
      <c r="B28">
        <v>3121.29</v>
      </c>
    </row>
    <row r="29" spans="1:2">
      <c r="A29" s="10">
        <v>42487</v>
      </c>
      <c r="B29">
        <v>3130.43</v>
      </c>
    </row>
    <row r="30" spans="1:2">
      <c r="A30" s="10">
        <v>42488</v>
      </c>
      <c r="B30">
        <v>3125.43</v>
      </c>
    </row>
    <row r="31" spans="1:2">
      <c r="A31" s="10">
        <v>42489</v>
      </c>
      <c r="B31">
        <v>3028.21</v>
      </c>
    </row>
    <row r="32" spans="1:2">
      <c r="A32" s="10">
        <v>42492</v>
      </c>
      <c r="B32">
        <v>3032.6</v>
      </c>
    </row>
    <row r="33" spans="1:2">
      <c r="A33" s="10">
        <v>42493</v>
      </c>
      <c r="B33">
        <v>2974.2</v>
      </c>
    </row>
    <row r="34" spans="1:2">
      <c r="A34" s="10">
        <v>42494</v>
      </c>
      <c r="B34">
        <v>2938.75</v>
      </c>
    </row>
    <row r="35" spans="1:2">
      <c r="A35" s="10">
        <v>42495</v>
      </c>
      <c r="B35">
        <v>2940.35</v>
      </c>
    </row>
    <row r="36" spans="1:2">
      <c r="A36" s="10">
        <v>42496</v>
      </c>
      <c r="B36">
        <v>2936.84</v>
      </c>
    </row>
    <row r="37" spans="1:2">
      <c r="A37" s="10">
        <v>42499</v>
      </c>
      <c r="B37">
        <v>2955.83</v>
      </c>
    </row>
    <row r="38" spans="1:2">
      <c r="A38" s="10">
        <v>42500</v>
      </c>
      <c r="B38">
        <v>2978.97</v>
      </c>
    </row>
    <row r="39" spans="1:2">
      <c r="A39" s="10">
        <v>42501</v>
      </c>
      <c r="B39">
        <v>2956.71</v>
      </c>
    </row>
    <row r="40" spans="1:2">
      <c r="A40" s="10">
        <v>42502</v>
      </c>
      <c r="B40">
        <v>2935.46</v>
      </c>
    </row>
    <row r="41" spans="1:2">
      <c r="A41" s="10">
        <v>42503</v>
      </c>
      <c r="B41">
        <v>2956.63</v>
      </c>
    </row>
    <row r="42" spans="1:2">
      <c r="A42" s="10">
        <v>42506</v>
      </c>
      <c r="B42">
        <v>2951.39</v>
      </c>
    </row>
    <row r="43" spans="1:2">
      <c r="A43" s="10">
        <v>42507</v>
      </c>
      <c r="B43">
        <v>2938.09</v>
      </c>
    </row>
    <row r="44" spans="1:2">
      <c r="A44" s="10">
        <v>42508</v>
      </c>
      <c r="B44">
        <v>2956.43</v>
      </c>
    </row>
    <row r="45" spans="1:2">
      <c r="A45" s="10">
        <v>42509</v>
      </c>
      <c r="B45">
        <v>2919.22</v>
      </c>
    </row>
    <row r="46" spans="1:2">
      <c r="A46" s="10">
        <v>42510</v>
      </c>
      <c r="B46">
        <v>2962.16</v>
      </c>
    </row>
    <row r="47" spans="1:2">
      <c r="A47" s="10">
        <v>42513</v>
      </c>
      <c r="B47">
        <v>2932.93</v>
      </c>
    </row>
    <row r="48" spans="1:2">
      <c r="A48" s="10">
        <v>42514</v>
      </c>
      <c r="B48">
        <v>3010.12</v>
      </c>
    </row>
    <row r="49" spans="1:2">
      <c r="A49" s="10">
        <v>42515</v>
      </c>
      <c r="B49">
        <v>3061.6</v>
      </c>
    </row>
    <row r="50" spans="1:2">
      <c r="A50" s="10">
        <v>42516</v>
      </c>
      <c r="B50">
        <v>3071.21</v>
      </c>
    </row>
    <row r="51" spans="1:2">
      <c r="A51" s="10">
        <v>42517</v>
      </c>
      <c r="B51">
        <v>3078.48</v>
      </c>
    </row>
    <row r="52" spans="1:2">
      <c r="A52" s="10">
        <v>42520</v>
      </c>
      <c r="B52">
        <v>3090.01</v>
      </c>
    </row>
    <row r="53" spans="1:2">
      <c r="A53" s="10">
        <v>42521</v>
      </c>
      <c r="B53">
        <v>3063.48</v>
      </c>
    </row>
    <row r="54" spans="1:2">
      <c r="A54" s="10">
        <v>42522</v>
      </c>
      <c r="B54">
        <v>3038.77</v>
      </c>
    </row>
    <row r="55" spans="1:2">
      <c r="A55" s="10">
        <v>42523</v>
      </c>
      <c r="B55">
        <v>3033.86</v>
      </c>
    </row>
    <row r="56" spans="1:2">
      <c r="A56" s="10">
        <v>42524</v>
      </c>
      <c r="B56">
        <v>2997.55</v>
      </c>
    </row>
    <row r="57" spans="1:2">
      <c r="A57" s="10">
        <v>42527</v>
      </c>
      <c r="B57">
        <v>3001.9</v>
      </c>
    </row>
    <row r="58" spans="1:2">
      <c r="A58" s="10">
        <v>42528</v>
      </c>
      <c r="B58">
        <v>3040.69</v>
      </c>
    </row>
    <row r="59" spans="1:2">
      <c r="A59" s="10">
        <v>42529</v>
      </c>
      <c r="B59">
        <v>3019.76</v>
      </c>
    </row>
    <row r="60" spans="1:2">
      <c r="A60" s="10">
        <v>42530</v>
      </c>
      <c r="B60">
        <v>2989.03</v>
      </c>
    </row>
    <row r="61" spans="1:2">
      <c r="A61" s="10">
        <v>42531</v>
      </c>
      <c r="B61">
        <v>2911.11</v>
      </c>
    </row>
    <row r="62" spans="1:2">
      <c r="A62" s="10">
        <v>42534</v>
      </c>
      <c r="B62">
        <v>2853.52</v>
      </c>
    </row>
    <row r="63" spans="1:2">
      <c r="A63" s="10">
        <v>42535</v>
      </c>
      <c r="B63">
        <v>2797.18</v>
      </c>
    </row>
    <row r="64" spans="1:2">
      <c r="A64" s="10">
        <v>42536</v>
      </c>
      <c r="B64">
        <v>2830.3</v>
      </c>
    </row>
    <row r="65" spans="1:2">
      <c r="A65" s="10">
        <v>42537</v>
      </c>
      <c r="B65">
        <v>2819.3</v>
      </c>
    </row>
    <row r="66" spans="1:2">
      <c r="A66" s="10">
        <v>42538</v>
      </c>
      <c r="B66">
        <v>2849.17</v>
      </c>
    </row>
    <row r="67" spans="1:2">
      <c r="A67" s="10">
        <v>42541</v>
      </c>
      <c r="B67">
        <v>2942.88</v>
      </c>
    </row>
    <row r="68" spans="1:2">
      <c r="A68" s="10">
        <v>42542</v>
      </c>
      <c r="B68">
        <v>2967.34</v>
      </c>
    </row>
    <row r="69" spans="1:2">
      <c r="A69" s="10">
        <v>42543</v>
      </c>
      <c r="B69">
        <v>2978.31</v>
      </c>
    </row>
    <row r="70" spans="1:2">
      <c r="A70" s="10">
        <v>42544</v>
      </c>
      <c r="B70">
        <v>3037.86</v>
      </c>
    </row>
    <row r="71" spans="1:2">
      <c r="A71" s="10">
        <v>42545</v>
      </c>
      <c r="B71">
        <v>2776.09</v>
      </c>
    </row>
    <row r="72" spans="1:2">
      <c r="A72" s="10">
        <v>42548</v>
      </c>
      <c r="B72">
        <v>2697.44</v>
      </c>
    </row>
    <row r="73" spans="1:2">
      <c r="A73" s="10">
        <v>42549</v>
      </c>
      <c r="B73">
        <v>2758.67</v>
      </c>
    </row>
    <row r="74" spans="1:2">
      <c r="A74" s="10">
        <v>42550</v>
      </c>
      <c r="B74">
        <v>2832.18</v>
      </c>
    </row>
    <row r="75" spans="1:2">
      <c r="A75" s="10">
        <v>42551</v>
      </c>
      <c r="B75">
        <v>2864.74</v>
      </c>
    </row>
    <row r="76" spans="1:2">
      <c r="A76" s="10">
        <v>42552</v>
      </c>
      <c r="B76">
        <v>2883.06</v>
      </c>
    </row>
    <row r="77" spans="1:2">
      <c r="A77" s="10">
        <v>42555</v>
      </c>
      <c r="B77">
        <v>2862.21</v>
      </c>
    </row>
    <row r="78" spans="1:2">
      <c r="A78" s="10">
        <v>42556</v>
      </c>
      <c r="B78">
        <v>2812.88</v>
      </c>
    </row>
    <row r="79" spans="1:2">
      <c r="A79" s="10">
        <v>42557</v>
      </c>
      <c r="B79">
        <v>2761.37</v>
      </c>
    </row>
    <row r="80" spans="1:2">
      <c r="A80" s="10">
        <v>42558</v>
      </c>
      <c r="B80">
        <v>2780.1</v>
      </c>
    </row>
    <row r="81" spans="1:2">
      <c r="A81" s="10">
        <v>42559</v>
      </c>
      <c r="B81">
        <v>2838.01</v>
      </c>
    </row>
    <row r="82" spans="1:2">
      <c r="A82" s="10">
        <v>42562</v>
      </c>
      <c r="B82">
        <v>2885.32</v>
      </c>
    </row>
    <row r="83" spans="1:2">
      <c r="A83" s="10">
        <v>42563</v>
      </c>
      <c r="B83">
        <v>2933.44</v>
      </c>
    </row>
    <row r="84" spans="1:2">
      <c r="A84" s="10">
        <v>42564</v>
      </c>
      <c r="B84">
        <v>2926.14</v>
      </c>
    </row>
    <row r="85" spans="1:2">
      <c r="A85" s="10">
        <v>42565</v>
      </c>
      <c r="B85">
        <v>2963.07</v>
      </c>
    </row>
    <row r="86" spans="1:2">
      <c r="A86" s="10">
        <v>42566</v>
      </c>
      <c r="B86">
        <v>2958.65</v>
      </c>
    </row>
    <row r="87" spans="1:2">
      <c r="A87" s="10">
        <v>42569</v>
      </c>
      <c r="B87">
        <v>2949.17</v>
      </c>
    </row>
    <row r="88" spans="1:2">
      <c r="A88" s="10">
        <v>42570</v>
      </c>
      <c r="B88">
        <v>2931.1</v>
      </c>
    </row>
    <row r="89" spans="1:2">
      <c r="A89" s="10">
        <v>42571</v>
      </c>
      <c r="B89">
        <v>2966.95</v>
      </c>
    </row>
    <row r="90" spans="1:2">
      <c r="A90" s="10">
        <v>42572</v>
      </c>
      <c r="B90">
        <v>2968.49</v>
      </c>
    </row>
    <row r="91" spans="1:2">
      <c r="A91" s="10">
        <v>42573</v>
      </c>
      <c r="B91">
        <v>2972.23</v>
      </c>
    </row>
    <row r="92" spans="1:2">
      <c r="A92" s="10">
        <v>42576</v>
      </c>
      <c r="B92">
        <v>2973.22</v>
      </c>
    </row>
    <row r="93" spans="1:2">
      <c r="A93" s="10">
        <v>42577</v>
      </c>
      <c r="B93">
        <v>2978.9</v>
      </c>
    </row>
    <row r="94" spans="1:2">
      <c r="A94" s="10">
        <v>42578</v>
      </c>
      <c r="B94">
        <v>2999.48</v>
      </c>
    </row>
    <row r="95" spans="1:2">
      <c r="A95" s="10">
        <v>42579</v>
      </c>
      <c r="B95">
        <v>2966.1</v>
      </c>
    </row>
    <row r="96" spans="1:2">
      <c r="A96" s="10">
        <v>42580</v>
      </c>
      <c r="B96">
        <v>2990.76</v>
      </c>
    </row>
    <row r="97" spans="1:2">
      <c r="A97" s="10">
        <v>42583</v>
      </c>
      <c r="B97">
        <v>2967.31</v>
      </c>
    </row>
    <row r="98" spans="1:2">
      <c r="A98" s="10">
        <v>42584</v>
      </c>
      <c r="B98">
        <v>2906.98</v>
      </c>
    </row>
    <row r="99" spans="1:2">
      <c r="A99" s="10">
        <v>42585</v>
      </c>
      <c r="B99">
        <v>2911.06</v>
      </c>
    </row>
    <row r="100" spans="1:2">
      <c r="A100" s="10">
        <v>42586</v>
      </c>
      <c r="B100">
        <v>2932.34</v>
      </c>
    </row>
    <row r="101" spans="1:2">
      <c r="A101" s="10">
        <v>42587</v>
      </c>
      <c r="B101">
        <v>2973.71</v>
      </c>
    </row>
    <row r="102" spans="1:2">
      <c r="A102" s="10">
        <v>42590</v>
      </c>
      <c r="B102">
        <v>2982.92</v>
      </c>
    </row>
    <row r="103" spans="1:2">
      <c r="A103" s="10">
        <v>42591</v>
      </c>
      <c r="B103">
        <v>3029.18</v>
      </c>
    </row>
    <row r="104" spans="1:2">
      <c r="A104" s="10">
        <v>42592</v>
      </c>
      <c r="B104">
        <v>3018.46</v>
      </c>
    </row>
    <row r="105" spans="1:2">
      <c r="A105" s="10">
        <v>42593</v>
      </c>
      <c r="B105">
        <v>3049.03</v>
      </c>
    </row>
    <row r="106" spans="1:2">
      <c r="A106" s="10">
        <v>42594</v>
      </c>
      <c r="B106">
        <v>3044.94</v>
      </c>
    </row>
    <row r="107" spans="1:2">
      <c r="A107" s="10">
        <v>42597</v>
      </c>
      <c r="B107">
        <v>3046.65</v>
      </c>
    </row>
    <row r="108" spans="1:2">
      <c r="A108" s="10">
        <v>42598</v>
      </c>
      <c r="B108">
        <v>3016.19</v>
      </c>
    </row>
    <row r="109" spans="1:2">
      <c r="A109" s="10">
        <v>42599</v>
      </c>
      <c r="B109">
        <v>2980.54</v>
      </c>
    </row>
    <row r="110" spans="1:2">
      <c r="A110" s="10">
        <v>42600</v>
      </c>
      <c r="B110">
        <v>2995.3</v>
      </c>
    </row>
    <row r="111" spans="1:2">
      <c r="A111" s="10">
        <v>42601</v>
      </c>
      <c r="B111">
        <v>2968.2</v>
      </c>
    </row>
    <row r="112" spans="1:2">
      <c r="A112" s="10">
        <v>42604</v>
      </c>
      <c r="B112">
        <v>2960.37</v>
      </c>
    </row>
    <row r="113" spans="1:2">
      <c r="A113" s="10">
        <v>42605</v>
      </c>
      <c r="B113">
        <v>2993.73</v>
      </c>
    </row>
    <row r="114" spans="1:2">
      <c r="A114" s="10">
        <v>42606</v>
      </c>
      <c r="B114">
        <v>3008.59</v>
      </c>
    </row>
    <row r="115" spans="1:2">
      <c r="A115" s="10">
        <v>42607</v>
      </c>
      <c r="B115">
        <v>2987.69</v>
      </c>
    </row>
    <row r="116" spans="1:2">
      <c r="A116" s="10">
        <v>42608</v>
      </c>
      <c r="B116">
        <v>3010.36</v>
      </c>
    </row>
    <row r="117" spans="1:2">
      <c r="A117" s="10">
        <v>42611</v>
      </c>
      <c r="B117">
        <v>2998.5</v>
      </c>
    </row>
    <row r="118" spans="1:2">
      <c r="A118" s="10">
        <v>42612</v>
      </c>
      <c r="B118">
        <v>3030.75</v>
      </c>
    </row>
    <row r="119" spans="1:2">
      <c r="A119" s="10">
        <v>42613</v>
      </c>
      <c r="B119">
        <v>3023.13</v>
      </c>
    </row>
    <row r="120" spans="1:2">
      <c r="A120" s="10">
        <v>42614</v>
      </c>
      <c r="B120">
        <v>3017.49</v>
      </c>
    </row>
    <row r="121" spans="1:2">
      <c r="A121" s="10">
        <v>42615</v>
      </c>
      <c r="B121">
        <v>3079.74</v>
      </c>
    </row>
    <row r="122" spans="1:2">
      <c r="A122" s="10">
        <v>42618</v>
      </c>
      <c r="B122">
        <v>3077.66</v>
      </c>
    </row>
    <row r="123" spans="1:2">
      <c r="A123" s="10">
        <v>42619</v>
      </c>
      <c r="B123">
        <v>3070.16</v>
      </c>
    </row>
    <row r="124" spans="1:2">
      <c r="A124" s="10">
        <v>42620</v>
      </c>
      <c r="B124">
        <v>3091.66</v>
      </c>
    </row>
    <row r="125" spans="1:2">
      <c r="A125" s="10">
        <v>42621</v>
      </c>
      <c r="B125">
        <v>3083.54</v>
      </c>
    </row>
    <row r="126" spans="1:2">
      <c r="A126" s="10">
        <v>42622</v>
      </c>
      <c r="B126">
        <v>3053.2</v>
      </c>
    </row>
    <row r="127" spans="1:2">
      <c r="A127" s="10">
        <v>42625</v>
      </c>
      <c r="B127">
        <v>3012.88</v>
      </c>
    </row>
    <row r="128" spans="1:2">
      <c r="A128" s="10">
        <v>42626</v>
      </c>
      <c r="B128">
        <v>2974.8</v>
      </c>
    </row>
    <row r="129" spans="1:2">
      <c r="A129" s="10">
        <v>42627</v>
      </c>
      <c r="B129">
        <v>2964.9</v>
      </c>
    </row>
    <row r="130" spans="1:2">
      <c r="A130" s="10">
        <v>42628</v>
      </c>
      <c r="B130">
        <v>2973.77</v>
      </c>
    </row>
    <row r="131" spans="1:2">
      <c r="A131" s="10">
        <v>42629</v>
      </c>
      <c r="B131">
        <v>2935.25</v>
      </c>
    </row>
    <row r="132" spans="1:2">
      <c r="A132" s="10">
        <v>42632</v>
      </c>
      <c r="B132">
        <v>2968.31</v>
      </c>
    </row>
    <row r="133" spans="1:2">
      <c r="A133" s="10">
        <v>42633</v>
      </c>
      <c r="B133">
        <v>2964.86</v>
      </c>
    </row>
    <row r="134" spans="1:2">
      <c r="A134" s="10">
        <v>42634</v>
      </c>
      <c r="B134">
        <v>2982.18</v>
      </c>
    </row>
    <row r="135" spans="1:2">
      <c r="A135" s="10">
        <v>42635</v>
      </c>
      <c r="B135">
        <v>3051.69</v>
      </c>
    </row>
    <row r="136" spans="1:2">
      <c r="A136" s="10">
        <v>42636</v>
      </c>
      <c r="B136">
        <v>3032.31</v>
      </c>
    </row>
    <row r="137" spans="1:2">
      <c r="A137" s="10">
        <v>42639</v>
      </c>
      <c r="B137">
        <v>2975.88</v>
      </c>
    </row>
    <row r="138" spans="1:2">
      <c r="A138" s="10">
        <v>42640</v>
      </c>
      <c r="B138">
        <v>2970.84</v>
      </c>
    </row>
    <row r="139" spans="1:2">
      <c r="A139" s="10">
        <v>42641</v>
      </c>
      <c r="B139">
        <v>2991.11</v>
      </c>
    </row>
    <row r="140" spans="1:2">
      <c r="A140" s="10">
        <v>42642</v>
      </c>
      <c r="B140">
        <v>2991.58</v>
      </c>
    </row>
    <row r="141" spans="1:2">
      <c r="A141" s="10">
        <v>42643</v>
      </c>
      <c r="B141">
        <v>3002.24</v>
      </c>
    </row>
    <row r="142" spans="1:2">
      <c r="A142" s="10">
        <v>42646</v>
      </c>
      <c r="B142">
        <v>2998.5</v>
      </c>
    </row>
    <row r="143" spans="1:2">
      <c r="A143" s="10">
        <v>42647</v>
      </c>
      <c r="B143">
        <v>3029.5</v>
      </c>
    </row>
    <row r="144" spans="1:2">
      <c r="A144" s="10">
        <v>42648</v>
      </c>
      <c r="B144">
        <v>3026.28</v>
      </c>
    </row>
    <row r="145" spans="1:2">
      <c r="A145" s="10">
        <v>42649</v>
      </c>
      <c r="B145">
        <v>3021.58</v>
      </c>
    </row>
    <row r="146" spans="1:2">
      <c r="A146" s="10">
        <v>42650</v>
      </c>
      <c r="B146">
        <v>3000.57</v>
      </c>
    </row>
    <row r="147" spans="1:2">
      <c r="A147" s="10">
        <v>42653</v>
      </c>
      <c r="B147">
        <v>3035.76</v>
      </c>
    </row>
    <row r="148" spans="1:2">
      <c r="A148" s="10">
        <v>42654</v>
      </c>
      <c r="B148">
        <v>3020.69</v>
      </c>
    </row>
    <row r="149" spans="1:2">
      <c r="A149" s="10">
        <v>42655</v>
      </c>
      <c r="B149">
        <v>3008.03</v>
      </c>
    </row>
    <row r="150" spans="1:2">
      <c r="A150" s="10">
        <v>42656</v>
      </c>
      <c r="B150">
        <v>2975.04</v>
      </c>
    </row>
    <row r="151" spans="1:2">
      <c r="A151" s="10">
        <v>42657</v>
      </c>
      <c r="B151">
        <v>3025.19</v>
      </c>
    </row>
    <row r="152" spans="1:2">
      <c r="A152" s="10">
        <v>42660</v>
      </c>
      <c r="B152">
        <v>3008.72</v>
      </c>
    </row>
    <row r="153" spans="1:2">
      <c r="A153" s="10">
        <v>42661</v>
      </c>
      <c r="B153">
        <v>3046.99</v>
      </c>
    </row>
    <row r="154" spans="1:2">
      <c r="A154" s="10">
        <v>42662</v>
      </c>
      <c r="B154">
        <v>3055.94</v>
      </c>
    </row>
    <row r="155" spans="1:2">
      <c r="A155" s="10">
        <v>42663</v>
      </c>
      <c r="B155">
        <v>3076.63</v>
      </c>
    </row>
    <row r="156" spans="1:2">
      <c r="A156" s="10">
        <v>42664</v>
      </c>
      <c r="B156">
        <v>3077.65</v>
      </c>
    </row>
    <row r="157" spans="1:2">
      <c r="A157" s="10">
        <v>42667</v>
      </c>
      <c r="B157">
        <v>3093.86</v>
      </c>
    </row>
    <row r="158" spans="1:2">
      <c r="A158" s="10">
        <v>42668</v>
      </c>
      <c r="B158">
        <v>3087.41</v>
      </c>
    </row>
    <row r="159" spans="1:2">
      <c r="A159" s="10">
        <v>42669</v>
      </c>
      <c r="B159">
        <v>3080.98</v>
      </c>
    </row>
    <row r="160" spans="1:2">
      <c r="A160" s="10">
        <v>42670</v>
      </c>
      <c r="B160">
        <v>3085.17</v>
      </c>
    </row>
    <row r="161" spans="1:2">
      <c r="A161" s="10">
        <v>42671</v>
      </c>
      <c r="B161">
        <v>3079.24</v>
      </c>
    </row>
    <row r="162" spans="1:2">
      <c r="A162" s="10">
        <v>42674</v>
      </c>
      <c r="B162">
        <v>3055.25</v>
      </c>
    </row>
    <row r="163" spans="1:2">
      <c r="A163" s="10">
        <v>42675</v>
      </c>
      <c r="B163">
        <v>3023.15</v>
      </c>
    </row>
    <row r="164" spans="1:2">
      <c r="A164" s="10">
        <v>42676</v>
      </c>
      <c r="B164">
        <v>2980.17</v>
      </c>
    </row>
    <row r="165" spans="1:2">
      <c r="A165" s="10">
        <v>42677</v>
      </c>
      <c r="B165">
        <v>2973.49</v>
      </c>
    </row>
    <row r="166" spans="1:2">
      <c r="A166" s="10">
        <v>42678</v>
      </c>
      <c r="B166">
        <v>2954.53</v>
      </c>
    </row>
    <row r="167" spans="1:2">
      <c r="A167" s="10">
        <v>42681</v>
      </c>
      <c r="B167">
        <v>3009.28</v>
      </c>
    </row>
    <row r="168" spans="1:2">
      <c r="A168" s="10">
        <v>42682</v>
      </c>
      <c r="B168">
        <v>3023.43</v>
      </c>
    </row>
    <row r="169" spans="1:2">
      <c r="A169" s="10">
        <v>42683</v>
      </c>
      <c r="B169">
        <v>3056.29</v>
      </c>
    </row>
    <row r="170" spans="1:2">
      <c r="A170" s="10">
        <v>42684</v>
      </c>
      <c r="B170">
        <v>3046.59</v>
      </c>
    </row>
    <row r="171" spans="1:2">
      <c r="A171" s="10">
        <v>42685</v>
      </c>
      <c r="B171">
        <v>3030.02</v>
      </c>
    </row>
    <row r="172" spans="1:2">
      <c r="A172" s="10">
        <v>42688</v>
      </c>
      <c r="B172">
        <v>3039.8</v>
      </c>
    </row>
    <row r="173" spans="1:2">
      <c r="A173" s="10">
        <v>42689</v>
      </c>
      <c r="B173">
        <v>3049.72</v>
      </c>
    </row>
    <row r="174" spans="1:2">
      <c r="A174" s="10">
        <v>42690</v>
      </c>
      <c r="B174">
        <v>3026.36</v>
      </c>
    </row>
    <row r="175" spans="1:2">
      <c r="A175" s="10">
        <v>42691</v>
      </c>
      <c r="B175">
        <v>3041.79</v>
      </c>
    </row>
    <row r="176" spans="1:2">
      <c r="A176" s="10">
        <v>42692</v>
      </c>
      <c r="B176">
        <v>3020.83</v>
      </c>
    </row>
    <row r="177" spans="1:2">
      <c r="A177" s="10">
        <v>42695</v>
      </c>
      <c r="B177">
        <v>3032.97</v>
      </c>
    </row>
    <row r="178" spans="1:2">
      <c r="A178" s="10">
        <v>42696</v>
      </c>
      <c r="B178">
        <v>3044.33</v>
      </c>
    </row>
    <row r="179" spans="1:2">
      <c r="A179" s="10">
        <v>42697</v>
      </c>
      <c r="B179">
        <v>3032.14</v>
      </c>
    </row>
    <row r="180" spans="1:2">
      <c r="A180" s="10">
        <v>42698</v>
      </c>
      <c r="B180">
        <v>3040.6</v>
      </c>
    </row>
    <row r="181" spans="1:2">
      <c r="A181" s="10">
        <v>42699</v>
      </c>
      <c r="B181">
        <v>3048.38</v>
      </c>
    </row>
    <row r="182" spans="1:2">
      <c r="A182" s="10">
        <v>42702</v>
      </c>
      <c r="B182">
        <v>3016.8</v>
      </c>
    </row>
    <row r="183" spans="1:2">
      <c r="A183" s="10">
        <v>42703</v>
      </c>
      <c r="B183">
        <v>3038.42</v>
      </c>
    </row>
    <row r="184" spans="1:2">
      <c r="A184" s="10">
        <v>42704</v>
      </c>
      <c r="B184">
        <v>3051.61</v>
      </c>
    </row>
    <row r="185" spans="1:2">
      <c r="A185" s="10">
        <v>42705</v>
      </c>
      <c r="B185">
        <v>3030.98</v>
      </c>
    </row>
    <row r="186" spans="1:2">
      <c r="A186" s="10">
        <v>42706</v>
      </c>
      <c r="B186">
        <v>3015.13</v>
      </c>
    </row>
    <row r="187" spans="1:2">
      <c r="A187" s="10">
        <v>42709</v>
      </c>
      <c r="B187">
        <v>3052.75</v>
      </c>
    </row>
    <row r="188" spans="1:2">
      <c r="A188" s="10">
        <v>42710</v>
      </c>
      <c r="B188">
        <v>3100.76</v>
      </c>
    </row>
    <row r="189" spans="1:2">
      <c r="A189" s="10">
        <v>42711</v>
      </c>
      <c r="B189">
        <v>3142.24</v>
      </c>
    </row>
    <row r="190" spans="1:2">
      <c r="A190" s="10">
        <v>42712</v>
      </c>
      <c r="B190">
        <v>3185.79</v>
      </c>
    </row>
    <row r="191" spans="1:2">
      <c r="A191" s="10">
        <v>42713</v>
      </c>
      <c r="B191">
        <v>3197.54</v>
      </c>
    </row>
    <row r="192" spans="1:2">
      <c r="A192" s="10">
        <v>42716</v>
      </c>
      <c r="B192">
        <v>3199.11</v>
      </c>
    </row>
    <row r="193" spans="1:2">
      <c r="A193" s="10">
        <v>42717</v>
      </c>
      <c r="B193">
        <v>3236.71</v>
      </c>
    </row>
    <row r="194" spans="1:2">
      <c r="A194" s="10">
        <v>42718</v>
      </c>
      <c r="B194">
        <v>3211.71</v>
      </c>
    </row>
    <row r="195" spans="1:2">
      <c r="A195" s="10">
        <v>42719</v>
      </c>
      <c r="B195">
        <v>3249.74</v>
      </c>
    </row>
    <row r="196" spans="1:2">
      <c r="A196" s="10">
        <v>42720</v>
      </c>
      <c r="B196">
        <v>3259.24</v>
      </c>
    </row>
    <row r="197" spans="1:2">
      <c r="A197" s="10">
        <v>42723</v>
      </c>
      <c r="B197">
        <v>3257.85</v>
      </c>
    </row>
    <row r="198" spans="1:2">
      <c r="A198" s="10">
        <v>42724</v>
      </c>
      <c r="B198">
        <v>3279.41</v>
      </c>
    </row>
    <row r="199" spans="1:2">
      <c r="A199" s="10">
        <v>42725</v>
      </c>
      <c r="B199">
        <v>3270.75</v>
      </c>
    </row>
    <row r="200" spans="1:2">
      <c r="A200" s="10">
        <v>42726</v>
      </c>
      <c r="B200">
        <v>3269.51</v>
      </c>
    </row>
    <row r="201" spans="1:2">
      <c r="A201" s="10">
        <v>42727</v>
      </c>
      <c r="B201">
        <v>3273.97</v>
      </c>
    </row>
    <row r="202" spans="1:2">
      <c r="A202" s="10">
        <v>42731</v>
      </c>
      <c r="B202">
        <v>3278.53</v>
      </c>
    </row>
    <row r="203" spans="1:2">
      <c r="A203" s="10">
        <v>42732</v>
      </c>
      <c r="B203">
        <v>3278.72</v>
      </c>
    </row>
    <row r="204" spans="1:2">
      <c r="A204" s="10">
        <v>42733</v>
      </c>
      <c r="B204">
        <v>3271.76</v>
      </c>
    </row>
    <row r="205" spans="1:2">
      <c r="A205" s="10">
        <v>42734</v>
      </c>
      <c r="B205">
        <v>3290.52</v>
      </c>
    </row>
    <row r="206" spans="1:2">
      <c r="A206" s="10">
        <v>42737</v>
      </c>
      <c r="B206">
        <v>3308.67</v>
      </c>
    </row>
    <row r="207" spans="1:2">
      <c r="A207" s="10">
        <v>42738</v>
      </c>
      <c r="B207">
        <v>3315.02</v>
      </c>
    </row>
    <row r="208" spans="1:2">
      <c r="A208" s="10">
        <v>42739</v>
      </c>
      <c r="B208">
        <v>3317.52</v>
      </c>
    </row>
    <row r="209" spans="1:2">
      <c r="A209" s="10">
        <v>42740</v>
      </c>
      <c r="B209">
        <v>3316.47</v>
      </c>
    </row>
    <row r="210" spans="1:2">
      <c r="A210" s="10">
        <v>42741</v>
      </c>
      <c r="B210">
        <v>3321.17</v>
      </c>
    </row>
    <row r="211" spans="1:2">
      <c r="A211" s="10">
        <v>42744</v>
      </c>
      <c r="B211">
        <v>3308.97</v>
      </c>
    </row>
    <row r="212" spans="1:2">
      <c r="A212" s="10">
        <v>42745</v>
      </c>
      <c r="B212">
        <v>3306.21</v>
      </c>
    </row>
    <row r="213" spans="1:2">
      <c r="A213" s="10">
        <v>42746</v>
      </c>
      <c r="B213">
        <v>3307.94</v>
      </c>
    </row>
    <row r="214" spans="1:2">
      <c r="A214" s="10">
        <v>42747</v>
      </c>
      <c r="B214">
        <v>3286.7</v>
      </c>
    </row>
    <row r="215" spans="1:2">
      <c r="A215" s="10">
        <v>42748</v>
      </c>
      <c r="B215">
        <v>3324.34</v>
      </c>
    </row>
    <row r="216" spans="1:2">
      <c r="A216" s="10">
        <v>42751</v>
      </c>
      <c r="B216">
        <v>3294.53</v>
      </c>
    </row>
    <row r="217" spans="1:2">
      <c r="A217" s="10">
        <v>42752</v>
      </c>
      <c r="B217">
        <v>3285.04</v>
      </c>
    </row>
    <row r="218" spans="1:2">
      <c r="A218" s="10">
        <v>42753</v>
      </c>
      <c r="B218">
        <v>3294</v>
      </c>
    </row>
    <row r="219" spans="1:2">
      <c r="A219" s="10">
        <v>42754</v>
      </c>
      <c r="B219">
        <v>3290.33</v>
      </c>
    </row>
    <row r="220" spans="1:2">
      <c r="A220" s="10">
        <v>42755</v>
      </c>
      <c r="B220">
        <v>3299.44</v>
      </c>
    </row>
    <row r="221" spans="1:2">
      <c r="A221" s="10">
        <v>42758</v>
      </c>
      <c r="B221">
        <v>3273.04</v>
      </c>
    </row>
    <row r="222" spans="1:2">
      <c r="A222" s="10">
        <v>42759</v>
      </c>
      <c r="B222">
        <v>3281.53</v>
      </c>
    </row>
    <row r="223" spans="1:2">
      <c r="A223" s="10">
        <v>42760</v>
      </c>
      <c r="B223">
        <v>3326.15</v>
      </c>
    </row>
    <row r="224" spans="1:2">
      <c r="A224" s="10">
        <v>42761</v>
      </c>
      <c r="B224">
        <v>3319.13</v>
      </c>
    </row>
    <row r="225" spans="1:2">
      <c r="A225" s="10">
        <v>42762</v>
      </c>
      <c r="B225">
        <v>3303.33</v>
      </c>
    </row>
    <row r="226" spans="1:2">
      <c r="A226" s="10">
        <v>42765</v>
      </c>
      <c r="B226">
        <v>3262.72</v>
      </c>
    </row>
    <row r="227" spans="1:2">
      <c r="A227" s="10">
        <v>42766</v>
      </c>
      <c r="B227">
        <v>3230.68</v>
      </c>
    </row>
    <row r="228" spans="1:2">
      <c r="A228" s="10">
        <v>42767</v>
      </c>
      <c r="B228">
        <v>3258.92</v>
      </c>
    </row>
    <row r="229" spans="1:2">
      <c r="A229" s="10">
        <v>42768</v>
      </c>
      <c r="B229">
        <v>3253.61</v>
      </c>
    </row>
    <row r="230" spans="1:2">
      <c r="A230" s="10">
        <v>42769</v>
      </c>
      <c r="B230">
        <v>3273.11</v>
      </c>
    </row>
    <row r="231" spans="1:2">
      <c r="A231" s="10">
        <v>42772</v>
      </c>
      <c r="B231">
        <v>3238.31</v>
      </c>
    </row>
    <row r="232" spans="1:2">
      <c r="A232" s="10">
        <v>42773</v>
      </c>
      <c r="B232">
        <v>3235.71</v>
      </c>
    </row>
    <row r="233" spans="1:2">
      <c r="A233" s="10">
        <v>42774</v>
      </c>
      <c r="B233">
        <v>3238.04</v>
      </c>
    </row>
    <row r="234" spans="1:2">
      <c r="A234" s="10">
        <v>42775</v>
      </c>
      <c r="B234">
        <v>3277.79</v>
      </c>
    </row>
    <row r="235" spans="1:2">
      <c r="A235" s="10">
        <v>42776</v>
      </c>
      <c r="B235">
        <v>3270.83</v>
      </c>
    </row>
    <row r="236" spans="1:2">
      <c r="A236" s="10">
        <v>42779</v>
      </c>
      <c r="B236">
        <v>3305.23</v>
      </c>
    </row>
    <row r="237" spans="1:2">
      <c r="A237" s="10">
        <v>42780</v>
      </c>
      <c r="B237">
        <v>3308.89</v>
      </c>
    </row>
    <row r="238" spans="1:2">
      <c r="A238" s="10">
        <v>42781</v>
      </c>
      <c r="B238">
        <v>3323.71</v>
      </c>
    </row>
    <row r="239" spans="1:2">
      <c r="A239" s="10">
        <v>42782</v>
      </c>
      <c r="B239">
        <v>3311.04</v>
      </c>
    </row>
    <row r="240" spans="1:2">
      <c r="A240" s="10">
        <v>42783</v>
      </c>
      <c r="B240">
        <v>3308.81</v>
      </c>
    </row>
    <row r="241" spans="1:2">
      <c r="A241" s="10">
        <v>42786</v>
      </c>
      <c r="B241">
        <v>3312.39</v>
      </c>
    </row>
    <row r="242" spans="1:2">
      <c r="A242" s="10">
        <v>42787</v>
      </c>
      <c r="B242">
        <v>3339.33</v>
      </c>
    </row>
    <row r="243" spans="1:2">
      <c r="A243" s="10">
        <v>42788</v>
      </c>
      <c r="B243">
        <v>3339.27</v>
      </c>
    </row>
    <row r="244" spans="1:2">
      <c r="A244" s="10">
        <v>42789</v>
      </c>
      <c r="B244">
        <v>3333.96</v>
      </c>
    </row>
    <row r="245" spans="1:2">
      <c r="A245" s="10">
        <v>42790</v>
      </c>
      <c r="B245">
        <v>3304.09</v>
      </c>
    </row>
    <row r="246" spans="1:2">
      <c r="A246" s="10">
        <v>42793</v>
      </c>
      <c r="B246">
        <v>3309.3</v>
      </c>
    </row>
    <row r="247" spans="1:2">
      <c r="A247" s="10">
        <v>42794</v>
      </c>
      <c r="B247">
        <v>3319.61</v>
      </c>
    </row>
    <row r="248" spans="1:2">
      <c r="A248" s="10">
        <v>42795</v>
      </c>
      <c r="B248">
        <v>3390.2</v>
      </c>
    </row>
    <row r="249" spans="1:2">
      <c r="A249" s="10">
        <v>42796</v>
      </c>
      <c r="B249">
        <v>3384.71</v>
      </c>
    </row>
    <row r="250" spans="1:2">
      <c r="A250" s="10">
        <v>42797</v>
      </c>
      <c r="B250">
        <v>3403.39</v>
      </c>
    </row>
    <row r="251" spans="1:2">
      <c r="A251" s="10">
        <v>42800</v>
      </c>
      <c r="B251">
        <v>3387.46</v>
      </c>
    </row>
    <row r="252" spans="1:2">
      <c r="A252" s="10">
        <v>42801</v>
      </c>
      <c r="B252">
        <v>3385.12</v>
      </c>
    </row>
    <row r="253" spans="1:2">
      <c r="A253" s="10">
        <v>42802</v>
      </c>
      <c r="B253">
        <v>3389.62</v>
      </c>
    </row>
    <row r="254" spans="1:2">
      <c r="A254" s="10">
        <v>42803</v>
      </c>
      <c r="B254">
        <v>3409.89</v>
      </c>
    </row>
    <row r="255" spans="1:2">
      <c r="A255" s="10">
        <v>42804</v>
      </c>
      <c r="B255">
        <v>3416.27</v>
      </c>
    </row>
    <row r="256" spans="1:2">
      <c r="A256" s="10">
        <v>42807</v>
      </c>
      <c r="B256">
        <v>3415.49</v>
      </c>
    </row>
    <row r="257" spans="1:2">
      <c r="A257" s="10">
        <v>42808</v>
      </c>
      <c r="B257">
        <v>3399.43</v>
      </c>
    </row>
    <row r="258" spans="1:2">
      <c r="A258" s="10">
        <v>42809</v>
      </c>
      <c r="B258">
        <v>3409.32</v>
      </c>
    </row>
    <row r="259" spans="1:2">
      <c r="A259" s="10">
        <v>42810</v>
      </c>
      <c r="B259">
        <v>3439.96</v>
      </c>
    </row>
    <row r="260" spans="1:2">
      <c r="A260" s="10">
        <v>42811</v>
      </c>
      <c r="B260">
        <v>3448.41</v>
      </c>
    </row>
    <row r="261" spans="1:2">
      <c r="A261" s="10">
        <v>42814</v>
      </c>
      <c r="B261">
        <v>3437.48</v>
      </c>
    </row>
    <row r="262" spans="1:2">
      <c r="A262" s="10">
        <v>42815</v>
      </c>
      <c r="B262">
        <v>3429.62</v>
      </c>
    </row>
    <row r="263" spans="1:2">
      <c r="A263" s="10">
        <v>42816</v>
      </c>
      <c r="B263">
        <v>3420.7</v>
      </c>
    </row>
    <row r="264" spans="1:2">
      <c r="A264" s="10">
        <v>42817</v>
      </c>
      <c r="B264">
        <v>3452.18</v>
      </c>
    </row>
    <row r="265" spans="1:2">
      <c r="A265" s="10">
        <v>42818</v>
      </c>
      <c r="B265">
        <v>3444.15</v>
      </c>
    </row>
    <row r="266" spans="1:2">
      <c r="A266" s="10">
        <v>42821</v>
      </c>
      <c r="B266">
        <v>3437.14</v>
      </c>
    </row>
    <row r="267" spans="1:2">
      <c r="A267" s="10">
        <v>42822</v>
      </c>
      <c r="B267">
        <v>3465.07</v>
      </c>
    </row>
    <row r="268" spans="1:2">
      <c r="A268" s="10">
        <v>42823</v>
      </c>
      <c r="B268">
        <v>3475.27</v>
      </c>
    </row>
    <row r="269" spans="1:2">
      <c r="A269" s="10">
        <v>42824</v>
      </c>
      <c r="B269">
        <v>3481.58</v>
      </c>
    </row>
    <row r="270" spans="1:2">
      <c r="A270" s="10">
        <v>42825</v>
      </c>
      <c r="B270">
        <v>3500.93</v>
      </c>
    </row>
    <row r="271" spans="1:2">
      <c r="A271" s="10">
        <v>42828</v>
      </c>
      <c r="B271">
        <v>3472.94</v>
      </c>
    </row>
    <row r="272" spans="1:2">
      <c r="A272" s="10">
        <v>42829</v>
      </c>
      <c r="B272">
        <v>3481.66</v>
      </c>
    </row>
    <row r="273" spans="1:2">
      <c r="A273" s="10">
        <v>42830</v>
      </c>
      <c r="B273">
        <v>3472.58</v>
      </c>
    </row>
    <row r="274" spans="1:2">
      <c r="A274" s="10">
        <v>42831</v>
      </c>
      <c r="B274">
        <v>3489.57</v>
      </c>
    </row>
    <row r="275" spans="1:2">
      <c r="A275" s="10">
        <v>42832</v>
      </c>
      <c r="B275">
        <v>3495.8</v>
      </c>
    </row>
    <row r="276" spans="1:2">
      <c r="A276" s="10">
        <v>42835</v>
      </c>
      <c r="B276">
        <v>3480.44</v>
      </c>
    </row>
    <row r="277" spans="1:2">
      <c r="A277" s="10">
        <v>42836</v>
      </c>
      <c r="B277">
        <v>3470.04</v>
      </c>
    </row>
    <row r="278" spans="1:2">
      <c r="A278" s="10">
        <v>42837</v>
      </c>
      <c r="B278">
        <v>3468.51</v>
      </c>
    </row>
    <row r="279" spans="1:2">
      <c r="A279" s="10">
        <v>42838</v>
      </c>
      <c r="B279">
        <v>3448.26</v>
      </c>
    </row>
    <row r="280" spans="1:2">
      <c r="A280" s="10">
        <v>42843</v>
      </c>
      <c r="B280">
        <v>3409.78</v>
      </c>
    </row>
    <row r="281" spans="1:2">
      <c r="A281" s="10">
        <v>42844</v>
      </c>
      <c r="B281">
        <v>3420.99</v>
      </c>
    </row>
    <row r="282" spans="1:2">
      <c r="A282" s="10">
        <v>42845</v>
      </c>
      <c r="B282">
        <v>3440.03</v>
      </c>
    </row>
    <row r="283" spans="1:2">
      <c r="A283" s="10">
        <v>42846</v>
      </c>
      <c r="B283">
        <v>3440.27</v>
      </c>
    </row>
    <row r="284" spans="1:2">
      <c r="A284" s="10">
        <v>42849</v>
      </c>
      <c r="B284">
        <v>3577.38</v>
      </c>
    </row>
    <row r="285" spans="1:2">
      <c r="A285" s="10">
        <v>42850</v>
      </c>
      <c r="B285">
        <v>3583.16</v>
      </c>
    </row>
    <row r="286" spans="1:2">
      <c r="A286" s="10">
        <v>42851</v>
      </c>
      <c r="B286">
        <v>3578.71</v>
      </c>
    </row>
    <row r="287" spans="1:2">
      <c r="A287" s="10">
        <v>42852</v>
      </c>
      <c r="B287">
        <v>3563.29</v>
      </c>
    </row>
    <row r="288" spans="1:2">
      <c r="A288" s="10">
        <v>42853</v>
      </c>
      <c r="B288">
        <v>3559.59</v>
      </c>
    </row>
    <row r="289" spans="1:2">
      <c r="A289" s="10">
        <v>42857</v>
      </c>
      <c r="B289">
        <v>3578.21</v>
      </c>
    </row>
    <row r="290" spans="1:2">
      <c r="A290" s="10">
        <v>42858</v>
      </c>
      <c r="B290">
        <v>3586.25</v>
      </c>
    </row>
    <row r="291" spans="1:2">
      <c r="A291" s="10">
        <v>42859</v>
      </c>
      <c r="B291">
        <v>3627.88</v>
      </c>
    </row>
    <row r="292" spans="1:2">
      <c r="A292" s="10">
        <v>42860</v>
      </c>
      <c r="B292">
        <v>3658.79</v>
      </c>
    </row>
    <row r="293" spans="1:2">
      <c r="A293" s="10">
        <v>42863</v>
      </c>
      <c r="B293">
        <v>3642.11</v>
      </c>
    </row>
    <row r="294" spans="1:2">
      <c r="A294" s="10">
        <v>42864</v>
      </c>
      <c r="B294">
        <v>3649.08</v>
      </c>
    </row>
    <row r="295" spans="1:2">
      <c r="A295" s="10">
        <v>42865</v>
      </c>
      <c r="B295">
        <v>3645.74</v>
      </c>
    </row>
    <row r="296" spans="1:2">
      <c r="A296" s="10">
        <v>42866</v>
      </c>
      <c r="B296">
        <v>3623.55</v>
      </c>
    </row>
    <row r="297" spans="1:2">
      <c r="A297" s="10">
        <v>42867</v>
      </c>
      <c r="B297">
        <v>3637.52</v>
      </c>
    </row>
    <row r="298" spans="1:2">
      <c r="A298" s="10">
        <v>42870</v>
      </c>
      <c r="B298">
        <v>3641.88</v>
      </c>
    </row>
    <row r="299" spans="1:2">
      <c r="A299" s="10">
        <v>42871</v>
      </c>
      <c r="B299">
        <v>3641.89</v>
      </c>
    </row>
    <row r="300" spans="1:2">
      <c r="A300" s="10">
        <v>42872</v>
      </c>
      <c r="B300">
        <v>3584.83</v>
      </c>
    </row>
    <row r="301" spans="1:2">
      <c r="A301" s="10">
        <v>42873</v>
      </c>
      <c r="B301">
        <v>3562.22</v>
      </c>
    </row>
    <row r="302" spans="1:2">
      <c r="A302" s="10">
        <v>42874</v>
      </c>
      <c r="B302">
        <v>3587.01</v>
      </c>
    </row>
    <row r="303" spans="1:2">
      <c r="A303" s="10">
        <v>42877</v>
      </c>
      <c r="B303">
        <v>3576.53</v>
      </c>
    </row>
    <row r="304" spans="1:2">
      <c r="A304" s="10">
        <v>42878</v>
      </c>
      <c r="B304">
        <v>3595.03</v>
      </c>
    </row>
    <row r="305" spans="1:2">
      <c r="A305" s="10">
        <v>42879</v>
      </c>
      <c r="B305">
        <v>3586.62</v>
      </c>
    </row>
    <row r="306" spans="1:2">
      <c r="A306" s="10">
        <v>42880</v>
      </c>
      <c r="B306">
        <v>3584.55</v>
      </c>
    </row>
    <row r="307" spans="1:2">
      <c r="A307" s="10">
        <v>42881</v>
      </c>
      <c r="B307">
        <v>3579.02</v>
      </c>
    </row>
    <row r="308" spans="1:2">
      <c r="A308" s="10">
        <v>42884</v>
      </c>
      <c r="B308">
        <v>3578.95</v>
      </c>
    </row>
    <row r="309" spans="1:2">
      <c r="A309" s="10">
        <v>42885</v>
      </c>
      <c r="B309">
        <v>3561.22</v>
      </c>
    </row>
    <row r="310" spans="1:2">
      <c r="A310" s="10">
        <v>42886</v>
      </c>
      <c r="B310">
        <v>3554.59</v>
      </c>
    </row>
    <row r="311" spans="1:2">
      <c r="A311" s="10">
        <v>42887</v>
      </c>
      <c r="B311">
        <v>3567.02</v>
      </c>
    </row>
    <row r="312" spans="1:2">
      <c r="A312" s="10">
        <v>42888</v>
      </c>
      <c r="B312">
        <v>3591.82</v>
      </c>
    </row>
    <row r="313" spans="1:2">
      <c r="A313" s="10">
        <v>42891</v>
      </c>
      <c r="B313">
        <v>3579.55</v>
      </c>
    </row>
    <row r="314" spans="1:2">
      <c r="A314" s="10">
        <v>42892</v>
      </c>
      <c r="B314">
        <v>3554.18</v>
      </c>
    </row>
    <row r="315" spans="1:2">
      <c r="A315" s="10">
        <v>42893</v>
      </c>
      <c r="B315">
        <v>3548.84</v>
      </c>
    </row>
    <row r="316" spans="1:2">
      <c r="A316" s="10">
        <v>42894</v>
      </c>
      <c r="B316">
        <v>3563.88</v>
      </c>
    </row>
    <row r="317" spans="1:2">
      <c r="A317" s="10">
        <v>42895</v>
      </c>
      <c r="B317">
        <v>3586.07</v>
      </c>
    </row>
    <row r="318" spans="1:2">
      <c r="A318" s="10">
        <v>42898</v>
      </c>
      <c r="B318">
        <v>3543.95</v>
      </c>
    </row>
    <row r="319" spans="1:2">
      <c r="A319" s="10">
        <v>42899</v>
      </c>
      <c r="B319">
        <v>3557.87</v>
      </c>
    </row>
    <row r="320" spans="1:2">
      <c r="A320" s="10">
        <v>42900</v>
      </c>
      <c r="B320">
        <v>3547.15</v>
      </c>
    </row>
    <row r="321" spans="1:2">
      <c r="A321" s="10">
        <v>42901</v>
      </c>
      <c r="B321">
        <v>3525.46</v>
      </c>
    </row>
    <row r="322" spans="1:2">
      <c r="A322" s="10">
        <v>42902</v>
      </c>
      <c r="B322">
        <v>3543.88</v>
      </c>
    </row>
    <row r="323" spans="1:2">
      <c r="A323" s="10">
        <v>42905</v>
      </c>
      <c r="B323">
        <v>3579.58</v>
      </c>
    </row>
    <row r="324" spans="1:2">
      <c r="A324" s="10">
        <v>42906</v>
      </c>
      <c r="B324">
        <v>3560.66</v>
      </c>
    </row>
    <row r="325" spans="1:2">
      <c r="A325" s="10">
        <v>42907</v>
      </c>
      <c r="B325">
        <v>3554.35</v>
      </c>
    </row>
    <row r="326" spans="1:2">
      <c r="A326" s="10">
        <v>42908</v>
      </c>
      <c r="B326">
        <v>3555.76</v>
      </c>
    </row>
    <row r="327" spans="1:2">
      <c r="A327" s="10">
        <v>42909</v>
      </c>
      <c r="B327">
        <v>3543.68</v>
      </c>
    </row>
    <row r="328" spans="1:2">
      <c r="A328" s="10">
        <v>42912</v>
      </c>
      <c r="B328">
        <v>3561.76</v>
      </c>
    </row>
    <row r="329" spans="1:2">
      <c r="A329" s="10">
        <v>42913</v>
      </c>
      <c r="B329">
        <v>3538.32</v>
      </c>
    </row>
    <row r="330" spans="1:2">
      <c r="A330" s="10">
        <v>42914</v>
      </c>
      <c r="B330">
        <v>3535.7</v>
      </c>
    </row>
    <row r="331" spans="1:2">
      <c r="A331" s="10">
        <v>42915</v>
      </c>
      <c r="B331">
        <v>3471.33</v>
      </c>
    </row>
    <row r="332" spans="1:2">
      <c r="A332" s="10">
        <v>42916</v>
      </c>
      <c r="B332">
        <v>3441.88</v>
      </c>
    </row>
    <row r="333" spans="1:2">
      <c r="A333" s="10">
        <v>42919</v>
      </c>
      <c r="B333">
        <v>3491.81</v>
      </c>
    </row>
    <row r="334" spans="1:2">
      <c r="A334" s="10">
        <v>42920</v>
      </c>
      <c r="B334">
        <v>3479.47</v>
      </c>
    </row>
    <row r="335" spans="1:2">
      <c r="A335" s="10">
        <v>42921</v>
      </c>
      <c r="B335">
        <v>3478.41</v>
      </c>
    </row>
    <row r="336" spans="1:2">
      <c r="A336" s="10">
        <v>42922</v>
      </c>
      <c r="B336">
        <v>3462.06</v>
      </c>
    </row>
    <row r="337" spans="1:2">
      <c r="A337" s="10">
        <v>42923</v>
      </c>
      <c r="B337">
        <v>3463.84</v>
      </c>
    </row>
    <row r="338" spans="1:2">
      <c r="A338" s="10">
        <v>42926</v>
      </c>
      <c r="B338">
        <v>3478.06</v>
      </c>
    </row>
    <row r="339" spans="1:2">
      <c r="A339" s="10">
        <v>42927</v>
      </c>
      <c r="B339">
        <v>3464.48</v>
      </c>
    </row>
    <row r="340" spans="1:2">
      <c r="A340" s="10">
        <v>42928</v>
      </c>
      <c r="B340">
        <v>3515.23</v>
      </c>
    </row>
    <row r="341" spans="1:2">
      <c r="A341" s="10">
        <v>42929</v>
      </c>
      <c r="B341">
        <v>3527.83</v>
      </c>
    </row>
    <row r="342" spans="1:2">
      <c r="A342" s="10">
        <v>42930</v>
      </c>
      <c r="B342">
        <v>3525.94</v>
      </c>
    </row>
    <row r="343" spans="1:2">
      <c r="A343" s="10">
        <v>42933</v>
      </c>
      <c r="B343">
        <v>3516.35</v>
      </c>
    </row>
    <row r="344" spans="1:2">
      <c r="A344" s="10">
        <v>42934</v>
      </c>
      <c r="B344">
        <v>3478.68</v>
      </c>
    </row>
    <row r="345" spans="1:2">
      <c r="A345" s="10">
        <v>42935</v>
      </c>
      <c r="B345">
        <v>3500.28</v>
      </c>
    </row>
    <row r="346" spans="1:2">
      <c r="A346" s="10">
        <v>42936</v>
      </c>
      <c r="B346">
        <v>3499.49</v>
      </c>
    </row>
    <row r="347" spans="1:2">
      <c r="A347" s="10">
        <v>42937</v>
      </c>
      <c r="B347">
        <v>3451.71</v>
      </c>
    </row>
    <row r="348" spans="1:2">
      <c r="A348" s="10">
        <v>42940</v>
      </c>
      <c r="B348">
        <v>3453.17</v>
      </c>
    </row>
    <row r="349" spans="1:2">
      <c r="A349" s="10">
        <v>42941</v>
      </c>
      <c r="B349">
        <v>3473.54</v>
      </c>
    </row>
    <row r="350" spans="1:2">
      <c r="A350" s="10">
        <v>42942</v>
      </c>
      <c r="B350">
        <v>3491.19</v>
      </c>
    </row>
    <row r="351" spans="1:2">
      <c r="A351" s="10">
        <v>42943</v>
      </c>
      <c r="B351">
        <v>3493.14</v>
      </c>
    </row>
    <row r="352" spans="1:2">
      <c r="A352" s="10">
        <v>42944</v>
      </c>
      <c r="B352">
        <v>3467.73</v>
      </c>
    </row>
    <row r="353" spans="1:2">
      <c r="A353" s="10">
        <v>42947</v>
      </c>
      <c r="B353">
        <v>3449.36</v>
      </c>
    </row>
    <row r="354" spans="1:2">
      <c r="A354" s="10">
        <v>42948</v>
      </c>
      <c r="B354">
        <v>3477.39</v>
      </c>
    </row>
    <row r="355" spans="1:2">
      <c r="A355" s="10">
        <v>42949</v>
      </c>
      <c r="B355">
        <v>3459.32</v>
      </c>
    </row>
    <row r="356" spans="1:2">
      <c r="A356" s="10">
        <v>42950</v>
      </c>
      <c r="B356">
        <v>3466.37</v>
      </c>
    </row>
    <row r="357" spans="1:2">
      <c r="A357" s="10">
        <v>42951</v>
      </c>
      <c r="B357">
        <v>3507.41</v>
      </c>
    </row>
    <row r="358" spans="1:2">
      <c r="A358" s="10">
        <v>42954</v>
      </c>
      <c r="B358">
        <v>3505.8</v>
      </c>
    </row>
    <row r="359" spans="1:2">
      <c r="A359" s="10">
        <v>42955</v>
      </c>
      <c r="B359">
        <v>3515.63</v>
      </c>
    </row>
    <row r="360" spans="1:2">
      <c r="A360" s="10">
        <v>42956</v>
      </c>
      <c r="B360">
        <v>3468.45</v>
      </c>
    </row>
    <row r="361" spans="1:2">
      <c r="A361" s="10">
        <v>42957</v>
      </c>
      <c r="B361">
        <v>3433.54</v>
      </c>
    </row>
    <row r="362" spans="1:2">
      <c r="A362" s="10">
        <v>42958</v>
      </c>
      <c r="B362">
        <v>3406.34</v>
      </c>
    </row>
    <row r="363" spans="1:2">
      <c r="A363" s="10">
        <v>42961</v>
      </c>
      <c r="B363">
        <v>3450.66</v>
      </c>
    </row>
    <row r="364" spans="1:2">
      <c r="A364" s="10">
        <v>42962</v>
      </c>
      <c r="B364">
        <v>3461.91</v>
      </c>
    </row>
    <row r="365" spans="1:2">
      <c r="A365" s="10">
        <v>42963</v>
      </c>
      <c r="B365">
        <v>3484.57</v>
      </c>
    </row>
    <row r="366" spans="1:2">
      <c r="A366" s="10">
        <v>42964</v>
      </c>
      <c r="B366">
        <v>3461.97</v>
      </c>
    </row>
    <row r="367" spans="1:2">
      <c r="A367" s="10">
        <v>42965</v>
      </c>
      <c r="B367">
        <v>3446.03</v>
      </c>
    </row>
    <row r="368" spans="1:2">
      <c r="A368" s="10">
        <v>42968</v>
      </c>
      <c r="B368">
        <v>3423.53</v>
      </c>
    </row>
    <row r="369" spans="1:2">
      <c r="A369" s="10">
        <v>42969</v>
      </c>
      <c r="B369">
        <v>3455.59</v>
      </c>
    </row>
    <row r="370" spans="1:2">
      <c r="A370" s="10">
        <v>42970</v>
      </c>
      <c r="B370">
        <v>3438.63</v>
      </c>
    </row>
    <row r="371" spans="1:2">
      <c r="A371" s="10">
        <v>42971</v>
      </c>
      <c r="B371">
        <v>3444.73</v>
      </c>
    </row>
    <row r="372" spans="1:2">
      <c r="A372" s="10">
        <v>42972</v>
      </c>
      <c r="B372">
        <v>3438.55</v>
      </c>
    </row>
    <row r="373" spans="1:2">
      <c r="A373" s="10">
        <v>42975</v>
      </c>
      <c r="B373">
        <v>3421.03</v>
      </c>
    </row>
    <row r="374" spans="1:2">
      <c r="A374" s="10">
        <v>42976</v>
      </c>
      <c r="B374">
        <v>3388.22</v>
      </c>
    </row>
    <row r="375" spans="1:2">
      <c r="A375" s="10">
        <v>42977</v>
      </c>
      <c r="B375">
        <v>3403.71</v>
      </c>
    </row>
    <row r="376" spans="1:2">
      <c r="A376" s="10">
        <v>42978</v>
      </c>
      <c r="B376">
        <v>3421.47</v>
      </c>
    </row>
    <row r="377" spans="1:2">
      <c r="A377" s="10">
        <v>42979</v>
      </c>
      <c r="B377">
        <v>3443.88</v>
      </c>
    </row>
    <row r="378" spans="1:2">
      <c r="A378" s="10">
        <v>42982</v>
      </c>
      <c r="B378">
        <v>3430.42</v>
      </c>
    </row>
    <row r="379" spans="1:2">
      <c r="A379" s="10">
        <v>42983</v>
      </c>
      <c r="B379">
        <v>3420.86</v>
      </c>
    </row>
    <row r="380" spans="1:2">
      <c r="A380" s="10">
        <v>42984</v>
      </c>
      <c r="B380">
        <v>3433.8</v>
      </c>
    </row>
    <row r="381" spans="1:2">
      <c r="A381" s="10">
        <v>42985</v>
      </c>
      <c r="B381">
        <v>3447.66</v>
      </c>
    </row>
    <row r="382" spans="1:2">
      <c r="A382" s="10">
        <v>42986</v>
      </c>
      <c r="B382">
        <v>3447.69</v>
      </c>
    </row>
    <row r="383" spans="1:2">
      <c r="A383" s="10">
        <v>42989</v>
      </c>
      <c r="B383">
        <v>3495.19</v>
      </c>
    </row>
    <row r="384" spans="1:2">
      <c r="A384" s="10">
        <v>42990</v>
      </c>
      <c r="B384">
        <v>3512.56</v>
      </c>
    </row>
    <row r="385" spans="1:2">
      <c r="A385" s="10">
        <v>42991</v>
      </c>
      <c r="B385">
        <v>3523.14</v>
      </c>
    </row>
    <row r="386" spans="1:2">
      <c r="A386" s="10">
        <v>42992</v>
      </c>
      <c r="B386">
        <v>3526.48</v>
      </c>
    </row>
    <row r="387" spans="1:2">
      <c r="A387" s="10">
        <v>42993</v>
      </c>
      <c r="B387">
        <v>3515.55</v>
      </c>
    </row>
    <row r="388" spans="1:2">
      <c r="A388" s="10">
        <v>42996</v>
      </c>
      <c r="B388">
        <v>3526.74</v>
      </c>
    </row>
    <row r="389" spans="1:2">
      <c r="A389" s="10">
        <v>42997</v>
      </c>
      <c r="B389">
        <v>3531.18</v>
      </c>
    </row>
    <row r="390" spans="1:2">
      <c r="A390" s="10">
        <v>42998</v>
      </c>
      <c r="B390">
        <v>3525.55</v>
      </c>
    </row>
    <row r="391" spans="1:2">
      <c r="A391" s="10">
        <v>42999</v>
      </c>
      <c r="B391">
        <v>3539.59</v>
      </c>
    </row>
    <row r="392" spans="1:2">
      <c r="A392" s="10">
        <v>43000</v>
      </c>
      <c r="B392">
        <v>3541.42</v>
      </c>
    </row>
    <row r="393" spans="1:2">
      <c r="A393" s="10">
        <v>43003</v>
      </c>
      <c r="B393">
        <v>3537.81</v>
      </c>
    </row>
    <row r="394" spans="1:2">
      <c r="A394" s="10">
        <v>43004</v>
      </c>
      <c r="B394">
        <v>3536.38</v>
      </c>
    </row>
    <row r="395" spans="1:2">
      <c r="A395" s="10">
        <v>43005</v>
      </c>
      <c r="B395">
        <v>3555.17</v>
      </c>
    </row>
    <row r="396" spans="1:2">
      <c r="A396" s="10">
        <v>43006</v>
      </c>
      <c r="B396">
        <v>3563.64</v>
      </c>
    </row>
    <row r="397" spans="1:2">
      <c r="A397" s="10">
        <v>43007</v>
      </c>
      <c r="B397">
        <v>3594.85</v>
      </c>
    </row>
    <row r="398" spans="1:2">
      <c r="A398" s="10">
        <v>43010</v>
      </c>
      <c r="B398">
        <v>3602.69</v>
      </c>
    </row>
    <row r="399" spans="1:2">
      <c r="A399" s="10">
        <v>43011</v>
      </c>
      <c r="B399">
        <v>3605.73</v>
      </c>
    </row>
    <row r="400" spans="1:2">
      <c r="A400" s="10">
        <v>43012</v>
      </c>
      <c r="B400">
        <v>3594.91</v>
      </c>
    </row>
    <row r="401" spans="1:2">
      <c r="A401" s="10">
        <v>43013</v>
      </c>
      <c r="B401">
        <v>3613.54</v>
      </c>
    </row>
    <row r="402" spans="1:2">
      <c r="A402" s="10">
        <v>43014</v>
      </c>
      <c r="B402">
        <v>3603.32</v>
      </c>
    </row>
    <row r="403" spans="1:2">
      <c r="A403" s="10">
        <v>43017</v>
      </c>
      <c r="B403">
        <v>3610.5</v>
      </c>
    </row>
    <row r="404" spans="1:2">
      <c r="A404" s="10">
        <v>43018</v>
      </c>
      <c r="B404">
        <v>3598.79</v>
      </c>
    </row>
    <row r="405" spans="1:2">
      <c r="A405" s="10">
        <v>43019</v>
      </c>
      <c r="B405">
        <v>3607.39</v>
      </c>
    </row>
    <row r="406" spans="1:2">
      <c r="A406" s="10">
        <v>43020</v>
      </c>
      <c r="B406">
        <v>3605.54</v>
      </c>
    </row>
    <row r="407" spans="1:2">
      <c r="A407" s="10">
        <v>43021</v>
      </c>
      <c r="B407">
        <v>3604.55</v>
      </c>
    </row>
    <row r="408" spans="1:2">
      <c r="A408" s="10">
        <v>43024</v>
      </c>
      <c r="B408">
        <v>3606.27</v>
      </c>
    </row>
    <row r="409" spans="1:2">
      <c r="A409" s="10">
        <v>43025</v>
      </c>
      <c r="B409">
        <v>3607.77</v>
      </c>
    </row>
    <row r="410" spans="1:2">
      <c r="A410" s="10">
        <v>43026</v>
      </c>
      <c r="B410">
        <v>3619.65</v>
      </c>
    </row>
    <row r="411" spans="1:2">
      <c r="A411" s="10">
        <v>43027</v>
      </c>
      <c r="B411">
        <v>3602.08</v>
      </c>
    </row>
    <row r="412" spans="1:2">
      <c r="A412" s="10">
        <v>43028</v>
      </c>
      <c r="B412">
        <v>3605.09</v>
      </c>
    </row>
    <row r="413" spans="1:2">
      <c r="A413" s="10">
        <v>43031</v>
      </c>
      <c r="B413">
        <v>3608.87</v>
      </c>
    </row>
    <row r="414" spans="1:2">
      <c r="A414" s="10">
        <v>43032</v>
      </c>
      <c r="B414">
        <v>3610.69</v>
      </c>
    </row>
    <row r="415" spans="1:2">
      <c r="A415" s="10">
        <v>43033</v>
      </c>
      <c r="B415">
        <v>3591.46</v>
      </c>
    </row>
    <row r="416" spans="1:2">
      <c r="A416" s="10">
        <v>43034</v>
      </c>
      <c r="B416">
        <v>3637.2</v>
      </c>
    </row>
    <row r="417" spans="1:2">
      <c r="A417" s="10">
        <v>43035</v>
      </c>
      <c r="B417">
        <v>3652.23</v>
      </c>
    </row>
    <row r="418" spans="1:2">
      <c r="A418" s="10">
        <v>43038</v>
      </c>
      <c r="B418">
        <v>3662.18</v>
      </c>
    </row>
    <row r="419" spans="1:2">
      <c r="A419" s="10">
        <v>43039</v>
      </c>
      <c r="B419">
        <v>3673.95</v>
      </c>
    </row>
    <row r="420" spans="1:2">
      <c r="A420" s="10">
        <v>43040</v>
      </c>
      <c r="B420">
        <v>3697.4</v>
      </c>
    </row>
    <row r="421" spans="1:2">
      <c r="A421" s="10">
        <v>43041</v>
      </c>
      <c r="B421">
        <v>3688.8</v>
      </c>
    </row>
    <row r="422" spans="1:2">
      <c r="A422" s="10">
        <v>43042</v>
      </c>
      <c r="B422">
        <v>3689.96</v>
      </c>
    </row>
    <row r="423" spans="1:2">
      <c r="A423" s="10">
        <v>43045</v>
      </c>
      <c r="B423">
        <v>3682.36</v>
      </c>
    </row>
    <row r="424" spans="1:2">
      <c r="A424" s="10">
        <v>43046</v>
      </c>
      <c r="B424">
        <v>3658.77</v>
      </c>
    </row>
    <row r="425" spans="1:2">
      <c r="A425" s="10">
        <v>43047</v>
      </c>
      <c r="B425">
        <v>3655.04</v>
      </c>
    </row>
    <row r="426" spans="1:2">
      <c r="A426" s="10">
        <v>43048</v>
      </c>
      <c r="B426">
        <v>3612.5</v>
      </c>
    </row>
    <row r="427" spans="1:2">
      <c r="A427" s="10">
        <v>43049</v>
      </c>
      <c r="B427">
        <v>3593.76</v>
      </c>
    </row>
    <row r="428" spans="1:2">
      <c r="A428" s="10">
        <v>43052</v>
      </c>
      <c r="B428">
        <v>3574.52</v>
      </c>
    </row>
    <row r="429" spans="1:2">
      <c r="A429" s="10">
        <v>43053</v>
      </c>
      <c r="B429">
        <v>3556.38</v>
      </c>
    </row>
    <row r="430" spans="1:2">
      <c r="A430" s="10">
        <v>43054</v>
      </c>
      <c r="B430">
        <v>3545.72</v>
      </c>
    </row>
    <row r="431" spans="1:2">
      <c r="A431" s="10">
        <v>43055</v>
      </c>
      <c r="B431">
        <v>3564.8</v>
      </c>
    </row>
    <row r="432" spans="1:2">
      <c r="A432" s="10">
        <v>43056</v>
      </c>
      <c r="B432">
        <v>3547.46</v>
      </c>
    </row>
    <row r="433" spans="1:2">
      <c r="A433" s="10">
        <v>43059</v>
      </c>
      <c r="B433">
        <v>3561.41</v>
      </c>
    </row>
    <row r="434" spans="1:2">
      <c r="A434" s="10">
        <v>43060</v>
      </c>
      <c r="B434">
        <v>3579.32</v>
      </c>
    </row>
    <row r="435" spans="1:2">
      <c r="A435" s="10">
        <v>43061</v>
      </c>
      <c r="B435">
        <v>3562.65</v>
      </c>
    </row>
    <row r="436" spans="1:2">
      <c r="A436" s="10">
        <v>43062</v>
      </c>
      <c r="B436">
        <v>3572.07</v>
      </c>
    </row>
    <row r="437" spans="1:2">
      <c r="A437" s="10">
        <v>43063</v>
      </c>
      <c r="B437">
        <v>3581.23</v>
      </c>
    </row>
    <row r="438" spans="1:2">
      <c r="A438" s="10">
        <v>43066</v>
      </c>
      <c r="B438">
        <v>3564.02</v>
      </c>
    </row>
    <row r="439" spans="1:2">
      <c r="A439" s="10">
        <v>43067</v>
      </c>
      <c r="B439">
        <v>3583.49</v>
      </c>
    </row>
    <row r="440" spans="1:2">
      <c r="A440" s="10">
        <v>43068</v>
      </c>
      <c r="B440">
        <v>3590.06</v>
      </c>
    </row>
    <row r="441" spans="1:2">
      <c r="A441" s="10">
        <v>43069</v>
      </c>
      <c r="B441">
        <v>3569.93</v>
      </c>
    </row>
    <row r="442" spans="1:2">
      <c r="A442" s="10">
        <v>43070</v>
      </c>
      <c r="B442">
        <v>3527.55</v>
      </c>
    </row>
    <row r="443" spans="1:2">
      <c r="A443" s="10">
        <v>43073</v>
      </c>
      <c r="B443">
        <v>3576.22</v>
      </c>
    </row>
    <row r="444" spans="1:2">
      <c r="A444" s="10">
        <v>43074</v>
      </c>
      <c r="B444">
        <v>3570.57</v>
      </c>
    </row>
    <row r="445" spans="1:2">
      <c r="A445" s="10">
        <v>43075</v>
      </c>
      <c r="B445">
        <v>3561.57</v>
      </c>
    </row>
    <row r="446" spans="1:2">
      <c r="A446" s="10">
        <v>43076</v>
      </c>
      <c r="B446">
        <v>3573.13</v>
      </c>
    </row>
    <row r="447" spans="1:2">
      <c r="A447" s="10">
        <v>43077</v>
      </c>
      <c r="B447">
        <v>3591.45</v>
      </c>
    </row>
    <row r="448" spans="1:2">
      <c r="A448" s="10">
        <v>43080</v>
      </c>
      <c r="B448">
        <v>3582.21</v>
      </c>
    </row>
    <row r="449" spans="1:2">
      <c r="A449" s="10">
        <v>43081</v>
      </c>
      <c r="B449">
        <v>3600.35</v>
      </c>
    </row>
    <row r="450" spans="1:2">
      <c r="A450" s="10">
        <v>43082</v>
      </c>
      <c r="B450">
        <v>3581.75</v>
      </c>
    </row>
    <row r="451" spans="1:2">
      <c r="A451" s="10">
        <v>43083</v>
      </c>
      <c r="B451">
        <v>3556.22</v>
      </c>
    </row>
    <row r="452" spans="1:2">
      <c r="A452" s="10">
        <v>43084</v>
      </c>
      <c r="B452">
        <v>3560.53</v>
      </c>
    </row>
    <row r="453" spans="1:2">
      <c r="A453" s="10">
        <v>43087</v>
      </c>
      <c r="B453">
        <v>3609.42</v>
      </c>
    </row>
    <row r="454" spans="1:2">
      <c r="A454" s="10">
        <v>43088</v>
      </c>
      <c r="B454">
        <v>3582.22</v>
      </c>
    </row>
    <row r="455" spans="1:2">
      <c r="A455" s="10">
        <v>43089</v>
      </c>
      <c r="B455">
        <v>3552.65</v>
      </c>
    </row>
    <row r="456" spans="1:2">
      <c r="A456" s="10">
        <v>43090</v>
      </c>
      <c r="B456">
        <v>3570.78</v>
      </c>
    </row>
    <row r="457" spans="1:2">
      <c r="A457" s="10">
        <v>43091</v>
      </c>
      <c r="B457">
        <v>3553.39</v>
      </c>
    </row>
    <row r="458" spans="1:2">
      <c r="A458" s="10">
        <v>43096</v>
      </c>
      <c r="B458">
        <v>3550.17</v>
      </c>
    </row>
    <row r="459" spans="1:2">
      <c r="A459" s="10">
        <v>43097</v>
      </c>
      <c r="B459">
        <v>3524.31</v>
      </c>
    </row>
    <row r="460" spans="1:2">
      <c r="A460" s="10">
        <v>43098</v>
      </c>
      <c r="B460">
        <v>3503.96</v>
      </c>
    </row>
    <row r="461" spans="1:2">
      <c r="A461" s="10">
        <v>43102</v>
      </c>
      <c r="B461">
        <v>3490.19</v>
      </c>
    </row>
    <row r="462" spans="1:2">
      <c r="A462" s="10">
        <v>43103</v>
      </c>
      <c r="B462">
        <v>3509.88</v>
      </c>
    </row>
    <row r="463" spans="1:2">
      <c r="A463" s="10">
        <v>43104</v>
      </c>
      <c r="B463">
        <v>3568.88</v>
      </c>
    </row>
    <row r="464" spans="1:2">
      <c r="A464" s="10">
        <v>43105</v>
      </c>
      <c r="B464">
        <v>3607.63</v>
      </c>
    </row>
    <row r="465" spans="1:2">
      <c r="A465" s="10">
        <v>43108</v>
      </c>
      <c r="B465">
        <v>3616.45</v>
      </c>
    </row>
    <row r="466" spans="1:2">
      <c r="A466" s="10">
        <v>43109</v>
      </c>
      <c r="B466">
        <v>3622.87</v>
      </c>
    </row>
    <row r="467" spans="1:2">
      <c r="A467" s="10">
        <v>43110</v>
      </c>
      <c r="B467">
        <v>3609.83</v>
      </c>
    </row>
    <row r="468" spans="1:2">
      <c r="A468" s="10">
        <v>43111</v>
      </c>
      <c r="B468">
        <v>3595.24</v>
      </c>
    </row>
    <row r="469" spans="1:2">
      <c r="A469" s="10">
        <v>43112</v>
      </c>
      <c r="B469">
        <v>3612.61</v>
      </c>
    </row>
    <row r="470" spans="1:2">
      <c r="A470" s="10">
        <v>43115</v>
      </c>
      <c r="B470">
        <v>3611.81</v>
      </c>
    </row>
    <row r="471" spans="1:2">
      <c r="A471" s="10">
        <v>43116</v>
      </c>
      <c r="B471">
        <v>3622.01</v>
      </c>
    </row>
    <row r="472" spans="1:2">
      <c r="A472" s="10">
        <v>43117</v>
      </c>
      <c r="B472">
        <v>3612.78</v>
      </c>
    </row>
    <row r="473" spans="1:2">
      <c r="A473" s="10">
        <v>43118</v>
      </c>
      <c r="B473">
        <v>3620.91</v>
      </c>
    </row>
    <row r="474" spans="1:2">
      <c r="A474" s="10">
        <v>43119</v>
      </c>
      <c r="B474">
        <v>3649.07</v>
      </c>
    </row>
    <row r="475" spans="1:2">
      <c r="A475" s="10">
        <v>43122</v>
      </c>
      <c r="B475">
        <v>3665.28</v>
      </c>
    </row>
    <row r="476" spans="1:2">
      <c r="A476" s="10">
        <v>43123</v>
      </c>
      <c r="B476">
        <v>3672.29</v>
      </c>
    </row>
    <row r="477" spans="1:2">
      <c r="A477" s="10">
        <v>43124</v>
      </c>
      <c r="B477">
        <v>3643.22</v>
      </c>
    </row>
    <row r="478" spans="1:2">
      <c r="A478" s="10">
        <v>43125</v>
      </c>
      <c r="B478">
        <v>3630.15</v>
      </c>
    </row>
    <row r="479" spans="1:2">
      <c r="A479" s="10">
        <v>43126</v>
      </c>
      <c r="B479">
        <v>3647.41</v>
      </c>
    </row>
    <row r="480" spans="1:2">
      <c r="A480" s="10">
        <v>43129</v>
      </c>
      <c r="B480">
        <v>3643.04</v>
      </c>
    </row>
    <row r="481" spans="1:2">
      <c r="A481" s="10">
        <v>43130</v>
      </c>
      <c r="B481">
        <v>3606.75</v>
      </c>
    </row>
    <row r="482" spans="1:2">
      <c r="A482" s="10">
        <v>43131</v>
      </c>
      <c r="B482">
        <v>3609.29</v>
      </c>
    </row>
    <row r="483" spans="1:2">
      <c r="A483" s="10">
        <v>43132</v>
      </c>
      <c r="B483">
        <v>3577.35</v>
      </c>
    </row>
    <row r="484" spans="1:2">
      <c r="A484" s="10">
        <v>43133</v>
      </c>
      <c r="B484">
        <v>3523.28</v>
      </c>
    </row>
    <row r="485" spans="1:2">
      <c r="A485" s="10">
        <v>43136</v>
      </c>
      <c r="B485">
        <v>3478.77</v>
      </c>
    </row>
    <row r="486" spans="1:2">
      <c r="A486" s="10">
        <v>43137</v>
      </c>
      <c r="B486">
        <v>3394.92</v>
      </c>
    </row>
    <row r="487" spans="1:2">
      <c r="A487" s="10">
        <v>43138</v>
      </c>
      <c r="B487">
        <v>3454.52</v>
      </c>
    </row>
    <row r="488" spans="1:2">
      <c r="A488" s="10">
        <v>43139</v>
      </c>
      <c r="B488">
        <v>3377.3</v>
      </c>
    </row>
    <row r="489" spans="1:2">
      <c r="A489" s="10">
        <v>43140</v>
      </c>
      <c r="B489">
        <v>3325.99</v>
      </c>
    </row>
    <row r="490" spans="1:2">
      <c r="A490" s="10">
        <v>43143</v>
      </c>
      <c r="B490">
        <v>3368.25</v>
      </c>
    </row>
    <row r="491" spans="1:2">
      <c r="A491" s="10">
        <v>43144</v>
      </c>
      <c r="B491">
        <v>3340.93</v>
      </c>
    </row>
    <row r="492" spans="1:2">
      <c r="A492" s="10">
        <v>43145</v>
      </c>
      <c r="B492">
        <v>3369.83</v>
      </c>
    </row>
    <row r="493" spans="1:2">
      <c r="A493" s="10">
        <v>43146</v>
      </c>
      <c r="B493">
        <v>3389.63</v>
      </c>
    </row>
    <row r="494" spans="1:2">
      <c r="A494" s="10">
        <v>43147</v>
      </c>
      <c r="B494">
        <v>3426.8</v>
      </c>
    </row>
    <row r="495" spans="1:2">
      <c r="A495" s="10">
        <v>43150</v>
      </c>
      <c r="B495">
        <v>3407.79</v>
      </c>
    </row>
    <row r="496" spans="1:2">
      <c r="A496" s="10">
        <v>43151</v>
      </c>
      <c r="B496">
        <v>3435.08</v>
      </c>
    </row>
    <row r="497" spans="1:2">
      <c r="A497" s="10">
        <v>43152</v>
      </c>
      <c r="B497">
        <v>3430.16</v>
      </c>
    </row>
    <row r="498" spans="1:2">
      <c r="A498" s="10">
        <v>43153</v>
      </c>
      <c r="B498">
        <v>3431.99</v>
      </c>
    </row>
    <row r="499" spans="1:2">
      <c r="A499" s="10">
        <v>43154</v>
      </c>
      <c r="B499">
        <v>3441.46</v>
      </c>
    </row>
    <row r="500" spans="1:2">
      <c r="A500" s="10">
        <v>43157</v>
      </c>
      <c r="B500">
        <v>3463.18</v>
      </c>
    </row>
    <row r="501" spans="1:2">
      <c r="A501" s="10">
        <v>43158</v>
      </c>
      <c r="B501">
        <v>3458.03</v>
      </c>
    </row>
    <row r="502" spans="1:2">
      <c r="A502" s="10">
        <v>43159</v>
      </c>
      <c r="B502">
        <v>3438.96</v>
      </c>
    </row>
    <row r="503" spans="1:2">
      <c r="A503" s="10">
        <v>43160</v>
      </c>
      <c r="B503">
        <v>3399.16</v>
      </c>
    </row>
    <row r="504" spans="1:2">
      <c r="A504" s="10">
        <v>43161</v>
      </c>
      <c r="B504">
        <v>3324.75</v>
      </c>
    </row>
    <row r="505" spans="1:2">
      <c r="A505" s="10">
        <v>43164</v>
      </c>
      <c r="B505">
        <v>3355.32</v>
      </c>
    </row>
    <row r="506" spans="1:2">
      <c r="A506" s="10">
        <v>43165</v>
      </c>
      <c r="B506">
        <v>3357.86</v>
      </c>
    </row>
    <row r="507" spans="1:2">
      <c r="A507" s="10">
        <v>43166</v>
      </c>
      <c r="B507">
        <v>3377.36</v>
      </c>
    </row>
    <row r="508" spans="1:2">
      <c r="A508" s="10">
        <v>43167</v>
      </c>
      <c r="B508">
        <v>3413.28</v>
      </c>
    </row>
    <row r="509" spans="1:2">
      <c r="A509" s="10">
        <v>43168</v>
      </c>
      <c r="B509">
        <v>3420.54</v>
      </c>
    </row>
    <row r="510" spans="1:2">
      <c r="A510" s="10">
        <v>43171</v>
      </c>
      <c r="B510">
        <v>3429.48</v>
      </c>
    </row>
    <row r="511" spans="1:2">
      <c r="A511" s="10">
        <v>43172</v>
      </c>
      <c r="B511">
        <v>3397.35</v>
      </c>
    </row>
    <row r="512" spans="1:2">
      <c r="A512" s="10">
        <v>43173</v>
      </c>
      <c r="B512">
        <v>3390.98</v>
      </c>
    </row>
    <row r="513" spans="1:2">
      <c r="A513" s="10">
        <v>43174</v>
      </c>
      <c r="B513">
        <v>3414.13</v>
      </c>
    </row>
    <row r="514" spans="1:2">
      <c r="A514" s="10">
        <v>43175</v>
      </c>
      <c r="B514">
        <v>3437.4</v>
      </c>
    </row>
    <row r="515" spans="1:2">
      <c r="A515" s="10">
        <v>43178</v>
      </c>
      <c r="B515">
        <v>3394.79</v>
      </c>
    </row>
    <row r="516" spans="1:2">
      <c r="A516" s="10">
        <v>43179</v>
      </c>
      <c r="B516">
        <v>3412.08</v>
      </c>
    </row>
    <row r="517" spans="1:2">
      <c r="A517" s="10">
        <v>43180</v>
      </c>
      <c r="B517">
        <v>3401.04</v>
      </c>
    </row>
    <row r="518" spans="1:2">
      <c r="A518" s="10">
        <v>43181</v>
      </c>
      <c r="B518">
        <v>3348.19</v>
      </c>
    </row>
    <row r="519" spans="1:2">
      <c r="A519" s="10">
        <v>43182</v>
      </c>
      <c r="B519">
        <v>3298.07</v>
      </c>
    </row>
    <row r="520" spans="1:2">
      <c r="A520" s="10">
        <v>43185</v>
      </c>
      <c r="B520">
        <v>3278.72</v>
      </c>
    </row>
    <row r="521" spans="1:2">
      <c r="A521" s="10">
        <v>43186</v>
      </c>
      <c r="B521">
        <v>3316.95</v>
      </c>
    </row>
    <row r="522" spans="1:2">
      <c r="A522" s="10">
        <v>43187</v>
      </c>
      <c r="B522">
        <v>3331.25</v>
      </c>
    </row>
    <row r="523" spans="1:2">
      <c r="A523" s="10">
        <v>43188</v>
      </c>
      <c r="B523">
        <v>3361.5</v>
      </c>
    </row>
    <row r="524" spans="1:2">
      <c r="A524" s="10">
        <v>43193</v>
      </c>
      <c r="B524">
        <v>3346.93</v>
      </c>
    </row>
    <row r="525" spans="1:2">
      <c r="A525" s="10">
        <v>43194</v>
      </c>
      <c r="B525">
        <v>3340.35</v>
      </c>
    </row>
    <row r="526" spans="1:2">
      <c r="A526" s="10">
        <v>43195</v>
      </c>
      <c r="B526">
        <v>3429.95</v>
      </c>
    </row>
    <row r="527" spans="1:2">
      <c r="A527" s="10">
        <v>43196</v>
      </c>
      <c r="B527">
        <v>3408.1</v>
      </c>
    </row>
    <row r="528" spans="1:2">
      <c r="A528" s="10">
        <v>43199</v>
      </c>
      <c r="B528">
        <v>3414.85</v>
      </c>
    </row>
    <row r="529" spans="1:2">
      <c r="A529" s="10">
        <v>43200</v>
      </c>
      <c r="B529">
        <v>3438.78</v>
      </c>
    </row>
    <row r="530" spans="1:2">
      <c r="A530" s="10">
        <v>43201</v>
      </c>
      <c r="B530">
        <v>3419.71</v>
      </c>
    </row>
    <row r="531" spans="1:2">
      <c r="A531" s="10">
        <v>43202</v>
      </c>
      <c r="B531">
        <v>3443.97</v>
      </c>
    </row>
    <row r="532" spans="1:2">
      <c r="A532" s="10">
        <v>43203</v>
      </c>
      <c r="B532">
        <v>3448</v>
      </c>
    </row>
    <row r="533" spans="1:2">
      <c r="A533" s="10">
        <v>43206</v>
      </c>
      <c r="B533">
        <v>3441.04</v>
      </c>
    </row>
    <row r="534" spans="1:2">
      <c r="A534" s="10">
        <v>43207</v>
      </c>
      <c r="B534">
        <v>3477.91</v>
      </c>
    </row>
    <row r="535" spans="1:2">
      <c r="A535" s="10">
        <v>43208</v>
      </c>
      <c r="B535">
        <v>3490.89</v>
      </c>
    </row>
    <row r="536" spans="1:2">
      <c r="A536" s="10">
        <v>43209</v>
      </c>
      <c r="B536">
        <v>3486.6</v>
      </c>
    </row>
    <row r="537" spans="1:2">
      <c r="A537" s="10">
        <v>43210</v>
      </c>
      <c r="B537">
        <v>3494.2</v>
      </c>
    </row>
    <row r="538" spans="1:2">
      <c r="A538" s="10">
        <v>43213</v>
      </c>
      <c r="B538">
        <v>3513.06</v>
      </c>
    </row>
    <row r="539" spans="1:2">
      <c r="A539" s="10">
        <v>43214</v>
      </c>
      <c r="B539">
        <v>3510.88</v>
      </c>
    </row>
    <row r="540" spans="1:2">
      <c r="A540" s="10">
        <v>43215</v>
      </c>
      <c r="B540">
        <v>3485.83</v>
      </c>
    </row>
    <row r="541" spans="1:2">
      <c r="A541" s="10">
        <v>43216</v>
      </c>
      <c r="B541">
        <v>3506.03</v>
      </c>
    </row>
    <row r="542" spans="1:2">
      <c r="A542" s="10">
        <v>43217</v>
      </c>
      <c r="B542">
        <v>3518.78</v>
      </c>
    </row>
    <row r="543" spans="1:2">
      <c r="A543" s="10">
        <v>43220</v>
      </c>
      <c r="B543">
        <v>3536.52</v>
      </c>
    </row>
    <row r="544" spans="1:2">
      <c r="A544" s="10">
        <v>43222</v>
      </c>
      <c r="B544">
        <v>3553.79</v>
      </c>
    </row>
    <row r="545" spans="1:2">
      <c r="A545" s="10">
        <v>43223</v>
      </c>
      <c r="B545">
        <v>3529.12</v>
      </c>
    </row>
    <row r="546" spans="1:2">
      <c r="A546" s="10">
        <v>43224</v>
      </c>
      <c r="B546">
        <v>3550.59</v>
      </c>
    </row>
    <row r="547" spans="1:2">
      <c r="A547" s="10">
        <v>43227</v>
      </c>
      <c r="B547">
        <v>3564.19</v>
      </c>
    </row>
    <row r="548" spans="1:2">
      <c r="A548" s="10">
        <v>43228</v>
      </c>
      <c r="B548">
        <v>3557.88</v>
      </c>
    </row>
    <row r="549" spans="1:2">
      <c r="A549" s="10">
        <v>43229</v>
      </c>
      <c r="B549">
        <v>3569.74</v>
      </c>
    </row>
    <row r="550" spans="1:2">
      <c r="A550" s="10">
        <v>43230</v>
      </c>
      <c r="B550">
        <v>3569.71</v>
      </c>
    </row>
    <row r="551" spans="1:2">
      <c r="A551" s="10">
        <v>43231</v>
      </c>
      <c r="B551">
        <v>3565.52</v>
      </c>
    </row>
    <row r="552" spans="1:2">
      <c r="A552" s="10">
        <v>43234</v>
      </c>
      <c r="B552">
        <v>3565.74</v>
      </c>
    </row>
    <row r="553" spans="1:2">
      <c r="A553" s="10">
        <v>43235</v>
      </c>
      <c r="B553">
        <v>3564.29</v>
      </c>
    </row>
    <row r="554" spans="1:2">
      <c r="A554" s="10">
        <v>43236</v>
      </c>
      <c r="B554">
        <v>3562.85</v>
      </c>
    </row>
    <row r="555" spans="1:2">
      <c r="A555" s="10">
        <v>43237</v>
      </c>
      <c r="B555">
        <v>3592.18</v>
      </c>
    </row>
    <row r="556" spans="1:2">
      <c r="A556" s="10">
        <v>43238</v>
      </c>
      <c r="B556">
        <v>3573.76</v>
      </c>
    </row>
    <row r="557" spans="1:2">
      <c r="A557" s="10">
        <v>43241</v>
      </c>
      <c r="B557">
        <v>3572.57</v>
      </c>
    </row>
    <row r="558" spans="1:2">
      <c r="A558" s="10">
        <v>43242</v>
      </c>
      <c r="B558">
        <v>3587.25</v>
      </c>
    </row>
    <row r="559" spans="1:2">
      <c r="A559" s="10">
        <v>43243</v>
      </c>
      <c r="B559">
        <v>3541.82</v>
      </c>
    </row>
    <row r="560" spans="1:2">
      <c r="A560" s="10">
        <v>43244</v>
      </c>
      <c r="B560">
        <v>3521.76</v>
      </c>
    </row>
    <row r="561" spans="1:2">
      <c r="A561" s="10">
        <v>43245</v>
      </c>
      <c r="B561">
        <v>3515.36</v>
      </c>
    </row>
    <row r="562" spans="1:2">
      <c r="A562" s="10">
        <v>43248</v>
      </c>
      <c r="B562">
        <v>3482.64</v>
      </c>
    </row>
    <row r="563" spans="1:2">
      <c r="A563" s="10">
        <v>43249</v>
      </c>
      <c r="B563">
        <v>3428.14</v>
      </c>
    </row>
    <row r="564" spans="1:2">
      <c r="A564" s="10">
        <v>43250</v>
      </c>
      <c r="B564">
        <v>3441.19</v>
      </c>
    </row>
    <row r="565" spans="1:2">
      <c r="A565" s="10">
        <v>43251</v>
      </c>
      <c r="B565">
        <v>3406.65</v>
      </c>
    </row>
    <row r="566" spans="1:2">
      <c r="A566" s="10">
        <v>43252</v>
      </c>
      <c r="B566">
        <v>3453.54</v>
      </c>
    </row>
    <row r="567" spans="1:2">
      <c r="A567" s="10">
        <v>43255</v>
      </c>
      <c r="B567">
        <v>3469.57</v>
      </c>
    </row>
    <row r="568" spans="1:2">
      <c r="A568" s="10">
        <v>43256</v>
      </c>
      <c r="B568">
        <v>3456.79</v>
      </c>
    </row>
    <row r="569" spans="1:2">
      <c r="A569" s="10">
        <v>43257</v>
      </c>
      <c r="B569">
        <v>3460.82</v>
      </c>
    </row>
    <row r="570" spans="1:2">
      <c r="A570" s="10">
        <v>43258</v>
      </c>
      <c r="B570">
        <v>3459.77</v>
      </c>
    </row>
    <row r="571" spans="1:2">
      <c r="A571" s="10">
        <v>43259</v>
      </c>
      <c r="B571">
        <v>3447.3</v>
      </c>
    </row>
    <row r="572" spans="1:2">
      <c r="A572" s="10">
        <v>43262</v>
      </c>
      <c r="B572">
        <v>3480.22</v>
      </c>
    </row>
    <row r="573" spans="1:2">
      <c r="A573" s="10">
        <v>43263</v>
      </c>
      <c r="B573">
        <v>3475.58</v>
      </c>
    </row>
    <row r="574" spans="1:2">
      <c r="A574" s="10">
        <v>43264</v>
      </c>
      <c r="B574">
        <v>3479.56</v>
      </c>
    </row>
    <row r="575" spans="1:2">
      <c r="A575" s="10">
        <v>43265</v>
      </c>
      <c r="B575">
        <v>3527.11</v>
      </c>
    </row>
    <row r="576" spans="1:2">
      <c r="A576" s="10">
        <v>43266</v>
      </c>
      <c r="B576">
        <v>3505.02</v>
      </c>
    </row>
    <row r="577" spans="1:2">
      <c r="A577" s="10">
        <v>43269</v>
      </c>
      <c r="B577">
        <v>3466.65</v>
      </c>
    </row>
    <row r="578" spans="1:2">
      <c r="A578" s="10">
        <v>43270</v>
      </c>
      <c r="B578">
        <v>3435.3</v>
      </c>
    </row>
    <row r="579" spans="1:2">
      <c r="A579" s="10">
        <v>43271</v>
      </c>
      <c r="B579">
        <v>3439.6</v>
      </c>
    </row>
    <row r="580" spans="1:2">
      <c r="A580" s="10">
        <v>43272</v>
      </c>
      <c r="B580">
        <v>3403.51</v>
      </c>
    </row>
    <row r="581" spans="1:2">
      <c r="A581" s="10">
        <v>43273</v>
      </c>
      <c r="B581">
        <v>3441.6</v>
      </c>
    </row>
    <row r="582" spans="1:2">
      <c r="A582" s="10">
        <v>43276</v>
      </c>
      <c r="B582">
        <v>3369.21</v>
      </c>
    </row>
    <row r="583" spans="1:2">
      <c r="A583" s="10">
        <v>43277</v>
      </c>
      <c r="B583">
        <v>3368.72</v>
      </c>
    </row>
    <row r="584" spans="1:2">
      <c r="A584" s="10">
        <v>43278</v>
      </c>
      <c r="B584">
        <v>3397.13</v>
      </c>
    </row>
    <row r="585" spans="1:2">
      <c r="A585" s="10">
        <v>43279</v>
      </c>
      <c r="B585">
        <v>3365.52</v>
      </c>
    </row>
    <row r="586" spans="1:2">
      <c r="A586" s="10">
        <v>43280</v>
      </c>
      <c r="B586">
        <v>3395.6</v>
      </c>
    </row>
    <row r="587" spans="1:2">
      <c r="A587" s="10">
        <v>43283</v>
      </c>
      <c r="B587">
        <v>3372.21</v>
      </c>
    </row>
    <row r="588" spans="1:2">
      <c r="A588" s="10">
        <v>43284</v>
      </c>
      <c r="B588">
        <v>3406.34</v>
      </c>
    </row>
    <row r="589" spans="1:2">
      <c r="A589" s="10">
        <v>43285</v>
      </c>
      <c r="B589">
        <v>3412.03</v>
      </c>
    </row>
    <row r="590" spans="1:2">
      <c r="A590" s="10">
        <v>43286</v>
      </c>
      <c r="B590">
        <v>3440.92</v>
      </c>
    </row>
    <row r="591" spans="1:2">
      <c r="A591" s="10">
        <v>43287</v>
      </c>
      <c r="B591">
        <v>3448.49</v>
      </c>
    </row>
    <row r="592" spans="1:2">
      <c r="A592" s="10">
        <v>43290</v>
      </c>
      <c r="B592">
        <v>3460.44</v>
      </c>
    </row>
    <row r="593" spans="1:2">
      <c r="A593" s="10">
        <v>43291</v>
      </c>
      <c r="B593">
        <v>3473.31</v>
      </c>
    </row>
    <row r="594" spans="1:2">
      <c r="A594" s="10">
        <v>43292</v>
      </c>
      <c r="B594">
        <v>3422.35</v>
      </c>
    </row>
    <row r="595" spans="1:2">
      <c r="A595" s="10">
        <v>43293</v>
      </c>
      <c r="B595">
        <v>3445.49</v>
      </c>
    </row>
    <row r="596" spans="1:2">
      <c r="A596" s="10">
        <v>43294</v>
      </c>
      <c r="B596">
        <v>3454.54</v>
      </c>
    </row>
    <row r="597" spans="1:2">
      <c r="A597" s="10">
        <v>43297</v>
      </c>
      <c r="B597">
        <v>3449.08</v>
      </c>
    </row>
    <row r="598" spans="1:2">
      <c r="A598" s="10">
        <v>43298</v>
      </c>
      <c r="B598">
        <v>3457.5</v>
      </c>
    </row>
    <row r="599" spans="1:2">
      <c r="A599" s="10">
        <v>43299</v>
      </c>
      <c r="B599">
        <v>3485.08</v>
      </c>
    </row>
    <row r="600" spans="1:2">
      <c r="A600" s="10">
        <v>43300</v>
      </c>
      <c r="B600">
        <v>3471.64</v>
      </c>
    </row>
    <row r="601" spans="1:2">
      <c r="A601" s="10">
        <v>43301</v>
      </c>
      <c r="B601">
        <v>3460.03</v>
      </c>
    </row>
    <row r="602" spans="1:2">
      <c r="A602" s="10">
        <v>43304</v>
      </c>
      <c r="B602">
        <v>3454.05</v>
      </c>
    </row>
    <row r="603" spans="1:2">
      <c r="A603" s="10">
        <v>43305</v>
      </c>
      <c r="B603">
        <v>3483.31</v>
      </c>
    </row>
    <row r="604" spans="1:2">
      <c r="A604" s="10">
        <v>43306</v>
      </c>
      <c r="B604">
        <v>3468.45</v>
      </c>
    </row>
    <row r="605" spans="1:2">
      <c r="A605" s="10">
        <v>43307</v>
      </c>
      <c r="B605">
        <v>3509.26</v>
      </c>
    </row>
    <row r="606" spans="1:2">
      <c r="A606" s="10">
        <v>43308</v>
      </c>
      <c r="B606">
        <v>3527.18</v>
      </c>
    </row>
    <row r="607" spans="1:2">
      <c r="A607" s="10">
        <v>43311</v>
      </c>
      <c r="B607">
        <v>3512.31</v>
      </c>
    </row>
    <row r="608" spans="1:2">
      <c r="A608" s="10">
        <v>43312</v>
      </c>
      <c r="B608">
        <v>3525.49</v>
      </c>
    </row>
    <row r="609" spans="1:2">
      <c r="A609" s="10">
        <v>43313</v>
      </c>
      <c r="B609">
        <v>3509.23</v>
      </c>
    </row>
    <row r="610" spans="1:2">
      <c r="A610" s="10">
        <v>43314</v>
      </c>
      <c r="B610">
        <v>3469.21</v>
      </c>
    </row>
    <row r="611" spans="1:2">
      <c r="A611" s="10">
        <v>43315</v>
      </c>
      <c r="B611">
        <v>3482.4</v>
      </c>
    </row>
    <row r="612" spans="1:2">
      <c r="A612" s="10">
        <v>43318</v>
      </c>
      <c r="B612">
        <v>3483.3</v>
      </c>
    </row>
    <row r="613" spans="1:2">
      <c r="A613" s="10">
        <v>43319</v>
      </c>
      <c r="B613">
        <v>3504.37</v>
      </c>
    </row>
    <row r="614" spans="1:2">
      <c r="A614" s="10">
        <v>43320</v>
      </c>
      <c r="B614">
        <v>3493.6</v>
      </c>
    </row>
    <row r="615" spans="1:2">
      <c r="A615" s="10">
        <v>43321</v>
      </c>
      <c r="B615">
        <v>3494.13</v>
      </c>
    </row>
    <row r="616" spans="1:2">
      <c r="A616" s="10">
        <v>43322</v>
      </c>
      <c r="B616">
        <v>3426.28</v>
      </c>
    </row>
    <row r="617" spans="1:2">
      <c r="A617" s="10">
        <v>43325</v>
      </c>
      <c r="B617">
        <v>3409.68</v>
      </c>
    </row>
    <row r="618" spans="1:2">
      <c r="A618" s="10">
        <v>43326</v>
      </c>
      <c r="B618">
        <v>3409.44</v>
      </c>
    </row>
    <row r="619" spans="1:2">
      <c r="A619" s="10">
        <v>43327</v>
      </c>
      <c r="B619">
        <v>3359.08</v>
      </c>
    </row>
    <row r="620" spans="1:2">
      <c r="A620" s="10">
        <v>43328</v>
      </c>
      <c r="B620">
        <v>3377.56</v>
      </c>
    </row>
    <row r="621" spans="1:2">
      <c r="A621" s="10">
        <v>43329</v>
      </c>
      <c r="B621">
        <v>3372.94</v>
      </c>
    </row>
    <row r="622" spans="1:2">
      <c r="A622" s="10">
        <v>43332</v>
      </c>
      <c r="B622">
        <v>3393.67</v>
      </c>
    </row>
    <row r="623" spans="1:2">
      <c r="A623" s="10">
        <v>43333</v>
      </c>
      <c r="B623">
        <v>3411.66</v>
      </c>
    </row>
    <row r="624" spans="1:2">
      <c r="A624" s="10">
        <v>43334</v>
      </c>
      <c r="B624">
        <v>3420.18</v>
      </c>
    </row>
    <row r="625" spans="1:2">
      <c r="A625" s="10">
        <v>43335</v>
      </c>
      <c r="B625">
        <v>3419.26</v>
      </c>
    </row>
    <row r="626" spans="1:2">
      <c r="A626" s="10">
        <v>43336</v>
      </c>
      <c r="B626">
        <v>3427.44</v>
      </c>
    </row>
    <row r="627" spans="1:2">
      <c r="A627" s="10">
        <v>43339</v>
      </c>
      <c r="B627">
        <v>3456.01</v>
      </c>
    </row>
    <row r="628" spans="1:2">
      <c r="A628" s="10">
        <v>43340</v>
      </c>
      <c r="B628">
        <v>3447.57</v>
      </c>
    </row>
    <row r="629" spans="1:2">
      <c r="A629" s="10">
        <v>43341</v>
      </c>
      <c r="B629">
        <v>3456.13</v>
      </c>
    </row>
    <row r="630" spans="1:2">
      <c r="A630" s="10">
        <v>43342</v>
      </c>
      <c r="B630">
        <v>3430.99</v>
      </c>
    </row>
    <row r="631" spans="1:2">
      <c r="A631" s="10">
        <v>43343</v>
      </c>
      <c r="B631">
        <v>3392.9</v>
      </c>
    </row>
    <row r="632" spans="1:2">
      <c r="A632" s="10">
        <v>43346</v>
      </c>
      <c r="B632">
        <v>3394.99</v>
      </c>
    </row>
    <row r="633" spans="1:2">
      <c r="A633" s="10">
        <v>43347</v>
      </c>
      <c r="B633">
        <v>3359.36</v>
      </c>
    </row>
    <row r="634" spans="1:2">
      <c r="A634" s="10">
        <v>43348</v>
      </c>
      <c r="B634">
        <v>3315.62</v>
      </c>
    </row>
    <row r="635" spans="1:2">
      <c r="A635" s="10">
        <v>43349</v>
      </c>
      <c r="B635">
        <v>3295.95</v>
      </c>
    </row>
    <row r="636" spans="1:2">
      <c r="A636" s="10">
        <v>43350</v>
      </c>
      <c r="B636">
        <v>3293.36</v>
      </c>
    </row>
    <row r="637" spans="1:2">
      <c r="A637" s="10">
        <v>43353</v>
      </c>
      <c r="B637">
        <v>3309.28</v>
      </c>
    </row>
    <row r="638" spans="1:2">
      <c r="A638" s="10">
        <v>43354</v>
      </c>
      <c r="B638">
        <v>3311.66</v>
      </c>
    </row>
    <row r="639" spans="1:2">
      <c r="A639" s="10">
        <v>43355</v>
      </c>
      <c r="B639">
        <v>3326.6</v>
      </c>
    </row>
    <row r="640" spans="1:2">
      <c r="A640" s="10">
        <v>43356</v>
      </c>
      <c r="B640">
        <v>3333.68</v>
      </c>
    </row>
    <row r="641" spans="1:2">
      <c r="A641" s="10">
        <v>43357</v>
      </c>
      <c r="B641">
        <v>3344.63</v>
      </c>
    </row>
    <row r="642" spans="1:2">
      <c r="A642" s="10">
        <v>43360</v>
      </c>
      <c r="B642">
        <v>3346.11</v>
      </c>
    </row>
    <row r="643" spans="1:2">
      <c r="A643" s="10">
        <v>43361</v>
      </c>
      <c r="B643">
        <v>3358.46</v>
      </c>
    </row>
    <row r="644" spans="1:2">
      <c r="A644" s="10">
        <v>43362</v>
      </c>
      <c r="B644">
        <v>3368.56</v>
      </c>
    </row>
    <row r="645" spans="1:2">
      <c r="A645" s="10">
        <v>43363</v>
      </c>
      <c r="B645">
        <v>3403.12</v>
      </c>
    </row>
    <row r="646" spans="1:2">
      <c r="A646" s="10">
        <v>43364</v>
      </c>
      <c r="B646">
        <v>3430.81</v>
      </c>
    </row>
    <row r="647" spans="1:2">
      <c r="A647" s="10">
        <v>43367</v>
      </c>
      <c r="B647">
        <v>3410.44</v>
      </c>
    </row>
    <row r="648" spans="1:2">
      <c r="A648" s="10">
        <v>43368</v>
      </c>
      <c r="B648">
        <v>3419.78</v>
      </c>
    </row>
    <row r="649" spans="1:2">
      <c r="A649" s="10">
        <v>43369</v>
      </c>
      <c r="B649">
        <v>3433.15</v>
      </c>
    </row>
    <row r="650" spans="1:2">
      <c r="A650" s="10">
        <v>43370</v>
      </c>
      <c r="B650">
        <v>3449.79</v>
      </c>
    </row>
    <row r="651" spans="1:2">
      <c r="A651" s="10">
        <v>43371</v>
      </c>
      <c r="B651">
        <v>3399.2</v>
      </c>
    </row>
    <row r="652" spans="1:2">
      <c r="A652" s="10">
        <v>43374</v>
      </c>
      <c r="B652">
        <v>3414.16</v>
      </c>
    </row>
    <row r="653" spans="1:2">
      <c r="A653" s="10">
        <v>43375</v>
      </c>
      <c r="B653">
        <v>3388.99</v>
      </c>
    </row>
    <row r="654" spans="1:2">
      <c r="A654" s="10">
        <v>43376</v>
      </c>
      <c r="B654">
        <v>3405.48</v>
      </c>
    </row>
    <row r="655" spans="1:2">
      <c r="A655" s="10">
        <v>43377</v>
      </c>
      <c r="B655">
        <v>3375.08</v>
      </c>
    </row>
    <row r="656" spans="1:2">
      <c r="A656" s="10">
        <v>43378</v>
      </c>
      <c r="B656">
        <v>3345.51</v>
      </c>
    </row>
    <row r="657" spans="1:2">
      <c r="A657" s="10">
        <v>43381</v>
      </c>
      <c r="B657">
        <v>3309.72</v>
      </c>
    </row>
    <row r="658" spans="1:2">
      <c r="A658" s="10">
        <v>43382</v>
      </c>
      <c r="B658">
        <v>3321.79</v>
      </c>
    </row>
    <row r="659" spans="1:2">
      <c r="A659" s="10">
        <v>43383</v>
      </c>
      <c r="B659">
        <v>3266.9</v>
      </c>
    </row>
    <row r="660" spans="1:2">
      <c r="A660" s="10">
        <v>43384</v>
      </c>
      <c r="B660">
        <v>3209.19</v>
      </c>
    </row>
    <row r="661" spans="1:2">
      <c r="A661" s="10">
        <v>43385</v>
      </c>
      <c r="B661">
        <v>3194.41</v>
      </c>
    </row>
    <row r="662" spans="1:2">
      <c r="A662" s="10">
        <v>43388</v>
      </c>
      <c r="B662">
        <v>3210.37</v>
      </c>
    </row>
    <row r="663" spans="1:2">
      <c r="A663" s="10">
        <v>43389</v>
      </c>
      <c r="B663">
        <v>3257.34</v>
      </c>
    </row>
    <row r="664" spans="1:2">
      <c r="A664" s="10">
        <v>43390</v>
      </c>
      <c r="B664">
        <v>3243.08</v>
      </c>
    </row>
    <row r="665" spans="1:2">
      <c r="A665" s="10">
        <v>43391</v>
      </c>
      <c r="B665">
        <v>3211.59</v>
      </c>
    </row>
    <row r="666" spans="1:2">
      <c r="A666" s="10">
        <v>43392</v>
      </c>
      <c r="B666">
        <v>3210.82</v>
      </c>
    </row>
    <row r="667" spans="1:2">
      <c r="A667" s="10">
        <v>43395</v>
      </c>
      <c r="B667">
        <v>3190.09</v>
      </c>
    </row>
    <row r="668" spans="1:2">
      <c r="A668" s="10">
        <v>43396</v>
      </c>
      <c r="B668">
        <v>3140.94</v>
      </c>
    </row>
    <row r="669" spans="1:2">
      <c r="A669" s="10">
        <v>43397</v>
      </c>
      <c r="B669">
        <v>3130.33</v>
      </c>
    </row>
    <row r="670" spans="1:2">
      <c r="A670" s="10">
        <v>43398</v>
      </c>
      <c r="B670">
        <v>3164.4</v>
      </c>
    </row>
    <row r="671" spans="1:2">
      <c r="A671" s="10">
        <v>43399</v>
      </c>
      <c r="B671">
        <v>3134.89</v>
      </c>
    </row>
    <row r="672" spans="1:2">
      <c r="A672" s="10">
        <v>43402</v>
      </c>
      <c r="B672">
        <v>3154.93</v>
      </c>
    </row>
    <row r="673" spans="1:2">
      <c r="A673" s="10">
        <v>43403</v>
      </c>
      <c r="B673">
        <v>3147.13</v>
      </c>
    </row>
    <row r="674" spans="1:2">
      <c r="A674" s="10">
        <v>43404</v>
      </c>
      <c r="B674">
        <v>3197.51</v>
      </c>
    </row>
    <row r="675" spans="1:2">
      <c r="A675" s="10">
        <v>43405</v>
      </c>
      <c r="B675">
        <v>3204.21</v>
      </c>
    </row>
    <row r="676" spans="1:2">
      <c r="A676" s="10">
        <v>43406</v>
      </c>
      <c r="B676">
        <v>3214.41</v>
      </c>
    </row>
    <row r="677" spans="1:2">
      <c r="A677" s="10">
        <v>43409</v>
      </c>
      <c r="B677">
        <v>3217.37</v>
      </c>
    </row>
    <row r="678" spans="1:2">
      <c r="A678" s="10">
        <v>43410</v>
      </c>
      <c r="B678">
        <v>3207.42</v>
      </c>
    </row>
    <row r="679" spans="1:2">
      <c r="A679" s="10">
        <v>43411</v>
      </c>
      <c r="B679">
        <v>3246.16</v>
      </c>
    </row>
    <row r="680" spans="1:2">
      <c r="A680" s="10">
        <v>43412</v>
      </c>
      <c r="B680">
        <v>3237.6</v>
      </c>
    </row>
    <row r="681" spans="1:2">
      <c r="A681" s="10">
        <v>43413</v>
      </c>
      <c r="B681">
        <v>3229.49</v>
      </c>
    </row>
    <row r="682" spans="1:2">
      <c r="A682" s="10">
        <v>43416</v>
      </c>
      <c r="B682">
        <v>3194.08</v>
      </c>
    </row>
    <row r="683" spans="1:2">
      <c r="A683" s="10">
        <v>43417</v>
      </c>
      <c r="B683">
        <v>3224.82</v>
      </c>
    </row>
    <row r="684" spans="1:2">
      <c r="A684" s="10">
        <v>43418</v>
      </c>
      <c r="B684">
        <v>3205.36</v>
      </c>
    </row>
    <row r="685" spans="1:2">
      <c r="A685" s="10">
        <v>43419</v>
      </c>
      <c r="B685">
        <v>3190.31</v>
      </c>
    </row>
    <row r="686" spans="1:2">
      <c r="A686" s="10">
        <v>43420</v>
      </c>
      <c r="B686">
        <v>3180.74</v>
      </c>
    </row>
    <row r="687" spans="1:2">
      <c r="A687" s="10">
        <v>43423</v>
      </c>
      <c r="B687">
        <v>3160.33</v>
      </c>
    </row>
    <row r="688" spans="1:2">
      <c r="A688" s="10">
        <v>43424</v>
      </c>
      <c r="B688">
        <v>3116.07</v>
      </c>
    </row>
    <row r="689" spans="1:2">
      <c r="A689" s="10">
        <v>43425</v>
      </c>
      <c r="B689">
        <v>3153.91</v>
      </c>
    </row>
    <row r="690" spans="1:2">
      <c r="A690" s="10">
        <v>43426</v>
      </c>
      <c r="B690">
        <v>3126.67</v>
      </c>
    </row>
    <row r="691" spans="1:2">
      <c r="A691" s="10">
        <v>43427</v>
      </c>
      <c r="B691">
        <v>3137.21</v>
      </c>
    </row>
    <row r="692" spans="1:2">
      <c r="A692" s="10">
        <v>43430</v>
      </c>
      <c r="B692">
        <v>3172.71</v>
      </c>
    </row>
    <row r="693" spans="1:2">
      <c r="A693" s="10">
        <v>43431</v>
      </c>
      <c r="B693">
        <v>3166.42</v>
      </c>
    </row>
    <row r="694" spans="1:2">
      <c r="A694" s="10">
        <v>43432</v>
      </c>
      <c r="B694">
        <v>3168.29</v>
      </c>
    </row>
    <row r="695" spans="1:2">
      <c r="A695" s="10">
        <v>43433</v>
      </c>
      <c r="B695">
        <v>3174.16</v>
      </c>
    </row>
    <row r="696" spans="1:2">
      <c r="A696" s="10">
        <v>43434</v>
      </c>
      <c r="B696">
        <v>3173.13</v>
      </c>
    </row>
    <row r="697" spans="1:2">
      <c r="A697" s="10">
        <v>43437</v>
      </c>
      <c r="B697">
        <v>3214.99</v>
      </c>
    </row>
    <row r="698" spans="1:2">
      <c r="A698" s="10">
        <v>43438</v>
      </c>
      <c r="B698">
        <v>3189.25</v>
      </c>
    </row>
    <row r="699" spans="1:2">
      <c r="A699" s="10">
        <v>43439</v>
      </c>
      <c r="B699">
        <v>3150.27</v>
      </c>
    </row>
    <row r="700" spans="1:2">
      <c r="A700" s="10">
        <v>43440</v>
      </c>
      <c r="B700">
        <v>3045.94</v>
      </c>
    </row>
    <row r="701" spans="1:2">
      <c r="A701" s="10">
        <v>43441</v>
      </c>
      <c r="B701">
        <v>3058.53</v>
      </c>
    </row>
    <row r="702" spans="1:2">
      <c r="A702" s="10">
        <v>43444</v>
      </c>
      <c r="B702">
        <v>3016.99</v>
      </c>
    </row>
    <row r="703" spans="1:2">
      <c r="A703" s="10">
        <v>43445</v>
      </c>
      <c r="B703">
        <v>3055.32</v>
      </c>
    </row>
    <row r="704" spans="1:2">
      <c r="A704" s="10">
        <v>43446</v>
      </c>
      <c r="B704">
        <v>3107.97</v>
      </c>
    </row>
    <row r="705" spans="1:2">
      <c r="A705" s="10">
        <v>43447</v>
      </c>
      <c r="B705">
        <v>3112.17</v>
      </c>
    </row>
    <row r="706" spans="1:2">
      <c r="A706" s="10">
        <v>43448</v>
      </c>
      <c r="B706">
        <v>3092.6</v>
      </c>
    </row>
    <row r="707" spans="1:2">
      <c r="A707" s="10">
        <v>43451</v>
      </c>
      <c r="B707">
        <v>3063.65</v>
      </c>
    </row>
    <row r="708" spans="1:2">
      <c r="A708" s="10">
        <v>43452</v>
      </c>
      <c r="B708">
        <v>3040.13</v>
      </c>
    </row>
    <row r="709" spans="1:2">
      <c r="A709" s="10">
        <v>43453</v>
      </c>
      <c r="B709">
        <v>3051.38</v>
      </c>
    </row>
    <row r="710" spans="1:2">
      <c r="A710" s="10">
        <v>43454</v>
      </c>
      <c r="B710">
        <v>3000.06</v>
      </c>
    </row>
    <row r="711" spans="1:2">
      <c r="A711" s="10">
        <v>43455</v>
      </c>
      <c r="B711">
        <v>3000.61</v>
      </c>
    </row>
    <row r="712" spans="1:2">
      <c r="A712" s="10">
        <v>43458</v>
      </c>
      <c r="B712">
        <v>2973.78</v>
      </c>
    </row>
    <row r="713" spans="1:2">
      <c r="A713" s="10">
        <v>43461</v>
      </c>
      <c r="B713">
        <v>2937.36</v>
      </c>
    </row>
    <row r="714" spans="1:2">
      <c r="A714" s="10">
        <v>43462</v>
      </c>
      <c r="B714">
        <v>2986.53</v>
      </c>
    </row>
    <row r="715" spans="1:2">
      <c r="A715" s="10">
        <v>43465</v>
      </c>
      <c r="B715">
        <v>3001.42</v>
      </c>
    </row>
    <row r="716" spans="1:2">
      <c r="A716" s="10">
        <v>43467</v>
      </c>
      <c r="B716">
        <v>2993.18</v>
      </c>
    </row>
    <row r="717" spans="1:2">
      <c r="A717" s="10">
        <v>43468</v>
      </c>
      <c r="B717">
        <v>2954.66</v>
      </c>
    </row>
    <row r="718" spans="1:2">
      <c r="A718" s="10">
        <v>43469</v>
      </c>
      <c r="B718">
        <v>3041.85</v>
      </c>
    </row>
    <row r="719" spans="1:2">
      <c r="A719" s="10">
        <v>43472</v>
      </c>
      <c r="B719">
        <v>3033.64</v>
      </c>
    </row>
    <row r="720" spans="1:2">
      <c r="A720" s="10">
        <v>43473</v>
      </c>
      <c r="B720">
        <v>3054.94</v>
      </c>
    </row>
    <row r="721" spans="1:2">
      <c r="A721" s="10">
        <v>43474</v>
      </c>
      <c r="B721">
        <v>3070.24</v>
      </c>
    </row>
    <row r="722" spans="1:2">
      <c r="A722" s="10">
        <v>43475</v>
      </c>
      <c r="B722">
        <v>3075.73</v>
      </c>
    </row>
    <row r="723" spans="1:2">
      <c r="A723" s="10">
        <v>43476</v>
      </c>
      <c r="B723">
        <v>3070.04</v>
      </c>
    </row>
    <row r="724" spans="1:2">
      <c r="A724" s="10">
        <v>43479</v>
      </c>
      <c r="B724">
        <v>3055.18</v>
      </c>
    </row>
    <row r="725" spans="1:2">
      <c r="A725" s="10">
        <v>43480</v>
      </c>
      <c r="B725">
        <v>3068.05</v>
      </c>
    </row>
    <row r="726" spans="1:2">
      <c r="A726" s="10">
        <v>43481</v>
      </c>
      <c r="B726">
        <v>3077.22</v>
      </c>
    </row>
    <row r="727" spans="1:2">
      <c r="A727" s="10">
        <v>43482</v>
      </c>
      <c r="B727">
        <v>3069.35</v>
      </c>
    </row>
    <row r="728" spans="1:2">
      <c r="A728" s="10">
        <v>43483</v>
      </c>
      <c r="B728">
        <v>3134.92</v>
      </c>
    </row>
    <row r="729" spans="1:2">
      <c r="A729" s="10">
        <v>43486</v>
      </c>
      <c r="B729">
        <v>3125.07</v>
      </c>
    </row>
    <row r="730" spans="1:2">
      <c r="A730" s="10">
        <v>43487</v>
      </c>
      <c r="B730">
        <v>3112.8</v>
      </c>
    </row>
    <row r="731" spans="1:2">
      <c r="A731" s="10">
        <v>43488</v>
      </c>
      <c r="B731">
        <v>3112.13</v>
      </c>
    </row>
    <row r="732" spans="1:2">
      <c r="A732" s="10">
        <v>43489</v>
      </c>
      <c r="B732">
        <v>3126.31</v>
      </c>
    </row>
    <row r="733" spans="1:2">
      <c r="A733" s="10">
        <v>43490</v>
      </c>
      <c r="B733">
        <v>3163.24</v>
      </c>
    </row>
    <row r="734" spans="1:2">
      <c r="A734" s="10">
        <v>43493</v>
      </c>
      <c r="B734">
        <v>3137.27</v>
      </c>
    </row>
    <row r="735" spans="1:2">
      <c r="A735" s="10">
        <v>43494</v>
      </c>
      <c r="B735">
        <v>3153.42</v>
      </c>
    </row>
    <row r="736" spans="1:2">
      <c r="A736" s="10">
        <v>43495</v>
      </c>
      <c r="B736">
        <v>3161.74</v>
      </c>
    </row>
    <row r="737" spans="1:2">
      <c r="A737" s="10">
        <v>43496</v>
      </c>
      <c r="B737">
        <v>3159.43</v>
      </c>
    </row>
    <row r="738" spans="1:2">
      <c r="A738" s="10">
        <v>43497</v>
      </c>
      <c r="B738">
        <v>3171.12</v>
      </c>
    </row>
    <row r="739" spans="1:2">
      <c r="A739" s="10">
        <v>43500</v>
      </c>
      <c r="B739">
        <v>3165.2</v>
      </c>
    </row>
    <row r="740" spans="1:2">
      <c r="A740" s="10">
        <v>43501</v>
      </c>
      <c r="B740">
        <v>3215.04</v>
      </c>
    </row>
    <row r="741" spans="1:2">
      <c r="A741" s="10">
        <v>43502</v>
      </c>
      <c r="B741">
        <v>3212.75</v>
      </c>
    </row>
    <row r="742" spans="1:2">
      <c r="A742" s="10">
        <v>43503</v>
      </c>
      <c r="B742">
        <v>3150.76</v>
      </c>
    </row>
    <row r="743" spans="1:2">
      <c r="A743" s="10">
        <v>43504</v>
      </c>
      <c r="B743">
        <v>3135.62</v>
      </c>
    </row>
    <row r="744" spans="1:2">
      <c r="A744" s="10">
        <v>43507</v>
      </c>
      <c r="B744">
        <v>3165.61</v>
      </c>
    </row>
    <row r="745" spans="1:2">
      <c r="A745" s="10">
        <v>43508</v>
      </c>
      <c r="B745">
        <v>3190.75</v>
      </c>
    </row>
    <row r="746" spans="1:2">
      <c r="A746" s="10">
        <v>43509</v>
      </c>
      <c r="B746">
        <v>3202.37</v>
      </c>
    </row>
    <row r="747" spans="1:2">
      <c r="A747" s="10">
        <v>43510</v>
      </c>
      <c r="B747">
        <v>3182.66</v>
      </c>
    </row>
    <row r="748" spans="1:2">
      <c r="A748" s="10">
        <v>43511</v>
      </c>
      <c r="B748">
        <v>3241.25</v>
      </c>
    </row>
    <row r="749" spans="1:2">
      <c r="A749" s="10">
        <v>43514</v>
      </c>
      <c r="B749">
        <v>3244.79</v>
      </c>
    </row>
    <row r="750" spans="1:2">
      <c r="A750" s="10">
        <v>43515</v>
      </c>
      <c r="B750">
        <v>3239.41</v>
      </c>
    </row>
    <row r="751" spans="1:2">
      <c r="A751" s="10">
        <v>43516</v>
      </c>
      <c r="B751">
        <v>3259.49</v>
      </c>
    </row>
    <row r="752" spans="1:2">
      <c r="A752" s="10">
        <v>43517</v>
      </c>
      <c r="B752">
        <v>3263.7</v>
      </c>
    </row>
    <row r="753" spans="1:2">
      <c r="A753" s="10">
        <v>43518</v>
      </c>
      <c r="B753">
        <v>3270.55</v>
      </c>
    </row>
    <row r="754" spans="1:2">
      <c r="A754" s="10">
        <v>43521</v>
      </c>
      <c r="B754">
        <v>3280.01</v>
      </c>
    </row>
    <row r="755" spans="1:2">
      <c r="A755" s="10">
        <v>43522</v>
      </c>
      <c r="B755">
        <v>3289.32</v>
      </c>
    </row>
    <row r="756" spans="1:2">
      <c r="A756" s="10">
        <v>43523</v>
      </c>
      <c r="B756">
        <v>3282.77</v>
      </c>
    </row>
    <row r="757" spans="1:2">
      <c r="A757" s="10">
        <v>43524</v>
      </c>
      <c r="B757">
        <v>3298.26</v>
      </c>
    </row>
    <row r="758" spans="1:2">
      <c r="A758" s="10">
        <v>43525</v>
      </c>
      <c r="B758">
        <v>3312.1</v>
      </c>
    </row>
    <row r="759" spans="1:2">
      <c r="A759" s="10">
        <v>43528</v>
      </c>
      <c r="B759">
        <v>3317.12</v>
      </c>
    </row>
    <row r="760" spans="1:2">
      <c r="A760" s="10">
        <v>43529</v>
      </c>
      <c r="B760">
        <v>3327.19</v>
      </c>
    </row>
    <row r="761" spans="1:2">
      <c r="A761" s="10">
        <v>43530</v>
      </c>
      <c r="B761">
        <v>3324.67</v>
      </c>
    </row>
    <row r="762" spans="1:2">
      <c r="A762" s="10">
        <v>43531</v>
      </c>
      <c r="B762">
        <v>3308.85</v>
      </c>
    </row>
    <row r="763" spans="1:2">
      <c r="A763" s="10">
        <v>43532</v>
      </c>
      <c r="B763">
        <v>3283.6</v>
      </c>
    </row>
    <row r="764" spans="1:2">
      <c r="A764" s="10">
        <v>43535</v>
      </c>
      <c r="B764">
        <v>3304.44</v>
      </c>
    </row>
    <row r="765" spans="1:2">
      <c r="A765" s="10">
        <v>43536</v>
      </c>
      <c r="B765">
        <v>3303.95</v>
      </c>
    </row>
    <row r="766" spans="1:2">
      <c r="A766" s="10">
        <v>43537</v>
      </c>
      <c r="B766">
        <v>3323.45</v>
      </c>
    </row>
    <row r="767" spans="1:2">
      <c r="A767" s="10">
        <v>43538</v>
      </c>
      <c r="B767">
        <v>3342.03</v>
      </c>
    </row>
    <row r="768" spans="1:2">
      <c r="A768" s="10">
        <v>43539</v>
      </c>
      <c r="B768">
        <v>3386.08</v>
      </c>
    </row>
    <row r="769" spans="1:2">
      <c r="A769" s="10">
        <v>43542</v>
      </c>
      <c r="B769">
        <v>3387.94</v>
      </c>
    </row>
    <row r="770" spans="1:2">
      <c r="A770" s="10">
        <v>43543</v>
      </c>
      <c r="B770">
        <v>3409</v>
      </c>
    </row>
    <row r="771" spans="1:2">
      <c r="A771" s="10">
        <v>43544</v>
      </c>
      <c r="B771">
        <v>3372.38</v>
      </c>
    </row>
    <row r="772" spans="1:2">
      <c r="A772" s="10">
        <v>43545</v>
      </c>
      <c r="B772">
        <v>3367.4</v>
      </c>
    </row>
    <row r="773" spans="1:2">
      <c r="A773" s="10">
        <v>43546</v>
      </c>
      <c r="B773">
        <v>3305.73</v>
      </c>
    </row>
    <row r="774" spans="1:2">
      <c r="A774" s="10">
        <v>43549</v>
      </c>
      <c r="B774">
        <v>3300.48</v>
      </c>
    </row>
    <row r="775" spans="1:2">
      <c r="A775" s="10">
        <v>43550</v>
      </c>
      <c r="B775">
        <v>3319.53</v>
      </c>
    </row>
    <row r="776" spans="1:2">
      <c r="A776" s="10">
        <v>43551</v>
      </c>
      <c r="B776">
        <v>3322.04</v>
      </c>
    </row>
    <row r="777" spans="1:2">
      <c r="A777" s="10">
        <v>43552</v>
      </c>
      <c r="B777">
        <v>3320.29</v>
      </c>
    </row>
    <row r="778" spans="1:2">
      <c r="A778" s="10">
        <v>43553</v>
      </c>
      <c r="B778">
        <v>3351.71</v>
      </c>
    </row>
    <row r="779" spans="1:2">
      <c r="A779" s="10">
        <v>43556</v>
      </c>
      <c r="B779">
        <v>3385.38</v>
      </c>
    </row>
    <row r="780" spans="1:2">
      <c r="A780" s="10">
        <v>43557</v>
      </c>
      <c r="B780">
        <v>3395.7</v>
      </c>
    </row>
    <row r="781" spans="1:2">
      <c r="A781" s="10">
        <v>43558</v>
      </c>
      <c r="B781">
        <v>3435.56</v>
      </c>
    </row>
    <row r="782" spans="1:2">
      <c r="A782" s="10">
        <v>43559</v>
      </c>
      <c r="B782">
        <v>3441.93</v>
      </c>
    </row>
    <row r="783" spans="1:2">
      <c r="A783" s="10">
        <v>43560</v>
      </c>
      <c r="B783">
        <v>3447.47</v>
      </c>
    </row>
    <row r="784" spans="1:2">
      <c r="A784" s="10">
        <v>43563</v>
      </c>
      <c r="B784">
        <v>3438.06</v>
      </c>
    </row>
    <row r="785" spans="1:2">
      <c r="A785" s="10">
        <v>43564</v>
      </c>
      <c r="B785">
        <v>3417.22</v>
      </c>
    </row>
    <row r="786" spans="1:2">
      <c r="A786" s="10">
        <v>43565</v>
      </c>
      <c r="B786">
        <v>3424.65</v>
      </c>
    </row>
    <row r="787" spans="1:2">
      <c r="A787" s="10">
        <v>43566</v>
      </c>
      <c r="B787">
        <v>3435.34</v>
      </c>
    </row>
    <row r="788" spans="1:2">
      <c r="A788" s="10">
        <v>43567</v>
      </c>
      <c r="B788">
        <v>3447.83</v>
      </c>
    </row>
    <row r="789" spans="1:2">
      <c r="A789" s="10">
        <v>43570</v>
      </c>
      <c r="B789">
        <v>3450.46</v>
      </c>
    </row>
    <row r="790" spans="1:2">
      <c r="A790" s="10">
        <v>43571</v>
      </c>
      <c r="B790">
        <v>3463.36</v>
      </c>
    </row>
    <row r="791" spans="1:2">
      <c r="A791" s="10">
        <v>43572</v>
      </c>
      <c r="B791">
        <v>3477.73</v>
      </c>
    </row>
    <row r="792" spans="1:2">
      <c r="A792" s="10">
        <v>43573</v>
      </c>
      <c r="B792">
        <v>3499.23</v>
      </c>
    </row>
    <row r="793" spans="1:2">
      <c r="A793" s="10">
        <v>43578</v>
      </c>
      <c r="B793">
        <v>3503.85</v>
      </c>
    </row>
    <row r="794" spans="1:2">
      <c r="A794" s="10">
        <v>43579</v>
      </c>
      <c r="B794">
        <v>3502.63</v>
      </c>
    </row>
    <row r="795" spans="1:2">
      <c r="A795" s="10">
        <v>43580</v>
      </c>
      <c r="B795">
        <v>3491.92</v>
      </c>
    </row>
    <row r="796" spans="1:2">
      <c r="A796" s="10">
        <v>43581</v>
      </c>
      <c r="B796">
        <v>3500.41</v>
      </c>
    </row>
    <row r="797" spans="1:2">
      <c r="A797" s="10">
        <v>43584</v>
      </c>
      <c r="B797">
        <v>3501.94</v>
      </c>
    </row>
    <row r="798" spans="1:2">
      <c r="A798" s="10">
        <v>43585</v>
      </c>
      <c r="B798">
        <v>3514.62</v>
      </c>
    </row>
    <row r="799" spans="1:2">
      <c r="A799" s="10">
        <v>43587</v>
      </c>
      <c r="B799">
        <v>3488.93</v>
      </c>
    </row>
    <row r="800" spans="1:2">
      <c r="A800" s="10">
        <v>43588</v>
      </c>
      <c r="B800">
        <v>3502.48</v>
      </c>
    </row>
    <row r="801" spans="1:2">
      <c r="A801" s="10">
        <v>43591</v>
      </c>
      <c r="B801">
        <v>3462.95</v>
      </c>
    </row>
    <row r="802" spans="1:2">
      <c r="A802" s="10">
        <v>43592</v>
      </c>
      <c r="B802">
        <v>3401.16</v>
      </c>
    </row>
    <row r="803" spans="1:2">
      <c r="A803" s="10">
        <v>43593</v>
      </c>
      <c r="B803">
        <v>3417.26</v>
      </c>
    </row>
    <row r="804" spans="1:2">
      <c r="A804" s="10">
        <v>43594</v>
      </c>
      <c r="B804">
        <v>3350.71</v>
      </c>
    </row>
    <row r="805" spans="1:2">
      <c r="A805" s="10">
        <v>43595</v>
      </c>
      <c r="B805">
        <v>3361.05</v>
      </c>
    </row>
    <row r="806" spans="1:2">
      <c r="A806" s="10">
        <v>43598</v>
      </c>
      <c r="B806">
        <v>3320.78</v>
      </c>
    </row>
    <row r="807" spans="1:2">
      <c r="A807" s="10">
        <v>43599</v>
      </c>
      <c r="B807">
        <v>3364.38</v>
      </c>
    </row>
    <row r="808" spans="1:2">
      <c r="A808" s="10">
        <v>43600</v>
      </c>
      <c r="B808">
        <v>3385.78</v>
      </c>
    </row>
    <row r="809" spans="1:2">
      <c r="A809" s="10">
        <v>43601</v>
      </c>
      <c r="B809">
        <v>3438.56</v>
      </c>
    </row>
    <row r="810" spans="1:2">
      <c r="A810" s="10">
        <v>43602</v>
      </c>
      <c r="B810">
        <v>3425.64</v>
      </c>
    </row>
    <row r="811" spans="1:2">
      <c r="A811" s="10">
        <v>43605</v>
      </c>
      <c r="B811">
        <v>3369.78</v>
      </c>
    </row>
    <row r="812" spans="1:2">
      <c r="A812" s="10">
        <v>43606</v>
      </c>
      <c r="B812">
        <v>3386.51</v>
      </c>
    </row>
    <row r="813" spans="1:2">
      <c r="A813" s="10">
        <v>43607</v>
      </c>
      <c r="B813">
        <v>3386.72</v>
      </c>
    </row>
    <row r="814" spans="1:2">
      <c r="A814" s="10">
        <v>43608</v>
      </c>
      <c r="B814">
        <v>3327.2</v>
      </c>
    </row>
    <row r="815" spans="1:2">
      <c r="A815" s="10">
        <v>43609</v>
      </c>
      <c r="B815">
        <v>3350.7</v>
      </c>
    </row>
    <row r="816" spans="1:2">
      <c r="A816" s="10">
        <v>43612</v>
      </c>
      <c r="B816">
        <v>3364.04</v>
      </c>
    </row>
    <row r="817" spans="1:2">
      <c r="A817" s="10">
        <v>43613</v>
      </c>
      <c r="B817">
        <v>3348.86</v>
      </c>
    </row>
    <row r="818" spans="1:2">
      <c r="A818" s="10">
        <v>43614</v>
      </c>
      <c r="B818">
        <v>3297.81</v>
      </c>
    </row>
    <row r="819" spans="1:2">
      <c r="A819" s="10">
        <v>43615</v>
      </c>
      <c r="B819">
        <v>3318.15</v>
      </c>
    </row>
    <row r="820" spans="1:2">
      <c r="A820" s="10">
        <v>43616</v>
      </c>
      <c r="B820">
        <v>3280.43</v>
      </c>
    </row>
    <row r="821" spans="1:2">
      <c r="A821" s="10">
        <v>43619</v>
      </c>
      <c r="B821">
        <v>3300.22</v>
      </c>
    </row>
    <row r="822" spans="1:2">
      <c r="A822" s="10">
        <v>43620</v>
      </c>
      <c r="B822">
        <v>3333.49</v>
      </c>
    </row>
    <row r="823" spans="1:2">
      <c r="A823" s="10">
        <v>43621</v>
      </c>
      <c r="B823">
        <v>3339.95</v>
      </c>
    </row>
    <row r="824" spans="1:2">
      <c r="A824" s="10">
        <v>43622</v>
      </c>
      <c r="B824">
        <v>3338.41</v>
      </c>
    </row>
    <row r="825" spans="1:2">
      <c r="A825" s="10">
        <v>43623</v>
      </c>
      <c r="B825">
        <v>3378.38</v>
      </c>
    </row>
    <row r="826" spans="1:2">
      <c r="A826" s="10">
        <v>43626</v>
      </c>
      <c r="B826">
        <v>3386.45</v>
      </c>
    </row>
    <row r="827" spans="1:2">
      <c r="A827" s="10">
        <v>43627</v>
      </c>
      <c r="B827">
        <v>3401.1</v>
      </c>
    </row>
    <row r="828" spans="1:2">
      <c r="A828" s="10">
        <v>43628</v>
      </c>
      <c r="B828">
        <v>3386.63</v>
      </c>
    </row>
    <row r="829" spans="1:2">
      <c r="A829" s="10">
        <v>43629</v>
      </c>
      <c r="B829">
        <v>3390.5</v>
      </c>
    </row>
    <row r="830" spans="1:2">
      <c r="A830" s="10">
        <v>43630</v>
      </c>
      <c r="B830">
        <v>3379.19</v>
      </c>
    </row>
    <row r="831" spans="1:2">
      <c r="A831" s="10">
        <v>43633</v>
      </c>
      <c r="B831">
        <v>3383.21</v>
      </c>
    </row>
    <row r="832" spans="1:2">
      <c r="A832" s="10">
        <v>43634</v>
      </c>
      <c r="B832">
        <v>3452.89</v>
      </c>
    </row>
    <row r="833" spans="1:2">
      <c r="A833" s="10">
        <v>43635</v>
      </c>
      <c r="B833">
        <v>3454.7</v>
      </c>
    </row>
    <row r="834" spans="1:2">
      <c r="A834" s="10">
        <v>43636</v>
      </c>
      <c r="B834">
        <v>3468.08</v>
      </c>
    </row>
    <row r="835" spans="1:2">
      <c r="A835" s="10">
        <v>43637</v>
      </c>
      <c r="B835">
        <v>3466.92</v>
      </c>
    </row>
    <row r="836" spans="1:2">
      <c r="A836" s="10">
        <v>43640</v>
      </c>
      <c r="B836">
        <v>3455.57</v>
      </c>
    </row>
    <row r="837" spans="1:2">
      <c r="A837" s="10">
        <v>43641</v>
      </c>
      <c r="B837">
        <v>3444.36</v>
      </c>
    </row>
    <row r="838" spans="1:2">
      <c r="A838" s="10">
        <v>43642</v>
      </c>
      <c r="B838">
        <v>3442.95</v>
      </c>
    </row>
    <row r="839" spans="1:2">
      <c r="A839" s="10">
        <v>43643</v>
      </c>
      <c r="B839">
        <v>3442.38</v>
      </c>
    </row>
    <row r="840" spans="1:2">
      <c r="A840" s="10">
        <v>43644</v>
      </c>
      <c r="B840">
        <v>3473.69</v>
      </c>
    </row>
    <row r="841" spans="1:2">
      <c r="A841" s="10">
        <v>43647</v>
      </c>
      <c r="B841">
        <v>3497.59</v>
      </c>
    </row>
    <row r="842" spans="1:2">
      <c r="A842" s="10">
        <v>43648</v>
      </c>
      <c r="B842">
        <v>3507.98</v>
      </c>
    </row>
    <row r="843" spans="1:2">
      <c r="A843" s="10">
        <v>43649</v>
      </c>
      <c r="B843">
        <v>3540.63</v>
      </c>
    </row>
    <row r="844" spans="1:2">
      <c r="A844" s="10">
        <v>43650</v>
      </c>
      <c r="B844">
        <v>3544.15</v>
      </c>
    </row>
    <row r="845" spans="1:2">
      <c r="A845" s="10">
        <v>43651</v>
      </c>
      <c r="B845">
        <v>3527.98</v>
      </c>
    </row>
    <row r="846" spans="1:2">
      <c r="A846" s="10">
        <v>43654</v>
      </c>
      <c r="B846">
        <v>3523.76</v>
      </c>
    </row>
    <row r="847" spans="1:2">
      <c r="A847" s="10">
        <v>43655</v>
      </c>
      <c r="B847">
        <v>3509.75</v>
      </c>
    </row>
    <row r="848" spans="1:2">
      <c r="A848" s="10">
        <v>43656</v>
      </c>
      <c r="B848">
        <v>3501.52</v>
      </c>
    </row>
    <row r="849" spans="1:2">
      <c r="A849" s="10">
        <v>43657</v>
      </c>
      <c r="B849">
        <v>3496.73</v>
      </c>
    </row>
    <row r="850" spans="1:2">
      <c r="A850" s="10">
        <v>43658</v>
      </c>
      <c r="B850">
        <v>3497.63</v>
      </c>
    </row>
    <row r="851" spans="1:2">
      <c r="A851" s="10">
        <v>43661</v>
      </c>
      <c r="B851">
        <v>3502.22</v>
      </c>
    </row>
    <row r="852" spans="1:2">
      <c r="A852" s="10">
        <v>43662</v>
      </c>
      <c r="B852">
        <v>3521.36</v>
      </c>
    </row>
    <row r="853" spans="1:2">
      <c r="A853" s="10">
        <v>43663</v>
      </c>
      <c r="B853">
        <v>3501.58</v>
      </c>
    </row>
    <row r="854" spans="1:2">
      <c r="A854" s="10">
        <v>43664</v>
      </c>
      <c r="B854">
        <v>3482.83</v>
      </c>
    </row>
    <row r="855" spans="1:2">
      <c r="A855" s="10">
        <v>43665</v>
      </c>
      <c r="B855">
        <v>3480.18</v>
      </c>
    </row>
    <row r="856" spans="1:2">
      <c r="A856" s="10">
        <v>43668</v>
      </c>
      <c r="B856">
        <v>3489.92</v>
      </c>
    </row>
    <row r="857" spans="1:2">
      <c r="A857" s="10">
        <v>43669</v>
      </c>
      <c r="B857">
        <v>3532.87</v>
      </c>
    </row>
    <row r="858" spans="1:2">
      <c r="A858" s="10">
        <v>43670</v>
      </c>
      <c r="B858">
        <v>3532.9</v>
      </c>
    </row>
    <row r="859" spans="1:2">
      <c r="A859" s="10">
        <v>43671</v>
      </c>
      <c r="B859">
        <v>3510.15</v>
      </c>
    </row>
    <row r="860" spans="1:2">
      <c r="A860" s="10">
        <v>43672</v>
      </c>
      <c r="B860">
        <v>3524.47</v>
      </c>
    </row>
    <row r="861" spans="1:2">
      <c r="A861" s="10">
        <v>43675</v>
      </c>
      <c r="B861">
        <v>3523.58</v>
      </c>
    </row>
    <row r="862" spans="1:2">
      <c r="A862" s="10">
        <v>43676</v>
      </c>
      <c r="B862">
        <v>3462.85</v>
      </c>
    </row>
    <row r="863" spans="1:2">
      <c r="A863" s="10">
        <v>43677</v>
      </c>
      <c r="B863">
        <v>3466.85</v>
      </c>
    </row>
    <row r="864" spans="1:2">
      <c r="A864" s="10">
        <v>43678</v>
      </c>
      <c r="B864">
        <v>3490.03</v>
      </c>
    </row>
    <row r="865" spans="1:2">
      <c r="A865" s="10">
        <v>43679</v>
      </c>
      <c r="B865">
        <v>3376.12</v>
      </c>
    </row>
    <row r="866" spans="1:2">
      <c r="A866" s="10">
        <v>43682</v>
      </c>
      <c r="B866">
        <v>3310.93</v>
      </c>
    </row>
    <row r="867" spans="1:2">
      <c r="A867" s="10">
        <v>43683</v>
      </c>
      <c r="B867">
        <v>3291.66</v>
      </c>
    </row>
    <row r="868" spans="1:2">
      <c r="A868" s="10">
        <v>43684</v>
      </c>
      <c r="B868">
        <v>3309.99</v>
      </c>
    </row>
    <row r="869" spans="1:2">
      <c r="A869" s="10">
        <v>43685</v>
      </c>
      <c r="B869">
        <v>3375.38</v>
      </c>
    </row>
    <row r="870" spans="1:2">
      <c r="A870" s="10">
        <v>43686</v>
      </c>
      <c r="B870">
        <v>3333.74</v>
      </c>
    </row>
    <row r="871" spans="1:2">
      <c r="A871" s="10">
        <v>43689</v>
      </c>
      <c r="B871">
        <v>3326.55</v>
      </c>
    </row>
    <row r="872" spans="1:2">
      <c r="A872" s="10">
        <v>43690</v>
      </c>
      <c r="B872">
        <v>3357.16</v>
      </c>
    </row>
    <row r="873" spans="1:2">
      <c r="A873" s="10">
        <v>43691</v>
      </c>
      <c r="B873">
        <v>3288.7</v>
      </c>
    </row>
    <row r="874" spans="1:2">
      <c r="A874" s="10">
        <v>43692</v>
      </c>
      <c r="B874">
        <v>3282.78</v>
      </c>
    </row>
    <row r="875" spans="1:2">
      <c r="A875" s="10">
        <v>43693</v>
      </c>
      <c r="B875">
        <v>3329.08</v>
      </c>
    </row>
    <row r="876" spans="1:2">
      <c r="A876" s="10">
        <v>43696</v>
      </c>
      <c r="B876">
        <v>3369.19</v>
      </c>
    </row>
    <row r="877" spans="1:2">
      <c r="A877" s="10">
        <v>43697</v>
      </c>
      <c r="B877">
        <v>3350.23</v>
      </c>
    </row>
    <row r="878" spans="1:2">
      <c r="A878" s="10">
        <v>43698</v>
      </c>
      <c r="B878">
        <v>3394.89</v>
      </c>
    </row>
    <row r="879" spans="1:2">
      <c r="A879" s="10">
        <v>43699</v>
      </c>
      <c r="B879">
        <v>3373.67</v>
      </c>
    </row>
    <row r="880" spans="1:2">
      <c r="A880" s="10">
        <v>43700</v>
      </c>
      <c r="B880">
        <v>3334.25</v>
      </c>
    </row>
    <row r="881" spans="1:2">
      <c r="A881" s="10">
        <v>43703</v>
      </c>
      <c r="B881">
        <v>3348.84</v>
      </c>
    </row>
    <row r="882" spans="1:2">
      <c r="A882" s="10">
        <v>43704</v>
      </c>
      <c r="B882">
        <v>3370.47</v>
      </c>
    </row>
    <row r="883" spans="1:2">
      <c r="A883" s="10">
        <v>43705</v>
      </c>
      <c r="B883">
        <v>3365.38</v>
      </c>
    </row>
    <row r="884" spans="1:2">
      <c r="A884" s="10">
        <v>43706</v>
      </c>
      <c r="B884">
        <v>3411.33</v>
      </c>
    </row>
    <row r="885" spans="1:2">
      <c r="A885" s="10">
        <v>43707</v>
      </c>
      <c r="B885">
        <v>3426.76</v>
      </c>
    </row>
    <row r="886" spans="1:2">
      <c r="A886" s="10">
        <v>43710</v>
      </c>
      <c r="B886">
        <v>3432.54</v>
      </c>
    </row>
    <row r="887" spans="1:2">
      <c r="A887" s="10">
        <v>43711</v>
      </c>
      <c r="B887">
        <v>3420.74</v>
      </c>
    </row>
    <row r="888" spans="1:2">
      <c r="A888" s="10">
        <v>43712</v>
      </c>
      <c r="B888">
        <v>3450.83</v>
      </c>
    </row>
    <row r="889" spans="1:2">
      <c r="A889" s="10">
        <v>43713</v>
      </c>
      <c r="B889">
        <v>3484.7</v>
      </c>
    </row>
    <row r="890" spans="1:2">
      <c r="A890" s="10">
        <v>43714</v>
      </c>
      <c r="B890">
        <v>3495.19</v>
      </c>
    </row>
    <row r="891" spans="1:2">
      <c r="A891" s="10">
        <v>43717</v>
      </c>
      <c r="B891">
        <v>3495.02</v>
      </c>
    </row>
    <row r="892" spans="1:2">
      <c r="A892" s="10">
        <v>43718</v>
      </c>
      <c r="B892">
        <v>3498.99</v>
      </c>
    </row>
    <row r="893" spans="1:2">
      <c r="A893" s="10">
        <v>43719</v>
      </c>
      <c r="B893">
        <v>3516.82</v>
      </c>
    </row>
    <row r="894" spans="1:2">
      <c r="A894" s="10">
        <v>43720</v>
      </c>
      <c r="B894">
        <v>3538.86</v>
      </c>
    </row>
    <row r="895" spans="1:2">
      <c r="A895" s="10">
        <v>43721</v>
      </c>
      <c r="B895">
        <v>3550.11</v>
      </c>
    </row>
    <row r="896" spans="1:2">
      <c r="A896" s="10">
        <v>43724</v>
      </c>
      <c r="B896">
        <v>3518.45</v>
      </c>
    </row>
    <row r="897" spans="1:2">
      <c r="A897" s="10">
        <v>43725</v>
      </c>
      <c r="B897">
        <v>3521.26</v>
      </c>
    </row>
    <row r="898" spans="1:2">
      <c r="A898" s="10">
        <v>43726</v>
      </c>
      <c r="B898">
        <v>3528.04</v>
      </c>
    </row>
    <row r="899" spans="1:2">
      <c r="A899" s="10">
        <v>43727</v>
      </c>
      <c r="B899">
        <v>3552.65</v>
      </c>
    </row>
    <row r="900" spans="1:2">
      <c r="A900" s="10">
        <v>43728</v>
      </c>
      <c r="B900">
        <v>3571.39</v>
      </c>
    </row>
    <row r="901" spans="1:2">
      <c r="A901" s="10">
        <v>43731</v>
      </c>
      <c r="B901">
        <v>3536.97</v>
      </c>
    </row>
    <row r="902" spans="1:2">
      <c r="A902" s="10">
        <v>43732</v>
      </c>
      <c r="B902">
        <v>3532.05</v>
      </c>
    </row>
    <row r="903" spans="1:2">
      <c r="A903" s="10">
        <v>43733</v>
      </c>
      <c r="B903">
        <v>3513.03</v>
      </c>
    </row>
    <row r="904" spans="1:2">
      <c r="A904" s="10">
        <v>43734</v>
      </c>
      <c r="B904">
        <v>3532.18</v>
      </c>
    </row>
    <row r="905" spans="1:2">
      <c r="A905" s="10">
        <v>43735</v>
      </c>
      <c r="B905">
        <v>3545.88</v>
      </c>
    </row>
    <row r="906" spans="1:2">
      <c r="A906" s="10">
        <v>43738</v>
      </c>
      <c r="B906">
        <v>3569.45</v>
      </c>
    </row>
    <row r="907" spans="1:2">
      <c r="A907" s="10">
        <v>43739</v>
      </c>
      <c r="B907">
        <v>3518.25</v>
      </c>
    </row>
    <row r="908" spans="1:2">
      <c r="A908" s="10">
        <v>43740</v>
      </c>
      <c r="B908">
        <v>3413.31</v>
      </c>
    </row>
    <row r="909" spans="1:2">
      <c r="A909" s="10">
        <v>43741</v>
      </c>
      <c r="B909">
        <v>3417.37</v>
      </c>
    </row>
    <row r="910" spans="1:2">
      <c r="A910" s="10">
        <v>43742</v>
      </c>
      <c r="B910">
        <v>3446.71</v>
      </c>
    </row>
    <row r="911" spans="1:2">
      <c r="A911" s="10">
        <v>43745</v>
      </c>
      <c r="B911">
        <v>3471.24</v>
      </c>
    </row>
    <row r="912" spans="1:2">
      <c r="A912" s="10">
        <v>43746</v>
      </c>
      <c r="B912">
        <v>3432.76</v>
      </c>
    </row>
    <row r="913" spans="1:2">
      <c r="A913" s="10">
        <v>43747</v>
      </c>
      <c r="B913">
        <v>3462.11</v>
      </c>
    </row>
    <row r="914" spans="1:2">
      <c r="A914" s="10">
        <v>43748</v>
      </c>
      <c r="B914">
        <v>3493.96</v>
      </c>
    </row>
    <row r="915" spans="1:2">
      <c r="A915" s="10">
        <v>43749</v>
      </c>
      <c r="B915">
        <v>3569.92</v>
      </c>
    </row>
    <row r="916" spans="1:2">
      <c r="A916" s="10">
        <v>43752</v>
      </c>
      <c r="B916">
        <v>3556.26</v>
      </c>
    </row>
    <row r="917" spans="1:2">
      <c r="A917" s="10">
        <v>43753</v>
      </c>
      <c r="B917">
        <v>3598.65</v>
      </c>
    </row>
    <row r="918" spans="1:2">
      <c r="A918" s="10">
        <v>43754</v>
      </c>
      <c r="B918">
        <v>3599.25</v>
      </c>
    </row>
    <row r="919" spans="1:2">
      <c r="A919" s="10">
        <v>43755</v>
      </c>
      <c r="B919">
        <v>3588.62</v>
      </c>
    </row>
    <row r="920" spans="1:2">
      <c r="A920" s="10">
        <v>43756</v>
      </c>
      <c r="B920">
        <v>3579.41</v>
      </c>
    </row>
    <row r="921" spans="1:2">
      <c r="A921" s="10">
        <v>43759</v>
      </c>
      <c r="B921">
        <v>3600.08</v>
      </c>
    </row>
    <row r="922" spans="1:2">
      <c r="A922" s="10">
        <v>43760</v>
      </c>
      <c r="B922">
        <v>3604.82</v>
      </c>
    </row>
    <row r="923" spans="1:2">
      <c r="A923" s="10">
        <v>43761</v>
      </c>
      <c r="B923">
        <v>3606.89</v>
      </c>
    </row>
    <row r="924" spans="1:2">
      <c r="A924" s="10">
        <v>43762</v>
      </c>
      <c r="B924">
        <v>3621.37</v>
      </c>
    </row>
    <row r="925" spans="1:2">
      <c r="A925" s="10">
        <v>43763</v>
      </c>
      <c r="B925">
        <v>3624.68</v>
      </c>
    </row>
    <row r="926" spans="1:2">
      <c r="A926" s="10">
        <v>43766</v>
      </c>
      <c r="B926">
        <v>3625.69</v>
      </c>
    </row>
    <row r="927" spans="1:2">
      <c r="A927" s="10">
        <v>43767</v>
      </c>
      <c r="B927">
        <v>3622.09</v>
      </c>
    </row>
    <row r="928" spans="1:2">
      <c r="A928" s="10">
        <v>43768</v>
      </c>
      <c r="B928">
        <v>3620.29</v>
      </c>
    </row>
    <row r="929" spans="1:2">
      <c r="A929" s="10">
        <v>43769</v>
      </c>
      <c r="B929">
        <v>3604.41</v>
      </c>
    </row>
    <row r="930" spans="1:2">
      <c r="A930" s="10">
        <v>43770</v>
      </c>
      <c r="B930">
        <v>3623.74</v>
      </c>
    </row>
    <row r="931" spans="1:2">
      <c r="A931" s="10">
        <v>43773</v>
      </c>
      <c r="B931">
        <v>3665.21</v>
      </c>
    </row>
    <row r="932" spans="1:2">
      <c r="A932" s="10">
        <v>43774</v>
      </c>
      <c r="B932">
        <v>3676.52</v>
      </c>
    </row>
    <row r="933" spans="1:2">
      <c r="A933" s="10">
        <v>43775</v>
      </c>
      <c r="B933">
        <v>3688.74</v>
      </c>
    </row>
    <row r="934" spans="1:2">
      <c r="A934" s="10">
        <v>43776</v>
      </c>
      <c r="B934">
        <v>3706.68</v>
      </c>
    </row>
    <row r="935" spans="1:2">
      <c r="A935" s="10">
        <v>43777</v>
      </c>
      <c r="B935">
        <v>3699.65</v>
      </c>
    </row>
    <row r="936" spans="1:2">
      <c r="A936" s="10">
        <v>43780</v>
      </c>
      <c r="B936">
        <v>3696.82</v>
      </c>
    </row>
    <row r="937" spans="1:2">
      <c r="A937" s="10">
        <v>43781</v>
      </c>
      <c r="B937">
        <v>3712.2</v>
      </c>
    </row>
    <row r="938" spans="1:2">
      <c r="A938" s="10">
        <v>43782</v>
      </c>
      <c r="B938">
        <v>3699.5</v>
      </c>
    </row>
    <row r="939" spans="1:2">
      <c r="A939" s="10">
        <v>43783</v>
      </c>
      <c r="B939">
        <v>3688.81</v>
      </c>
    </row>
    <row r="940" spans="1:2">
      <c r="A940" s="10">
        <v>43784</v>
      </c>
      <c r="B940">
        <v>3711.61</v>
      </c>
    </row>
    <row r="941" spans="1:2">
      <c r="A941" s="10">
        <v>43787</v>
      </c>
      <c r="B941">
        <v>3704.92</v>
      </c>
    </row>
    <row r="942" spans="1:2">
      <c r="A942" s="10">
        <v>43788</v>
      </c>
      <c r="B942">
        <v>3696.56</v>
      </c>
    </row>
    <row r="943" spans="1:2">
      <c r="A943" s="10">
        <v>43789</v>
      </c>
      <c r="B943">
        <v>3683.88</v>
      </c>
    </row>
    <row r="944" spans="1:2">
      <c r="A944" s="10">
        <v>43790</v>
      </c>
      <c r="B944">
        <v>3679.66</v>
      </c>
    </row>
    <row r="945" spans="1:2">
      <c r="A945" s="10">
        <v>43791</v>
      </c>
      <c r="B945">
        <v>3687.32</v>
      </c>
    </row>
    <row r="946" spans="1:2">
      <c r="A946" s="10">
        <v>43794</v>
      </c>
      <c r="B946">
        <v>3707.68</v>
      </c>
    </row>
    <row r="947" spans="1:2">
      <c r="A947" s="10">
        <v>43795</v>
      </c>
      <c r="B947">
        <v>3705.55</v>
      </c>
    </row>
    <row r="948" spans="1:2">
      <c r="A948" s="10">
        <v>43796</v>
      </c>
      <c r="B948">
        <v>3712.85</v>
      </c>
    </row>
    <row r="949" spans="1:2">
      <c r="A949" s="10">
        <v>43797</v>
      </c>
      <c r="B949">
        <v>3704.48</v>
      </c>
    </row>
    <row r="950" spans="1:2">
      <c r="A950" s="10">
        <v>43798</v>
      </c>
      <c r="B950">
        <v>3703.58</v>
      </c>
    </row>
    <row r="951" spans="1:2">
      <c r="A951" s="10">
        <v>43801</v>
      </c>
      <c r="B951">
        <v>3626.66</v>
      </c>
    </row>
    <row r="952" spans="1:2">
      <c r="A952" s="10">
        <v>43802</v>
      </c>
      <c r="B952">
        <v>3610.99</v>
      </c>
    </row>
    <row r="953" spans="1:2">
      <c r="A953" s="10">
        <v>43803</v>
      </c>
      <c r="B953">
        <v>3660.02</v>
      </c>
    </row>
    <row r="954" spans="1:2">
      <c r="A954" s="10">
        <v>43804</v>
      </c>
      <c r="B954">
        <v>3648.13</v>
      </c>
    </row>
    <row r="955" spans="1:2">
      <c r="A955" s="10">
        <v>43805</v>
      </c>
      <c r="B955">
        <v>3692.34</v>
      </c>
    </row>
    <row r="956" spans="1:2">
      <c r="A956" s="10">
        <v>43808</v>
      </c>
      <c r="B956">
        <v>3672.18</v>
      </c>
    </row>
    <row r="957" spans="1:2">
      <c r="A957" s="10">
        <v>43809</v>
      </c>
      <c r="B957">
        <v>3671.78</v>
      </c>
    </row>
    <row r="958" spans="1:2">
      <c r="A958" s="10">
        <v>43810</v>
      </c>
      <c r="B958">
        <v>3687.45</v>
      </c>
    </row>
    <row r="959" spans="1:2">
      <c r="A959" s="10">
        <v>43811</v>
      </c>
      <c r="B959">
        <v>3706.35</v>
      </c>
    </row>
    <row r="960" spans="1:2">
      <c r="A960" s="10">
        <v>43812</v>
      </c>
      <c r="B960">
        <v>3731.07</v>
      </c>
    </row>
    <row r="961" spans="1:2">
      <c r="A961" s="10">
        <v>43815</v>
      </c>
      <c r="B961">
        <v>3772.74</v>
      </c>
    </row>
    <row r="962" spans="1:2">
      <c r="A962" s="10">
        <v>43816</v>
      </c>
      <c r="B962">
        <v>3745.28</v>
      </c>
    </row>
    <row r="963" spans="1:2">
      <c r="A963" s="10">
        <v>43817</v>
      </c>
      <c r="B963">
        <v>3739</v>
      </c>
    </row>
    <row r="964" spans="1:2">
      <c r="A964" s="10">
        <v>43818</v>
      </c>
      <c r="B964">
        <v>3739.17</v>
      </c>
    </row>
    <row r="965" spans="1:2">
      <c r="A965" s="10">
        <v>43819</v>
      </c>
      <c r="B965">
        <v>3776.56</v>
      </c>
    </row>
    <row r="966" spans="1:2">
      <c r="A966" s="10">
        <v>43822</v>
      </c>
      <c r="B966">
        <v>3776.66</v>
      </c>
    </row>
    <row r="967" spans="1:2">
      <c r="A967" s="10">
        <v>43823</v>
      </c>
      <c r="B967">
        <v>3774.39</v>
      </c>
    </row>
    <row r="968" spans="1:2">
      <c r="A968" s="10">
        <v>43826</v>
      </c>
      <c r="B968">
        <v>3782.27</v>
      </c>
    </row>
    <row r="969" spans="1:2">
      <c r="A969" s="10">
        <v>43829</v>
      </c>
      <c r="B969">
        <v>3748.47</v>
      </c>
    </row>
    <row r="970" spans="1:2">
      <c r="A970" s="10">
        <v>43830</v>
      </c>
      <c r="B970">
        <v>3745.15</v>
      </c>
    </row>
    <row r="971" spans="1:2">
      <c r="A971" s="10">
        <v>43832</v>
      </c>
      <c r="B971">
        <v>3793.24</v>
      </c>
    </row>
    <row r="972" spans="1:2">
      <c r="A972" s="10">
        <v>43833</v>
      </c>
      <c r="B972">
        <v>3773.37</v>
      </c>
    </row>
    <row r="973" spans="1:2">
      <c r="A973" s="10">
        <v>43836</v>
      </c>
      <c r="B973">
        <v>3752.52</v>
      </c>
    </row>
    <row r="974" spans="1:2">
      <c r="A974" s="10">
        <v>43837</v>
      </c>
      <c r="B974">
        <v>3759.25</v>
      </c>
    </row>
    <row r="975" spans="1:2">
      <c r="A975" s="10">
        <v>43838</v>
      </c>
      <c r="B975">
        <v>3772.56</v>
      </c>
    </row>
    <row r="976" spans="1:2">
      <c r="A976" s="10">
        <v>43839</v>
      </c>
      <c r="B976">
        <v>3795.88</v>
      </c>
    </row>
    <row r="977" spans="1:2">
      <c r="A977" s="10">
        <v>43840</v>
      </c>
      <c r="B977">
        <v>3789.52</v>
      </c>
    </row>
    <row r="978" spans="1:2">
      <c r="A978" s="10">
        <v>43843</v>
      </c>
      <c r="B978">
        <v>3779.68</v>
      </c>
    </row>
    <row r="979" spans="1:2">
      <c r="A979" s="10">
        <v>43844</v>
      </c>
      <c r="B979">
        <v>3774.88</v>
      </c>
    </row>
    <row r="980" spans="1:2">
      <c r="A980" s="10">
        <v>43845</v>
      </c>
      <c r="B980">
        <v>3768.96</v>
      </c>
    </row>
    <row r="981" spans="1:2">
      <c r="A981" s="10">
        <v>43846</v>
      </c>
      <c r="B981">
        <v>3774.14</v>
      </c>
    </row>
    <row r="982" spans="1:2">
      <c r="A982" s="10">
        <v>43847</v>
      </c>
      <c r="B982">
        <v>3808.26</v>
      </c>
    </row>
    <row r="983" spans="1:2">
      <c r="A983" s="10">
        <v>43850</v>
      </c>
      <c r="B983">
        <v>3799.03</v>
      </c>
    </row>
    <row r="984" spans="1:2">
      <c r="A984" s="10">
        <v>43851</v>
      </c>
      <c r="B984">
        <v>3789.12</v>
      </c>
    </row>
    <row r="985" spans="1:2">
      <c r="A985" s="10">
        <v>43852</v>
      </c>
      <c r="B985">
        <v>3769.79</v>
      </c>
    </row>
    <row r="986" spans="1:2">
      <c r="A986" s="10">
        <v>43853</v>
      </c>
      <c r="B986">
        <v>3736.85</v>
      </c>
    </row>
    <row r="987" spans="1:2">
      <c r="A987" s="10">
        <v>43854</v>
      </c>
      <c r="B987">
        <v>3779.16</v>
      </c>
    </row>
    <row r="988" spans="1:2">
      <c r="A988" s="10">
        <v>43857</v>
      </c>
      <c r="B988">
        <v>3677.84</v>
      </c>
    </row>
    <row r="989" spans="1:2">
      <c r="A989" s="10">
        <v>43858</v>
      </c>
      <c r="B989">
        <v>3719.22</v>
      </c>
    </row>
    <row r="990" spans="1:2">
      <c r="A990" s="10">
        <v>43859</v>
      </c>
      <c r="B990">
        <v>3736.36</v>
      </c>
    </row>
    <row r="991" spans="1:2">
      <c r="A991" s="10">
        <v>43860</v>
      </c>
      <c r="B991">
        <v>3690.78</v>
      </c>
    </row>
    <row r="992" spans="1:2">
      <c r="A992" s="10">
        <v>43861</v>
      </c>
      <c r="B992">
        <v>3640.91</v>
      </c>
    </row>
    <row r="993" spans="1:2">
      <c r="A993" s="10">
        <v>43864</v>
      </c>
      <c r="B993">
        <v>3661.27</v>
      </c>
    </row>
    <row r="994" spans="1:2">
      <c r="A994" s="10">
        <v>43865</v>
      </c>
      <c r="B994">
        <v>3732.28</v>
      </c>
    </row>
    <row r="995" spans="1:2">
      <c r="A995" s="10">
        <v>43866</v>
      </c>
      <c r="B995">
        <v>3777.84</v>
      </c>
    </row>
    <row r="996" spans="1:2">
      <c r="A996" s="10">
        <v>43867</v>
      </c>
      <c r="B996">
        <v>3805.52</v>
      </c>
    </row>
    <row r="997" spans="1:2">
      <c r="A997" s="10">
        <v>43868</v>
      </c>
      <c r="B997">
        <v>3798.49</v>
      </c>
    </row>
    <row r="998" spans="1:2">
      <c r="A998" s="10">
        <v>43871</v>
      </c>
      <c r="B998">
        <v>3793.18</v>
      </c>
    </row>
    <row r="999" spans="1:2">
      <c r="A999" s="10">
        <v>43872</v>
      </c>
      <c r="B999">
        <v>3825.84</v>
      </c>
    </row>
    <row r="1000" spans="1:2">
      <c r="A1000" s="10">
        <v>43873</v>
      </c>
      <c r="B1000">
        <v>3854.43</v>
      </c>
    </row>
    <row r="1001" spans="1:2">
      <c r="A1001" s="10">
        <v>43874</v>
      </c>
      <c r="B1001">
        <v>3846.74</v>
      </c>
    </row>
    <row r="1002" spans="1:2">
      <c r="A1002" s="10">
        <v>43875</v>
      </c>
      <c r="B1002">
        <v>3840.97</v>
      </c>
    </row>
    <row r="1003" spans="1:2">
      <c r="A1003" s="10">
        <v>43878</v>
      </c>
      <c r="B1003">
        <v>3853.27</v>
      </c>
    </row>
    <row r="1004" spans="1:2">
      <c r="A1004" s="10">
        <v>43879</v>
      </c>
      <c r="B1004">
        <v>3836.54</v>
      </c>
    </row>
    <row r="1005" spans="1:2">
      <c r="A1005" s="10">
        <v>43880</v>
      </c>
      <c r="B1005">
        <v>3865.18</v>
      </c>
    </row>
    <row r="1006" spans="1:2">
      <c r="A1006" s="10">
        <v>43881</v>
      </c>
      <c r="B1006">
        <v>3822.98</v>
      </c>
    </row>
    <row r="1007" spans="1:2">
      <c r="A1007" s="10">
        <v>43882</v>
      </c>
      <c r="B1007">
        <v>3800.38</v>
      </c>
    </row>
    <row r="1008" spans="1:2">
      <c r="A1008" s="10">
        <v>43885</v>
      </c>
      <c r="B1008">
        <v>3647.98</v>
      </c>
    </row>
    <row r="1009" spans="1:2">
      <c r="A1009" s="10">
        <v>43886</v>
      </c>
      <c r="B1009">
        <v>3572.51</v>
      </c>
    </row>
    <row r="1010" spans="1:2">
      <c r="A1010" s="10">
        <v>43887</v>
      </c>
      <c r="B1010">
        <v>3577.68</v>
      </c>
    </row>
    <row r="1011" spans="1:2">
      <c r="A1011" s="10">
        <v>43888</v>
      </c>
      <c r="B1011">
        <v>3455.92</v>
      </c>
    </row>
    <row r="1012" spans="1:2">
      <c r="A1012" s="10">
        <v>43889</v>
      </c>
      <c r="B1012">
        <v>3329.49</v>
      </c>
    </row>
    <row r="1013" spans="1:2">
      <c r="A1013" s="10">
        <v>43892</v>
      </c>
      <c r="B1013">
        <v>3338.83</v>
      </c>
    </row>
    <row r="1014" spans="1:2">
      <c r="A1014" s="10">
        <v>43893</v>
      </c>
      <c r="B1014">
        <v>3371.97</v>
      </c>
    </row>
    <row r="1015" spans="1:2">
      <c r="A1015" s="10">
        <v>43894</v>
      </c>
      <c r="B1015">
        <v>3420.56</v>
      </c>
    </row>
    <row r="1016" spans="1:2">
      <c r="A1016" s="10">
        <v>43895</v>
      </c>
      <c r="B1016">
        <v>3363.58</v>
      </c>
    </row>
    <row r="1017" spans="1:2">
      <c r="A1017" s="10">
        <v>43896</v>
      </c>
      <c r="B1017">
        <v>3232.07</v>
      </c>
    </row>
    <row r="1018" spans="1:2">
      <c r="A1018" s="10">
        <v>43899</v>
      </c>
      <c r="B1018">
        <v>2959.07</v>
      </c>
    </row>
    <row r="1019" spans="1:2">
      <c r="A1019" s="10">
        <v>43900</v>
      </c>
      <c r="B1019">
        <v>2910.02</v>
      </c>
    </row>
    <row r="1020" spans="1:2">
      <c r="A1020" s="10">
        <v>43901</v>
      </c>
      <c r="B1020">
        <v>2905.56</v>
      </c>
    </row>
    <row r="1021" spans="1:2">
      <c r="A1021" s="10">
        <v>43902</v>
      </c>
      <c r="B1021">
        <v>2545.23</v>
      </c>
    </row>
    <row r="1022" spans="1:2">
      <c r="A1022" s="10">
        <v>43903</v>
      </c>
      <c r="B1022">
        <v>2586.02</v>
      </c>
    </row>
    <row r="1023" spans="1:2">
      <c r="A1023" s="10">
        <v>43906</v>
      </c>
      <c r="B1023">
        <v>2450.37</v>
      </c>
    </row>
    <row r="1024" spans="1:2">
      <c r="A1024" s="10">
        <v>43907</v>
      </c>
      <c r="B1024">
        <v>2530.5</v>
      </c>
    </row>
    <row r="1025" spans="1:2">
      <c r="A1025" s="10">
        <v>43908</v>
      </c>
      <c r="B1025">
        <v>2385.8200000000002</v>
      </c>
    </row>
    <row r="1026" spans="1:2">
      <c r="A1026" s="10">
        <v>43909</v>
      </c>
      <c r="B1026">
        <v>2454.08</v>
      </c>
    </row>
    <row r="1027" spans="1:2">
      <c r="A1027" s="10">
        <v>43910</v>
      </c>
      <c r="B1027">
        <v>2548.5</v>
      </c>
    </row>
    <row r="1028" spans="1:2">
      <c r="A1028" s="10">
        <v>43913</v>
      </c>
      <c r="B1028">
        <v>2485.54</v>
      </c>
    </row>
    <row r="1029" spans="1:2">
      <c r="A1029" s="10">
        <v>43914</v>
      </c>
      <c r="B1029">
        <v>2715.11</v>
      </c>
    </row>
    <row r="1030" spans="1:2">
      <c r="A1030" s="10">
        <v>43915</v>
      </c>
      <c r="B1030">
        <v>2800.14</v>
      </c>
    </row>
    <row r="1031" spans="1:2">
      <c r="A1031" s="10">
        <v>43916</v>
      </c>
      <c r="B1031">
        <v>2847.78</v>
      </c>
    </row>
    <row r="1032" spans="1:2">
      <c r="A1032" s="10">
        <v>43917</v>
      </c>
      <c r="B1032">
        <v>2728.65</v>
      </c>
    </row>
    <row r="1033" spans="1:2">
      <c r="A1033" s="10">
        <v>43920</v>
      </c>
      <c r="B1033">
        <v>2765.62</v>
      </c>
    </row>
    <row r="1034" spans="1:2">
      <c r="A1034" s="10">
        <v>43921</v>
      </c>
      <c r="B1034">
        <v>2786.9</v>
      </c>
    </row>
    <row r="1035" spans="1:2">
      <c r="A1035" s="10">
        <v>43922</v>
      </c>
      <c r="B1035">
        <v>2680.3</v>
      </c>
    </row>
    <row r="1036" spans="1:2">
      <c r="A1036" s="10">
        <v>43923</v>
      </c>
      <c r="B1036">
        <v>2688.49</v>
      </c>
    </row>
    <row r="1037" spans="1:2">
      <c r="A1037" s="10">
        <v>43924</v>
      </c>
      <c r="B1037">
        <v>2662.99</v>
      </c>
    </row>
    <row r="1038" spans="1:2">
      <c r="A1038" s="10">
        <v>43927</v>
      </c>
      <c r="B1038">
        <v>2795.97</v>
      </c>
    </row>
    <row r="1039" spans="1:2">
      <c r="A1039" s="10">
        <v>43928</v>
      </c>
      <c r="B1039">
        <v>2857.67</v>
      </c>
    </row>
    <row r="1040" spans="1:2">
      <c r="A1040" s="10">
        <v>43929</v>
      </c>
      <c r="B1040">
        <v>2851.27</v>
      </c>
    </row>
    <row r="1041" spans="1:2">
      <c r="A1041" s="10">
        <v>43930</v>
      </c>
      <c r="B1041">
        <v>2892.79</v>
      </c>
    </row>
    <row r="1042" spans="1:2">
      <c r="A1042" s="10">
        <v>43935</v>
      </c>
      <c r="B1042">
        <v>2917.74</v>
      </c>
    </row>
    <row r="1043" spans="1:2">
      <c r="A1043" s="10">
        <v>43936</v>
      </c>
      <c r="B1043">
        <v>2808.2</v>
      </c>
    </row>
    <row r="1044" spans="1:2">
      <c r="A1044" s="10">
        <v>43937</v>
      </c>
      <c r="B1044">
        <v>2812.35</v>
      </c>
    </row>
    <row r="1045" spans="1:2">
      <c r="A1045" s="10">
        <v>43938</v>
      </c>
      <c r="B1045">
        <v>2888.3</v>
      </c>
    </row>
    <row r="1046" spans="1:2">
      <c r="A1046" s="10">
        <v>43941</v>
      </c>
      <c r="B1046">
        <v>2909.5</v>
      </c>
    </row>
    <row r="1047" spans="1:2">
      <c r="A1047" s="10">
        <v>43942</v>
      </c>
      <c r="B1047">
        <v>2791.34</v>
      </c>
    </row>
    <row r="1048" spans="1:2">
      <c r="A1048" s="10">
        <v>43943</v>
      </c>
      <c r="B1048">
        <v>2834.9</v>
      </c>
    </row>
    <row r="1049" spans="1:2">
      <c r="A1049" s="10">
        <v>43944</v>
      </c>
      <c r="B1049">
        <v>2852.46</v>
      </c>
    </row>
    <row r="1050" spans="1:2">
      <c r="A1050" s="10">
        <v>43945</v>
      </c>
      <c r="B1050">
        <v>2809.07</v>
      </c>
    </row>
    <row r="1051" spans="1:2">
      <c r="A1051" s="10">
        <v>43948</v>
      </c>
      <c r="B1051">
        <v>2882.09</v>
      </c>
    </row>
    <row r="1052" spans="1:2">
      <c r="A1052" s="10">
        <v>43949</v>
      </c>
      <c r="B1052">
        <v>2932.06</v>
      </c>
    </row>
    <row r="1053" spans="1:2">
      <c r="A1053" s="10">
        <v>43950</v>
      </c>
      <c r="B1053">
        <v>2996.08</v>
      </c>
    </row>
    <row r="1054" spans="1:2">
      <c r="A1054" s="10">
        <v>43951</v>
      </c>
      <c r="B1054">
        <v>2927.93</v>
      </c>
    </row>
    <row r="1055" spans="1:2">
      <c r="A1055" s="10">
        <v>43955</v>
      </c>
      <c r="B1055">
        <v>2816.48</v>
      </c>
    </row>
    <row r="1056" spans="1:2">
      <c r="A1056" s="10">
        <v>43956</v>
      </c>
      <c r="B1056">
        <v>2875.91</v>
      </c>
    </row>
    <row r="1057" spans="1:2">
      <c r="A1057" s="10">
        <v>43957</v>
      </c>
      <c r="B1057">
        <v>2843.76</v>
      </c>
    </row>
    <row r="1058" spans="1:2">
      <c r="A1058" s="10">
        <v>43958</v>
      </c>
      <c r="B1058">
        <v>2880.6</v>
      </c>
    </row>
    <row r="1059" spans="1:2">
      <c r="A1059" s="10">
        <v>43959</v>
      </c>
      <c r="B1059">
        <v>2908.11</v>
      </c>
    </row>
    <row r="1060" spans="1:2">
      <c r="A1060" s="10">
        <v>43962</v>
      </c>
      <c r="B1060">
        <v>2883.75</v>
      </c>
    </row>
    <row r="1061" spans="1:2">
      <c r="A1061" s="10">
        <v>43963</v>
      </c>
      <c r="B1061">
        <v>2884.2</v>
      </c>
    </row>
    <row r="1062" spans="1:2">
      <c r="A1062" s="10">
        <v>43964</v>
      </c>
      <c r="B1062">
        <v>2810.55</v>
      </c>
    </row>
    <row r="1063" spans="1:2">
      <c r="A1063" s="10">
        <v>43965</v>
      </c>
      <c r="B1063">
        <v>2760.23</v>
      </c>
    </row>
    <row r="1064" spans="1:2">
      <c r="A1064" s="10">
        <v>43966</v>
      </c>
      <c r="B1064">
        <v>2770.7</v>
      </c>
    </row>
    <row r="1065" spans="1:2">
      <c r="A1065" s="10">
        <v>43969</v>
      </c>
      <c r="B1065">
        <v>2911.88</v>
      </c>
    </row>
    <row r="1066" spans="1:2">
      <c r="A1066" s="10">
        <v>43970</v>
      </c>
      <c r="B1066">
        <v>2902.58</v>
      </c>
    </row>
    <row r="1067" spans="1:2">
      <c r="A1067" s="10">
        <v>43971</v>
      </c>
      <c r="B1067">
        <v>2942.39</v>
      </c>
    </row>
    <row r="1068" spans="1:2">
      <c r="A1068" s="10">
        <v>43972</v>
      </c>
      <c r="B1068">
        <v>2904.98</v>
      </c>
    </row>
    <row r="1069" spans="1:2">
      <c r="A1069" s="10">
        <v>43973</v>
      </c>
      <c r="B1069">
        <v>2905.47</v>
      </c>
    </row>
    <row r="1070" spans="1:2">
      <c r="A1070" s="10">
        <v>43976</v>
      </c>
      <c r="B1070">
        <v>2971.35</v>
      </c>
    </row>
    <row r="1071" spans="1:2">
      <c r="A1071" s="10">
        <v>43977</v>
      </c>
      <c r="B1071">
        <v>2999.22</v>
      </c>
    </row>
    <row r="1072" spans="1:2">
      <c r="A1072" s="10">
        <v>43978</v>
      </c>
      <c r="B1072">
        <v>3051.08</v>
      </c>
    </row>
    <row r="1073" spans="1:2">
      <c r="A1073" s="10">
        <v>43979</v>
      </c>
      <c r="B1073">
        <v>3094.47</v>
      </c>
    </row>
    <row r="1074" spans="1:2">
      <c r="A1074" s="10">
        <v>43980</v>
      </c>
      <c r="B1074">
        <v>3050.2</v>
      </c>
    </row>
    <row r="1075" spans="1:2">
      <c r="A1075" s="10">
        <v>43983</v>
      </c>
      <c r="B1075">
        <v>3077.92</v>
      </c>
    </row>
    <row r="1076" spans="1:2">
      <c r="A1076" s="10">
        <v>43984</v>
      </c>
      <c r="B1076">
        <v>3159.02</v>
      </c>
    </row>
    <row r="1077" spans="1:2">
      <c r="A1077" s="10">
        <v>43985</v>
      </c>
      <c r="B1077">
        <v>3269.59</v>
      </c>
    </row>
    <row r="1078" spans="1:2">
      <c r="A1078" s="10">
        <v>43986</v>
      </c>
      <c r="B1078">
        <v>3261.67</v>
      </c>
    </row>
    <row r="1079" spans="1:2">
      <c r="A1079" s="10">
        <v>43987</v>
      </c>
      <c r="B1079">
        <v>3384.29</v>
      </c>
    </row>
    <row r="1080" spans="1:2">
      <c r="A1080" s="10">
        <v>43990</v>
      </c>
      <c r="B1080">
        <v>3366.29</v>
      </c>
    </row>
    <row r="1081" spans="1:2">
      <c r="A1081" s="10">
        <v>43991</v>
      </c>
      <c r="B1081">
        <v>3320.71</v>
      </c>
    </row>
    <row r="1082" spans="1:2">
      <c r="A1082" s="10">
        <v>43992</v>
      </c>
      <c r="B1082">
        <v>3293.71</v>
      </c>
    </row>
    <row r="1083" spans="1:2">
      <c r="A1083" s="10">
        <v>43993</v>
      </c>
      <c r="B1083">
        <v>3144.57</v>
      </c>
    </row>
    <row r="1084" spans="1:2">
      <c r="A1084" s="10">
        <v>43994</v>
      </c>
      <c r="B1084">
        <v>3153.74</v>
      </c>
    </row>
    <row r="1085" spans="1:2">
      <c r="A1085" s="10">
        <v>43997</v>
      </c>
      <c r="B1085">
        <v>3136.4</v>
      </c>
    </row>
    <row r="1086" spans="1:2">
      <c r="A1086" s="10">
        <v>43998</v>
      </c>
      <c r="B1086">
        <v>3242.65</v>
      </c>
    </row>
    <row r="1087" spans="1:2">
      <c r="A1087" s="10">
        <v>43999</v>
      </c>
      <c r="B1087">
        <v>3267.26</v>
      </c>
    </row>
    <row r="1088" spans="1:2">
      <c r="A1088" s="10">
        <v>44000</v>
      </c>
      <c r="B1088">
        <v>3249.9</v>
      </c>
    </row>
    <row r="1089" spans="1:2">
      <c r="A1089" s="10">
        <v>44001</v>
      </c>
      <c r="B1089">
        <v>3269.1</v>
      </c>
    </row>
    <row r="1090" spans="1:2">
      <c r="A1090" s="10">
        <v>44004</v>
      </c>
      <c r="B1090">
        <v>3241.69</v>
      </c>
    </row>
    <row r="1091" spans="1:2">
      <c r="A1091" s="10">
        <v>44005</v>
      </c>
      <c r="B1091">
        <v>3298.83</v>
      </c>
    </row>
    <row r="1092" spans="1:2">
      <c r="A1092" s="10">
        <v>44006</v>
      </c>
      <c r="B1092">
        <v>3196.12</v>
      </c>
    </row>
    <row r="1093" spans="1:2">
      <c r="A1093" s="10">
        <v>44007</v>
      </c>
      <c r="B1093">
        <v>3218.91</v>
      </c>
    </row>
    <row r="1094" spans="1:2">
      <c r="A1094" s="10">
        <v>44008</v>
      </c>
      <c r="B1094">
        <v>3204.17</v>
      </c>
    </row>
    <row r="1095" spans="1:2">
      <c r="A1095" s="10">
        <v>44011</v>
      </c>
      <c r="B1095">
        <v>3232.02</v>
      </c>
    </row>
    <row r="1096" spans="1:2">
      <c r="A1096" s="10">
        <v>44012</v>
      </c>
      <c r="B1096">
        <v>3234.07</v>
      </c>
    </row>
    <row r="1097" spans="1:2">
      <c r="A1097" s="10">
        <v>44013</v>
      </c>
      <c r="B1097">
        <v>3228.45</v>
      </c>
    </row>
    <row r="1098" spans="1:2">
      <c r="A1098" s="10">
        <v>44014</v>
      </c>
      <c r="B1098">
        <v>3320.09</v>
      </c>
    </row>
    <row r="1099" spans="1:2">
      <c r="A1099" s="10">
        <v>44015</v>
      </c>
      <c r="B1099">
        <v>3294.38</v>
      </c>
    </row>
    <row r="1100" spans="1:2">
      <c r="A1100" s="10">
        <v>44018</v>
      </c>
      <c r="B1100">
        <v>3350.03</v>
      </c>
    </row>
    <row r="1101" spans="1:2">
      <c r="A1101" s="10">
        <v>44019</v>
      </c>
      <c r="B1101">
        <v>3321.56</v>
      </c>
    </row>
    <row r="1102" spans="1:2">
      <c r="A1102" s="10">
        <v>44020</v>
      </c>
      <c r="B1102">
        <v>3286.09</v>
      </c>
    </row>
    <row r="1103" spans="1:2">
      <c r="A1103" s="10">
        <v>44021</v>
      </c>
      <c r="B1103">
        <v>3261.17</v>
      </c>
    </row>
    <row r="1104" spans="1:2">
      <c r="A1104" s="10">
        <v>44022</v>
      </c>
      <c r="B1104">
        <v>3296.22</v>
      </c>
    </row>
    <row r="1105" spans="1:2">
      <c r="A1105" s="10">
        <v>44025</v>
      </c>
      <c r="B1105">
        <v>3350</v>
      </c>
    </row>
    <row r="1106" spans="1:2">
      <c r="A1106" s="10">
        <v>44026</v>
      </c>
      <c r="B1106">
        <v>3321.39</v>
      </c>
    </row>
    <row r="1107" spans="1:2">
      <c r="A1107" s="10">
        <v>44027</v>
      </c>
      <c r="B1107">
        <v>3378.21</v>
      </c>
    </row>
    <row r="1108" spans="1:2">
      <c r="A1108" s="10">
        <v>44028</v>
      </c>
      <c r="B1108">
        <v>3365.35</v>
      </c>
    </row>
    <row r="1109" spans="1:2">
      <c r="A1109" s="10">
        <v>44029</v>
      </c>
      <c r="B1109">
        <v>3365.6</v>
      </c>
    </row>
    <row r="1110" spans="1:2">
      <c r="A1110" s="10">
        <v>44032</v>
      </c>
      <c r="B1110">
        <v>3388.34</v>
      </c>
    </row>
    <row r="1111" spans="1:2">
      <c r="A1111" s="10">
        <v>44033</v>
      </c>
      <c r="B1111">
        <v>3405.35</v>
      </c>
    </row>
    <row r="1112" spans="1:2">
      <c r="A1112" s="10">
        <v>44034</v>
      </c>
      <c r="B1112">
        <v>3370.76</v>
      </c>
    </row>
    <row r="1113" spans="1:2">
      <c r="A1113" s="10">
        <v>44035</v>
      </c>
      <c r="B1113">
        <v>3371.74</v>
      </c>
    </row>
    <row r="1114" spans="1:2">
      <c r="A1114" s="10">
        <v>44036</v>
      </c>
      <c r="B1114">
        <v>3310.89</v>
      </c>
    </row>
    <row r="1115" spans="1:2">
      <c r="A1115" s="10">
        <v>44039</v>
      </c>
      <c r="B1115">
        <v>3302.84</v>
      </c>
    </row>
    <row r="1116" spans="1:2">
      <c r="A1116" s="10">
        <v>44040</v>
      </c>
      <c r="B1116">
        <v>3303.56</v>
      </c>
    </row>
    <row r="1117" spans="1:2">
      <c r="A1117" s="10">
        <v>44041</v>
      </c>
      <c r="B1117">
        <v>3300.16</v>
      </c>
    </row>
    <row r="1118" spans="1:2">
      <c r="A1118" s="10">
        <v>44042</v>
      </c>
      <c r="B1118">
        <v>3208.2</v>
      </c>
    </row>
    <row r="1119" spans="1:2">
      <c r="A1119" s="10">
        <v>44043</v>
      </c>
      <c r="B1119">
        <v>3174.32</v>
      </c>
    </row>
    <row r="1120" spans="1:2">
      <c r="A1120" s="10">
        <v>44046</v>
      </c>
      <c r="B1120">
        <v>3248.28</v>
      </c>
    </row>
    <row r="1121" spans="1:2">
      <c r="A1121" s="10">
        <v>44047</v>
      </c>
      <c r="B1121">
        <v>3254.29</v>
      </c>
    </row>
    <row r="1122" spans="1:2">
      <c r="A1122" s="10">
        <v>44048</v>
      </c>
      <c r="B1122">
        <v>3268.38</v>
      </c>
    </row>
    <row r="1123" spans="1:2">
      <c r="A1123" s="10">
        <v>44049</v>
      </c>
      <c r="B1123">
        <v>3240.39</v>
      </c>
    </row>
    <row r="1124" spans="1:2">
      <c r="A1124" s="10">
        <v>44050</v>
      </c>
      <c r="B1124">
        <v>3252.65</v>
      </c>
    </row>
    <row r="1125" spans="1:2">
      <c r="A1125" s="10">
        <v>44053</v>
      </c>
      <c r="B1125">
        <v>3259.71</v>
      </c>
    </row>
    <row r="1126" spans="1:2">
      <c r="A1126" s="10">
        <v>44054</v>
      </c>
      <c r="B1126">
        <v>3332.12</v>
      </c>
    </row>
    <row r="1127" spans="1:2">
      <c r="A1127" s="10">
        <v>44055</v>
      </c>
      <c r="B1127">
        <v>3363.18</v>
      </c>
    </row>
    <row r="1128" spans="1:2">
      <c r="A1128" s="10">
        <v>44056</v>
      </c>
      <c r="B1128">
        <v>3342.85</v>
      </c>
    </row>
    <row r="1129" spans="1:2">
      <c r="A1129" s="10">
        <v>44057</v>
      </c>
      <c r="B1129">
        <v>3305.05</v>
      </c>
    </row>
    <row r="1130" spans="1:2">
      <c r="A1130" s="10">
        <v>44060</v>
      </c>
      <c r="B1130">
        <v>3305.85</v>
      </c>
    </row>
    <row r="1131" spans="1:2">
      <c r="A1131" s="10">
        <v>44061</v>
      </c>
      <c r="B1131">
        <v>3289.64</v>
      </c>
    </row>
    <row r="1132" spans="1:2">
      <c r="A1132" s="10">
        <v>44062</v>
      </c>
      <c r="B1132">
        <v>3317.62</v>
      </c>
    </row>
    <row r="1133" spans="1:2">
      <c r="A1133" s="10">
        <v>44063</v>
      </c>
      <c r="B1133">
        <v>3273.98</v>
      </c>
    </row>
    <row r="1134" spans="1:2">
      <c r="A1134" s="10">
        <v>44064</v>
      </c>
      <c r="B1134">
        <v>3259.75</v>
      </c>
    </row>
    <row r="1135" spans="1:2">
      <c r="A1135" s="10">
        <v>44067</v>
      </c>
      <c r="B1135">
        <v>3331.74</v>
      </c>
    </row>
    <row r="1136" spans="1:2">
      <c r="A1136" s="10">
        <v>44068</v>
      </c>
      <c r="B1136">
        <v>3329.71</v>
      </c>
    </row>
    <row r="1137" spans="1:2">
      <c r="A1137" s="10">
        <v>44069</v>
      </c>
      <c r="B1137">
        <v>3356.76</v>
      </c>
    </row>
    <row r="1138" spans="1:2">
      <c r="A1138" s="10">
        <v>44070</v>
      </c>
      <c r="B1138">
        <v>3331.04</v>
      </c>
    </row>
    <row r="1139" spans="1:2">
      <c r="A1139" s="10">
        <v>44071</v>
      </c>
      <c r="B1139">
        <v>3315.54</v>
      </c>
    </row>
    <row r="1140" spans="1:2">
      <c r="A1140" s="10">
        <v>44074</v>
      </c>
      <c r="B1140">
        <v>3272.51</v>
      </c>
    </row>
    <row r="1141" spans="1:2">
      <c r="A1141" s="10">
        <v>44075</v>
      </c>
      <c r="B1141">
        <v>3277.58</v>
      </c>
    </row>
    <row r="1142" spans="1:2">
      <c r="A1142" s="10">
        <v>44076</v>
      </c>
      <c r="B1142">
        <v>3337.77</v>
      </c>
    </row>
    <row r="1143" spans="1:2">
      <c r="A1143" s="10">
        <v>44077</v>
      </c>
      <c r="B1143">
        <v>3304.22</v>
      </c>
    </row>
    <row r="1144" spans="1:2">
      <c r="A1144" s="10">
        <v>44078</v>
      </c>
      <c r="B1144">
        <v>3260.59</v>
      </c>
    </row>
    <row r="1145" spans="1:2">
      <c r="A1145" s="10">
        <v>44081</v>
      </c>
      <c r="B1145">
        <v>3314.07</v>
      </c>
    </row>
    <row r="1146" spans="1:2">
      <c r="A1146" s="10">
        <v>44082</v>
      </c>
      <c r="B1146">
        <v>3267.37</v>
      </c>
    </row>
    <row r="1147" spans="1:2">
      <c r="A1147" s="10">
        <v>44083</v>
      </c>
      <c r="B1147">
        <v>3324.83</v>
      </c>
    </row>
    <row r="1148" spans="1:2">
      <c r="A1148" s="10">
        <v>44084</v>
      </c>
      <c r="B1148">
        <v>3312.77</v>
      </c>
    </row>
    <row r="1149" spans="1:2">
      <c r="A1149" s="10">
        <v>44085</v>
      </c>
      <c r="B1149">
        <v>3315.81</v>
      </c>
    </row>
    <row r="1150" spans="1:2">
      <c r="A1150" s="10">
        <v>44088</v>
      </c>
      <c r="B1150">
        <v>3316.79</v>
      </c>
    </row>
    <row r="1151" spans="1:2">
      <c r="A1151" s="10">
        <v>44089</v>
      </c>
      <c r="B1151">
        <v>3332.26</v>
      </c>
    </row>
    <row r="1152" spans="1:2">
      <c r="A1152" s="10">
        <v>44090</v>
      </c>
      <c r="B1152">
        <v>3338.84</v>
      </c>
    </row>
    <row r="1153" spans="1:2">
      <c r="A1153" s="10">
        <v>44091</v>
      </c>
      <c r="B1153">
        <v>3316.57</v>
      </c>
    </row>
    <row r="1154" spans="1:2">
      <c r="A1154" s="10">
        <v>44092</v>
      </c>
      <c r="B1154">
        <v>3283.69</v>
      </c>
    </row>
    <row r="1155" spans="1:2">
      <c r="A1155" s="10">
        <v>44095</v>
      </c>
      <c r="B1155">
        <v>3160.95</v>
      </c>
    </row>
    <row r="1156" spans="1:2">
      <c r="A1156" s="10">
        <v>44096</v>
      </c>
      <c r="B1156">
        <v>3164.13</v>
      </c>
    </row>
    <row r="1157" spans="1:2">
      <c r="A1157" s="10">
        <v>44097</v>
      </c>
      <c r="B1157">
        <v>3180.11</v>
      </c>
    </row>
    <row r="1158" spans="1:2">
      <c r="A1158" s="10">
        <v>44098</v>
      </c>
      <c r="B1158">
        <v>3159.64</v>
      </c>
    </row>
    <row r="1159" spans="1:2">
      <c r="A1159" s="10">
        <v>44099</v>
      </c>
      <c r="B1159">
        <v>3137.06</v>
      </c>
    </row>
    <row r="1160" spans="1:2">
      <c r="A1160" s="10">
        <v>44102</v>
      </c>
      <c r="B1160">
        <v>3223.19</v>
      </c>
    </row>
    <row r="1161" spans="1:2">
      <c r="A1161" s="10">
        <v>44103</v>
      </c>
      <c r="B1161">
        <v>3214.3</v>
      </c>
    </row>
    <row r="1162" spans="1:2">
      <c r="A1162" s="10">
        <v>44104</v>
      </c>
      <c r="B1162">
        <v>3193.61</v>
      </c>
    </row>
    <row r="1163" spans="1:2">
      <c r="A1163" s="10">
        <v>44105</v>
      </c>
      <c r="B1163">
        <v>3194.09</v>
      </c>
    </row>
    <row r="1164" spans="1:2">
      <c r="A1164" s="10">
        <v>44106</v>
      </c>
      <c r="B1164">
        <v>3190.93</v>
      </c>
    </row>
    <row r="1165" spans="1:2">
      <c r="A1165" s="10">
        <v>44109</v>
      </c>
      <c r="B1165">
        <v>3220.22</v>
      </c>
    </row>
    <row r="1166" spans="1:2">
      <c r="A1166" s="10">
        <v>44110</v>
      </c>
      <c r="B1166">
        <v>3233.3</v>
      </c>
    </row>
    <row r="1167" spans="1:2">
      <c r="A1167" s="10">
        <v>44111</v>
      </c>
      <c r="B1167">
        <v>3233.43</v>
      </c>
    </row>
    <row r="1168" spans="1:2">
      <c r="A1168" s="10">
        <v>44112</v>
      </c>
      <c r="B1168">
        <v>3255.76</v>
      </c>
    </row>
    <row r="1169" spans="1:2">
      <c r="A1169" s="10">
        <v>44113</v>
      </c>
      <c r="B1169">
        <v>3273.12</v>
      </c>
    </row>
    <row r="1170" spans="1:2">
      <c r="A1170" s="10">
        <v>44116</v>
      </c>
      <c r="B1170">
        <v>3298.12</v>
      </c>
    </row>
    <row r="1171" spans="1:2">
      <c r="A1171" s="10">
        <v>44117</v>
      </c>
      <c r="B1171">
        <v>3279.19</v>
      </c>
    </row>
    <row r="1172" spans="1:2">
      <c r="A1172" s="10">
        <v>44118</v>
      </c>
      <c r="B1172">
        <v>3273.28</v>
      </c>
    </row>
    <row r="1173" spans="1:2">
      <c r="A1173" s="10">
        <v>44119</v>
      </c>
      <c r="B1173">
        <v>3192.69</v>
      </c>
    </row>
    <row r="1174" spans="1:2">
      <c r="A1174" s="10">
        <v>44120</v>
      </c>
      <c r="B1174">
        <v>3245.47</v>
      </c>
    </row>
    <row r="1175" spans="1:2">
      <c r="A1175" s="10">
        <v>44123</v>
      </c>
      <c r="B1175">
        <v>3242.51</v>
      </c>
    </row>
    <row r="1176" spans="1:2">
      <c r="A1176" s="10">
        <v>44124</v>
      </c>
      <c r="B1176">
        <v>3227.87</v>
      </c>
    </row>
    <row r="1177" spans="1:2">
      <c r="A1177" s="10">
        <v>44125</v>
      </c>
      <c r="B1177">
        <v>3180.7</v>
      </c>
    </row>
    <row r="1178" spans="1:2">
      <c r="A1178" s="10">
        <v>44126</v>
      </c>
      <c r="B1178">
        <v>3171.41</v>
      </c>
    </row>
    <row r="1179" spans="1:2">
      <c r="A1179" s="10">
        <v>44127</v>
      </c>
      <c r="B1179">
        <v>3198.86</v>
      </c>
    </row>
    <row r="1180" spans="1:2">
      <c r="A1180" s="10">
        <v>44130</v>
      </c>
      <c r="B1180">
        <v>3105.25</v>
      </c>
    </row>
    <row r="1181" spans="1:2">
      <c r="A1181" s="10">
        <v>44131</v>
      </c>
      <c r="B1181">
        <v>3070.6</v>
      </c>
    </row>
    <row r="1182" spans="1:2">
      <c r="A1182" s="10">
        <v>44132</v>
      </c>
      <c r="B1182">
        <v>2963.54</v>
      </c>
    </row>
    <row r="1183" spans="1:2">
      <c r="A1183" s="10">
        <v>44133</v>
      </c>
      <c r="B1183">
        <v>2960.03</v>
      </c>
    </row>
    <row r="1184" spans="1:2">
      <c r="A1184" s="10">
        <v>44134</v>
      </c>
      <c r="B1184">
        <v>2958.21</v>
      </c>
    </row>
    <row r="1185" spans="1:2">
      <c r="A1185" s="10">
        <v>44137</v>
      </c>
      <c r="B1185">
        <v>3019.54</v>
      </c>
    </row>
    <row r="1186" spans="1:2">
      <c r="A1186" s="10">
        <v>44138</v>
      </c>
      <c r="B1186">
        <v>3098.72</v>
      </c>
    </row>
    <row r="1187" spans="1:2">
      <c r="A1187" s="10">
        <v>44139</v>
      </c>
      <c r="B1187">
        <v>3161.07</v>
      </c>
    </row>
    <row r="1188" spans="1:2">
      <c r="A1188" s="10">
        <v>44140</v>
      </c>
      <c r="B1188">
        <v>3215.56</v>
      </c>
    </row>
    <row r="1189" spans="1:2">
      <c r="A1189" s="10">
        <v>44141</v>
      </c>
      <c r="B1189">
        <v>3204.05</v>
      </c>
    </row>
    <row r="1190" spans="1:2">
      <c r="A1190" s="10">
        <v>44144</v>
      </c>
      <c r="B1190">
        <v>3407.91</v>
      </c>
    </row>
    <row r="1191" spans="1:2">
      <c r="A1191" s="10">
        <v>44145</v>
      </c>
      <c r="B1191">
        <v>3442.62</v>
      </c>
    </row>
    <row r="1192" spans="1:2">
      <c r="A1192" s="10">
        <v>44146</v>
      </c>
      <c r="B1192">
        <v>3467.3</v>
      </c>
    </row>
    <row r="1193" spans="1:2">
      <c r="A1193" s="10">
        <v>44147</v>
      </c>
      <c r="B1193">
        <v>3428.2</v>
      </c>
    </row>
    <row r="1194" spans="1:2">
      <c r="A1194" s="10">
        <v>44148</v>
      </c>
      <c r="B1194">
        <v>3432.07</v>
      </c>
    </row>
    <row r="1195" spans="1:2">
      <c r="A1195" s="10">
        <v>44151</v>
      </c>
      <c r="B1195">
        <v>3466.21</v>
      </c>
    </row>
    <row r="1196" spans="1:2">
      <c r="A1196" s="10">
        <v>44152</v>
      </c>
      <c r="B1196">
        <v>3468.48</v>
      </c>
    </row>
    <row r="1197" spans="1:2">
      <c r="A1197" s="10">
        <v>44153</v>
      </c>
      <c r="B1197">
        <v>3482.17</v>
      </c>
    </row>
    <row r="1198" spans="1:2">
      <c r="A1198" s="10">
        <v>44154</v>
      </c>
      <c r="B1198">
        <v>3451.97</v>
      </c>
    </row>
    <row r="1199" spans="1:2">
      <c r="A1199" s="10">
        <v>44155</v>
      </c>
      <c r="B1199">
        <v>3467.6</v>
      </c>
    </row>
    <row r="1200" spans="1:2">
      <c r="A1200" s="10">
        <v>44158</v>
      </c>
      <c r="B1200">
        <v>3463.04</v>
      </c>
    </row>
    <row r="1201" spans="1:2">
      <c r="A1201" s="10">
        <v>44159</v>
      </c>
      <c r="B1201">
        <v>3507.98</v>
      </c>
    </row>
    <row r="1202" spans="1:2">
      <c r="A1202" s="10">
        <v>44160</v>
      </c>
      <c r="B1202">
        <v>3511.9</v>
      </c>
    </row>
    <row r="1203" spans="1:2">
      <c r="A1203" s="10">
        <v>44161</v>
      </c>
      <c r="B1203">
        <v>3510.94</v>
      </c>
    </row>
    <row r="1204" spans="1:2">
      <c r="A1204" s="10">
        <v>44162</v>
      </c>
      <c r="B1204">
        <v>3527.79</v>
      </c>
    </row>
    <row r="1205" spans="1:2">
      <c r="A1205" s="10">
        <v>44165</v>
      </c>
      <c r="B1205">
        <v>3492.54</v>
      </c>
    </row>
    <row r="1206" spans="1:2">
      <c r="A1206" s="10">
        <v>44166</v>
      </c>
      <c r="B1206">
        <v>3525.24</v>
      </c>
    </row>
    <row r="1207" spans="1:2">
      <c r="A1207" s="10">
        <v>44167</v>
      </c>
      <c r="B1207">
        <v>3521.32</v>
      </c>
    </row>
    <row r="1208" spans="1:2">
      <c r="A1208" s="10">
        <v>44168</v>
      </c>
      <c r="B1208">
        <v>3517.1</v>
      </c>
    </row>
    <row r="1209" spans="1:2">
      <c r="A1209" s="10">
        <v>44169</v>
      </c>
      <c r="B1209">
        <v>3539.27</v>
      </c>
    </row>
    <row r="1210" spans="1:2">
      <c r="A1210" s="10">
        <v>44172</v>
      </c>
      <c r="B1210">
        <v>3530.08</v>
      </c>
    </row>
    <row r="1211" spans="1:2">
      <c r="A1211" s="10">
        <v>44173</v>
      </c>
      <c r="B1211">
        <v>3525.87</v>
      </c>
    </row>
    <row r="1212" spans="1:2">
      <c r="A1212" s="10">
        <v>44174</v>
      </c>
      <c r="B1212">
        <v>3529.02</v>
      </c>
    </row>
    <row r="1213" spans="1:2">
      <c r="A1213" s="10">
        <v>44175</v>
      </c>
      <c r="B1213">
        <v>3522.31</v>
      </c>
    </row>
    <row r="1214" spans="1:2">
      <c r="A1214" s="10">
        <v>44176</v>
      </c>
      <c r="B1214">
        <v>3485.84</v>
      </c>
    </row>
    <row r="1215" spans="1:2">
      <c r="A1215" s="10">
        <v>44179</v>
      </c>
      <c r="B1215">
        <v>3503.96</v>
      </c>
    </row>
    <row r="1216" spans="1:2">
      <c r="A1216" s="10">
        <v>44180</v>
      </c>
      <c r="B1216">
        <v>3521.5</v>
      </c>
    </row>
    <row r="1217" spans="1:2">
      <c r="A1217" s="10">
        <v>44181</v>
      </c>
      <c r="B1217">
        <v>3543</v>
      </c>
    </row>
    <row r="1218" spans="1:2">
      <c r="A1218" s="10">
        <v>44182</v>
      </c>
      <c r="B1218">
        <v>3560.87</v>
      </c>
    </row>
    <row r="1219" spans="1:2">
      <c r="A1219" s="10">
        <v>44183</v>
      </c>
      <c r="B1219">
        <v>3545.74</v>
      </c>
    </row>
    <row r="1220" spans="1:2">
      <c r="A1220" s="10">
        <v>44186</v>
      </c>
      <c r="B1220">
        <v>3448.68</v>
      </c>
    </row>
    <row r="1221" spans="1:2">
      <c r="A1221" s="10">
        <v>44187</v>
      </c>
      <c r="B1221">
        <v>3497.49</v>
      </c>
    </row>
    <row r="1222" spans="1:2">
      <c r="A1222" s="10">
        <v>44188</v>
      </c>
      <c r="B1222">
        <v>3539.26</v>
      </c>
    </row>
    <row r="1223" spans="1:2">
      <c r="A1223" s="10">
        <v>44189</v>
      </c>
      <c r="B1223">
        <v>3543.28</v>
      </c>
    </row>
    <row r="1224" spans="1:2">
      <c r="A1224" s="10">
        <v>44193</v>
      </c>
      <c r="B1224">
        <v>3575.41</v>
      </c>
    </row>
    <row r="1225" spans="1:2">
      <c r="A1225" s="10">
        <v>44194</v>
      </c>
      <c r="B1225">
        <v>3581.37</v>
      </c>
    </row>
    <row r="1226" spans="1:2">
      <c r="A1226" s="10">
        <v>44195</v>
      </c>
      <c r="B1226">
        <v>3571.59</v>
      </c>
    </row>
    <row r="1227" spans="1:2">
      <c r="A1227" s="10">
        <v>44196</v>
      </c>
      <c r="B1227">
        <v>3552.64</v>
      </c>
    </row>
    <row r="1228" spans="1:2">
      <c r="A1228" s="10">
        <v>44200</v>
      </c>
      <c r="B1228">
        <v>3564.39</v>
      </c>
    </row>
    <row r="1229" spans="1:2">
      <c r="A1229" s="10">
        <v>44201</v>
      </c>
      <c r="B1229">
        <v>3547.85</v>
      </c>
    </row>
    <row r="1230" spans="1:2">
      <c r="A1230" s="10">
        <v>44202</v>
      </c>
      <c r="B1230">
        <v>3611.08</v>
      </c>
    </row>
    <row r="1231" spans="1:2">
      <c r="A1231" s="10">
        <v>44203</v>
      </c>
      <c r="B1231">
        <v>3622.42</v>
      </c>
    </row>
    <row r="1232" spans="1:2">
      <c r="A1232" s="10">
        <v>44204</v>
      </c>
      <c r="B1232">
        <v>3645.05</v>
      </c>
    </row>
    <row r="1233" spans="1:2">
      <c r="A1233" s="10">
        <v>44207</v>
      </c>
      <c r="B1233">
        <v>3620.62</v>
      </c>
    </row>
    <row r="1234" spans="1:2">
      <c r="A1234" s="10">
        <v>44208</v>
      </c>
      <c r="B1234">
        <v>3612.13</v>
      </c>
    </row>
    <row r="1235" spans="1:2">
      <c r="A1235" s="10">
        <v>44209</v>
      </c>
      <c r="B1235">
        <v>3616.51</v>
      </c>
    </row>
    <row r="1236" spans="1:2">
      <c r="A1236" s="10">
        <v>44210</v>
      </c>
      <c r="B1236">
        <v>3641.37</v>
      </c>
    </row>
    <row r="1237" spans="1:2">
      <c r="A1237" s="10">
        <v>44211</v>
      </c>
      <c r="B1237">
        <v>3599.55</v>
      </c>
    </row>
    <row r="1238" spans="1:2">
      <c r="A1238" s="10">
        <v>44214</v>
      </c>
      <c r="B1238">
        <v>3602.67</v>
      </c>
    </row>
    <row r="1239" spans="1:2">
      <c r="A1239" s="10">
        <v>44215</v>
      </c>
      <c r="B1239">
        <v>3595.42</v>
      </c>
    </row>
    <row r="1240" spans="1:2">
      <c r="A1240" s="10">
        <v>44216</v>
      </c>
      <c r="B1240">
        <v>3624.04</v>
      </c>
    </row>
    <row r="1241" spans="1:2">
      <c r="A1241" s="10">
        <v>44217</v>
      </c>
      <c r="B1241">
        <v>3618.35</v>
      </c>
    </row>
    <row r="1242" spans="1:2">
      <c r="A1242" s="10">
        <v>44218</v>
      </c>
      <c r="B1242">
        <v>3602.41</v>
      </c>
    </row>
    <row r="1243" spans="1:2">
      <c r="A1243" s="10">
        <v>44221</v>
      </c>
      <c r="B1243">
        <v>3553.14</v>
      </c>
    </row>
    <row r="1244" spans="1:2">
      <c r="A1244" s="10">
        <v>44222</v>
      </c>
      <c r="B1244">
        <v>3592.83</v>
      </c>
    </row>
    <row r="1245" spans="1:2">
      <c r="A1245" s="10">
        <v>44223</v>
      </c>
      <c r="B1245">
        <v>3536.38</v>
      </c>
    </row>
    <row r="1246" spans="1:2">
      <c r="A1246" s="10">
        <v>44224</v>
      </c>
      <c r="B1246">
        <v>3557.04</v>
      </c>
    </row>
    <row r="1247" spans="1:2">
      <c r="A1247" s="10">
        <v>44225</v>
      </c>
      <c r="B1247">
        <v>3481.44</v>
      </c>
    </row>
    <row r="1248" spans="1:2">
      <c r="A1248" s="10">
        <v>44228</v>
      </c>
      <c r="B1248">
        <v>3530.85</v>
      </c>
    </row>
    <row r="1249" spans="1:2">
      <c r="A1249" s="10">
        <v>44229</v>
      </c>
      <c r="B1249">
        <v>3590.46</v>
      </c>
    </row>
    <row r="1250" spans="1:2">
      <c r="A1250" s="10">
        <v>44230</v>
      </c>
      <c r="B1250">
        <v>3609.75</v>
      </c>
    </row>
    <row r="1251" spans="1:2">
      <c r="A1251" s="10">
        <v>44231</v>
      </c>
      <c r="B1251">
        <v>3642.12</v>
      </c>
    </row>
    <row r="1252" spans="1:2">
      <c r="A1252" s="10">
        <v>44232</v>
      </c>
      <c r="B1252">
        <v>3655.77</v>
      </c>
    </row>
    <row r="1253" spans="1:2">
      <c r="A1253" s="10">
        <v>44235</v>
      </c>
      <c r="B1253">
        <v>3665.51</v>
      </c>
    </row>
    <row r="1254" spans="1:2">
      <c r="A1254" s="10">
        <v>44236</v>
      </c>
      <c r="B1254">
        <v>3661.13</v>
      </c>
    </row>
    <row r="1255" spans="1:2">
      <c r="A1255" s="10">
        <v>44237</v>
      </c>
      <c r="B1255">
        <v>3648.37</v>
      </c>
    </row>
    <row r="1256" spans="1:2">
      <c r="A1256" s="10">
        <v>44238</v>
      </c>
      <c r="B1256">
        <v>3671.68</v>
      </c>
    </row>
    <row r="1257" spans="1:2">
      <c r="A1257" s="10">
        <v>44239</v>
      </c>
      <c r="B1257">
        <v>3695.61</v>
      </c>
    </row>
    <row r="1258" spans="1:2">
      <c r="A1258" s="10">
        <v>44242</v>
      </c>
      <c r="B1258">
        <v>3734.2</v>
      </c>
    </row>
    <row r="1259" spans="1:2">
      <c r="A1259" s="10">
        <v>44243</v>
      </c>
      <c r="B1259">
        <v>3726.4</v>
      </c>
    </row>
    <row r="1260" spans="1:2">
      <c r="A1260" s="10">
        <v>44244</v>
      </c>
      <c r="B1260">
        <v>3699.85</v>
      </c>
    </row>
    <row r="1261" spans="1:2">
      <c r="A1261" s="10">
        <v>44245</v>
      </c>
      <c r="B1261">
        <v>3681.04</v>
      </c>
    </row>
    <row r="1262" spans="1:2">
      <c r="A1262" s="10">
        <v>44246</v>
      </c>
      <c r="B1262">
        <v>3713.46</v>
      </c>
    </row>
    <row r="1263" spans="1:2">
      <c r="A1263" s="10">
        <v>44249</v>
      </c>
      <c r="B1263">
        <v>3699.85</v>
      </c>
    </row>
    <row r="1264" spans="1:2">
      <c r="A1264" s="10">
        <v>44250</v>
      </c>
      <c r="B1264">
        <v>3689.1</v>
      </c>
    </row>
    <row r="1265" spans="1:2">
      <c r="A1265" s="10">
        <v>44251</v>
      </c>
      <c r="B1265">
        <v>3705.99</v>
      </c>
    </row>
    <row r="1266" spans="1:2">
      <c r="A1266" s="10">
        <v>44252</v>
      </c>
      <c r="B1266">
        <v>3685.28</v>
      </c>
    </row>
    <row r="1267" spans="1:2">
      <c r="A1267" s="10">
        <v>44253</v>
      </c>
      <c r="B1267">
        <v>3636.44</v>
      </c>
    </row>
    <row r="1268" spans="1:2">
      <c r="A1268" s="10">
        <v>44256</v>
      </c>
      <c r="B1268">
        <v>3706.62</v>
      </c>
    </row>
    <row r="1269" spans="1:2">
      <c r="A1269" s="10">
        <v>44257</v>
      </c>
      <c r="B1269">
        <v>3707.72</v>
      </c>
    </row>
    <row r="1270" spans="1:2">
      <c r="A1270" s="10">
        <v>44258</v>
      </c>
      <c r="B1270">
        <v>3712.78</v>
      </c>
    </row>
    <row r="1271" spans="1:2">
      <c r="A1271" s="10">
        <v>44259</v>
      </c>
      <c r="B1271">
        <v>3704.85</v>
      </c>
    </row>
    <row r="1272" spans="1:2">
      <c r="A1272" s="10">
        <v>44260</v>
      </c>
      <c r="B1272">
        <v>3669.54</v>
      </c>
    </row>
    <row r="1273" spans="1:2">
      <c r="A1273" s="10">
        <v>44263</v>
      </c>
      <c r="B1273">
        <v>3763.24</v>
      </c>
    </row>
    <row r="1274" spans="1:2">
      <c r="A1274" s="10">
        <v>44264</v>
      </c>
      <c r="B1274">
        <v>3786.05</v>
      </c>
    </row>
    <row r="1275" spans="1:2">
      <c r="A1275" s="10">
        <v>44265</v>
      </c>
      <c r="B1275">
        <v>3819.92</v>
      </c>
    </row>
    <row r="1276" spans="1:2">
      <c r="A1276" s="10">
        <v>44266</v>
      </c>
      <c r="B1276">
        <v>3845.64</v>
      </c>
    </row>
    <row r="1277" spans="1:2">
      <c r="A1277" s="10">
        <v>44267</v>
      </c>
      <c r="B1277">
        <v>3833.36</v>
      </c>
    </row>
    <row r="1278" spans="1:2">
      <c r="A1278" s="10">
        <v>44270</v>
      </c>
      <c r="B1278">
        <v>3829.84</v>
      </c>
    </row>
    <row r="1279" spans="1:2">
      <c r="A1279" s="10">
        <v>44271</v>
      </c>
      <c r="B1279">
        <v>3850.96</v>
      </c>
    </row>
    <row r="1280" spans="1:2">
      <c r="A1280" s="10">
        <v>44272</v>
      </c>
      <c r="B1280">
        <v>3849.74</v>
      </c>
    </row>
    <row r="1281" spans="1:2">
      <c r="A1281" s="10">
        <v>44273</v>
      </c>
      <c r="B1281">
        <v>3867.54</v>
      </c>
    </row>
    <row r="1282" spans="1:2">
      <c r="A1282" s="10">
        <v>44274</v>
      </c>
      <c r="B1282">
        <v>3837.02</v>
      </c>
    </row>
    <row r="1283" spans="1:2">
      <c r="A1283" s="10">
        <v>44277</v>
      </c>
      <c r="B1283">
        <v>3833.84</v>
      </c>
    </row>
    <row r="1284" spans="1:2">
      <c r="A1284" s="10">
        <v>44278</v>
      </c>
      <c r="B1284">
        <v>3827.02</v>
      </c>
    </row>
    <row r="1285" spans="1:2">
      <c r="A1285" s="10">
        <v>44279</v>
      </c>
      <c r="B1285">
        <v>3832.55</v>
      </c>
    </row>
    <row r="1286" spans="1:2">
      <c r="A1286" s="10">
        <v>44280</v>
      </c>
      <c r="B1286">
        <v>3832.57</v>
      </c>
    </row>
    <row r="1287" spans="1:2">
      <c r="A1287" s="10">
        <v>44281</v>
      </c>
      <c r="B1287">
        <v>3866.68</v>
      </c>
    </row>
    <row r="1288" spans="1:2">
      <c r="A1288" s="10">
        <v>44284</v>
      </c>
      <c r="B1288">
        <v>3882.87</v>
      </c>
    </row>
    <row r="1289" spans="1:2">
      <c r="A1289" s="10">
        <v>44285</v>
      </c>
      <c r="B1289">
        <v>3926.2</v>
      </c>
    </row>
    <row r="1290" spans="1:2">
      <c r="A1290" s="10">
        <v>44286</v>
      </c>
      <c r="B1290">
        <v>3919.21</v>
      </c>
    </row>
    <row r="1291" spans="1:2">
      <c r="A1291" s="10">
        <v>44287</v>
      </c>
      <c r="B1291">
        <v>3945.96</v>
      </c>
    </row>
    <row r="1292" spans="1:2">
      <c r="A1292" s="10">
        <v>44292</v>
      </c>
      <c r="B1292">
        <v>3970.42</v>
      </c>
    </row>
    <row r="1293" spans="1:2">
      <c r="A1293" s="10">
        <v>44293</v>
      </c>
      <c r="B1293">
        <v>3956.77</v>
      </c>
    </row>
    <row r="1294" spans="1:2">
      <c r="A1294" s="10">
        <v>44294</v>
      </c>
      <c r="B1294">
        <v>3977.83</v>
      </c>
    </row>
    <row r="1295" spans="1:2">
      <c r="A1295" s="10">
        <v>44295</v>
      </c>
      <c r="B1295">
        <v>3978.84</v>
      </c>
    </row>
    <row r="1296" spans="1:2">
      <c r="A1296" s="10">
        <v>44298</v>
      </c>
      <c r="B1296">
        <v>3961.9</v>
      </c>
    </row>
    <row r="1297" spans="1:2">
      <c r="A1297" s="10">
        <v>44299</v>
      </c>
      <c r="B1297">
        <v>3966.99</v>
      </c>
    </row>
    <row r="1298" spans="1:2">
      <c r="A1298" s="10">
        <v>44300</v>
      </c>
      <c r="B1298">
        <v>3976.28</v>
      </c>
    </row>
    <row r="1299" spans="1:2">
      <c r="A1299" s="10">
        <v>44301</v>
      </c>
      <c r="B1299">
        <v>3993.43</v>
      </c>
    </row>
    <row r="1300" spans="1:2">
      <c r="A1300" s="10">
        <v>44302</v>
      </c>
      <c r="B1300">
        <v>4032.99</v>
      </c>
    </row>
    <row r="1301" spans="1:2">
      <c r="A1301" s="10">
        <v>44305</v>
      </c>
      <c r="B1301">
        <v>4019.91</v>
      </c>
    </row>
    <row r="1302" spans="1:2">
      <c r="A1302" s="10">
        <v>44306</v>
      </c>
      <c r="B1302">
        <v>3940.46</v>
      </c>
    </row>
    <row r="1303" spans="1:2">
      <c r="A1303" s="10">
        <v>44307</v>
      </c>
      <c r="B1303">
        <v>3976.41</v>
      </c>
    </row>
    <row r="1304" spans="1:2">
      <c r="A1304" s="10">
        <v>44308</v>
      </c>
      <c r="B1304">
        <v>4014.8</v>
      </c>
    </row>
    <row r="1305" spans="1:2">
      <c r="A1305" s="10">
        <v>44309</v>
      </c>
      <c r="B1305">
        <v>4013.34</v>
      </c>
    </row>
    <row r="1306" spans="1:2">
      <c r="A1306" s="10">
        <v>44312</v>
      </c>
      <c r="B1306">
        <v>4020.83</v>
      </c>
    </row>
    <row r="1307" spans="1:2">
      <c r="A1307" s="10">
        <v>44313</v>
      </c>
      <c r="B1307">
        <v>4011.91</v>
      </c>
    </row>
    <row r="1308" spans="1:2">
      <c r="A1308" s="10">
        <v>44314</v>
      </c>
      <c r="B1308">
        <v>4015.03</v>
      </c>
    </row>
    <row r="1309" spans="1:2">
      <c r="A1309" s="10">
        <v>44315</v>
      </c>
      <c r="B1309">
        <v>3996.9</v>
      </c>
    </row>
    <row r="1310" spans="1:2">
      <c r="A1310" s="10">
        <v>44316</v>
      </c>
      <c r="B1310">
        <v>3974.74</v>
      </c>
    </row>
    <row r="1311" spans="1:2">
      <c r="A1311" s="10">
        <v>44319</v>
      </c>
      <c r="B1311">
        <v>4000.25</v>
      </c>
    </row>
    <row r="1312" spans="1:2">
      <c r="A1312" s="10">
        <v>44320</v>
      </c>
      <c r="B1312">
        <v>3924.8</v>
      </c>
    </row>
    <row r="1313" spans="1:2">
      <c r="A1313" s="10">
        <v>44321</v>
      </c>
      <c r="B1313">
        <v>4002.79</v>
      </c>
    </row>
    <row r="1314" spans="1:2">
      <c r="A1314" s="10">
        <v>44322</v>
      </c>
      <c r="B1314">
        <v>3999.44</v>
      </c>
    </row>
    <row r="1315" spans="1:2">
      <c r="A1315" s="10">
        <v>44323</v>
      </c>
      <c r="B1315">
        <v>4034.25</v>
      </c>
    </row>
    <row r="1316" spans="1:2">
      <c r="A1316" s="10">
        <v>44326</v>
      </c>
      <c r="B1316">
        <v>4023.35</v>
      </c>
    </row>
    <row r="1317" spans="1:2">
      <c r="A1317" s="10">
        <v>44327</v>
      </c>
      <c r="B1317">
        <v>3946.06</v>
      </c>
    </row>
    <row r="1318" spans="1:2">
      <c r="A1318" s="10">
        <v>44328</v>
      </c>
      <c r="B1318">
        <v>3947.43</v>
      </c>
    </row>
    <row r="1319" spans="1:2">
      <c r="A1319" s="10">
        <v>44329</v>
      </c>
      <c r="B1319">
        <v>3952.45</v>
      </c>
    </row>
    <row r="1320" spans="1:2">
      <c r="A1320" s="10">
        <v>44330</v>
      </c>
      <c r="B1320">
        <v>4017.44</v>
      </c>
    </row>
    <row r="1321" spans="1:2">
      <c r="A1321" s="10">
        <v>44333</v>
      </c>
      <c r="B1321">
        <v>4006.84</v>
      </c>
    </row>
    <row r="1322" spans="1:2">
      <c r="A1322" s="10">
        <v>44334</v>
      </c>
      <c r="B1322">
        <v>4005.34</v>
      </c>
    </row>
    <row r="1323" spans="1:2">
      <c r="A1323" s="10">
        <v>44335</v>
      </c>
      <c r="B1323">
        <v>3936.74</v>
      </c>
    </row>
    <row r="1324" spans="1:2">
      <c r="A1324" s="10">
        <v>44336</v>
      </c>
      <c r="B1324">
        <v>3999.91</v>
      </c>
    </row>
    <row r="1325" spans="1:2">
      <c r="A1325" s="10">
        <v>44337</v>
      </c>
      <c r="B1325">
        <v>4025.78</v>
      </c>
    </row>
    <row r="1326" spans="1:2">
      <c r="A1326" s="10">
        <v>44341</v>
      </c>
      <c r="B1326">
        <v>4036.04</v>
      </c>
    </row>
    <row r="1327" spans="1:2">
      <c r="A1327" s="10">
        <v>44342</v>
      </c>
      <c r="B1327">
        <v>4031.67</v>
      </c>
    </row>
    <row r="1328" spans="1:2">
      <c r="A1328" s="10">
        <v>44343</v>
      </c>
      <c r="B1328">
        <v>4039.21</v>
      </c>
    </row>
    <row r="1329" spans="1:2">
      <c r="A1329" s="10">
        <v>44344</v>
      </c>
      <c r="B1329">
        <v>4070.56</v>
      </c>
    </row>
    <row r="1330" spans="1:2">
      <c r="A1330" s="10">
        <v>44347</v>
      </c>
      <c r="B1330">
        <v>4039.46</v>
      </c>
    </row>
    <row r="1331" spans="1:2">
      <c r="A1331" s="10">
        <v>44348</v>
      </c>
      <c r="B1331">
        <v>4071.75</v>
      </c>
    </row>
    <row r="1332" spans="1:2">
      <c r="A1332" s="10">
        <v>44349</v>
      </c>
      <c r="B1332">
        <v>4088.5</v>
      </c>
    </row>
    <row r="1333" spans="1:2">
      <c r="A1333" s="10">
        <v>44350</v>
      </c>
      <c r="B1333">
        <v>4079.24</v>
      </c>
    </row>
    <row r="1334" spans="1:2">
      <c r="A1334" s="10">
        <v>44351</v>
      </c>
      <c r="B1334">
        <v>4089.38</v>
      </c>
    </row>
    <row r="1335" spans="1:2">
      <c r="A1335" s="10">
        <v>44354</v>
      </c>
      <c r="B1335">
        <v>4097.6499999999996</v>
      </c>
    </row>
    <row r="1336" spans="1:2">
      <c r="A1336" s="10">
        <v>44355</v>
      </c>
      <c r="B1336">
        <v>4096.01</v>
      </c>
    </row>
    <row r="1337" spans="1:2">
      <c r="A1337" s="10">
        <v>44356</v>
      </c>
      <c r="B1337">
        <v>4096.8500000000004</v>
      </c>
    </row>
    <row r="1338" spans="1:2">
      <c r="A1338" s="10">
        <v>44357</v>
      </c>
      <c r="B1338">
        <v>4096.07</v>
      </c>
    </row>
    <row r="1339" spans="1:2">
      <c r="A1339" s="10">
        <v>44358</v>
      </c>
      <c r="B1339">
        <v>4126.7</v>
      </c>
    </row>
    <row r="1340" spans="1:2">
      <c r="A1340" s="10">
        <v>44361</v>
      </c>
      <c r="B1340">
        <v>4132.67</v>
      </c>
    </row>
    <row r="1341" spans="1:2">
      <c r="A1341" s="10">
        <v>44362</v>
      </c>
      <c r="B1341">
        <v>4143.5200000000004</v>
      </c>
    </row>
    <row r="1342" spans="1:2">
      <c r="A1342" s="10">
        <v>44363</v>
      </c>
      <c r="B1342">
        <v>4151.76</v>
      </c>
    </row>
    <row r="1343" spans="1:2">
      <c r="A1343" s="10">
        <v>44364</v>
      </c>
      <c r="B1343">
        <v>4158.1400000000003</v>
      </c>
    </row>
    <row r="1344" spans="1:2">
      <c r="A1344" s="10">
        <v>44365</v>
      </c>
      <c r="B1344">
        <v>4083.37</v>
      </c>
    </row>
    <row r="1345" spans="1:2">
      <c r="A1345" s="10">
        <v>44368</v>
      </c>
      <c r="B1345">
        <v>4112.33</v>
      </c>
    </row>
    <row r="1346" spans="1:2">
      <c r="A1346" s="10">
        <v>44369</v>
      </c>
      <c r="B1346">
        <v>4123.13</v>
      </c>
    </row>
    <row r="1347" spans="1:2">
      <c r="A1347" s="10">
        <v>44370</v>
      </c>
      <c r="B1347">
        <v>4075.94</v>
      </c>
    </row>
    <row r="1348" spans="1:2">
      <c r="A1348" s="10">
        <v>44371</v>
      </c>
      <c r="B1348">
        <v>4122.43</v>
      </c>
    </row>
    <row r="1349" spans="1:2">
      <c r="A1349" s="10">
        <v>44372</v>
      </c>
      <c r="B1349">
        <v>4120.66</v>
      </c>
    </row>
    <row r="1350" spans="1:2">
      <c r="A1350" s="10">
        <v>44375</v>
      </c>
      <c r="B1350">
        <v>4089.91</v>
      </c>
    </row>
    <row r="1351" spans="1:2">
      <c r="A1351" s="10">
        <v>44376</v>
      </c>
      <c r="B1351">
        <v>4107.51</v>
      </c>
    </row>
    <row r="1352" spans="1:2">
      <c r="A1352" s="10">
        <v>44377</v>
      </c>
      <c r="B1352">
        <v>4064.3</v>
      </c>
    </row>
    <row r="1353" spans="1:2">
      <c r="A1353" s="10">
        <v>44378</v>
      </c>
      <c r="B1353">
        <v>4078.89</v>
      </c>
    </row>
    <row r="1354" spans="1:2">
      <c r="A1354" s="10">
        <v>44379</v>
      </c>
      <c r="B1354">
        <v>4084.31</v>
      </c>
    </row>
    <row r="1355" spans="1:2">
      <c r="A1355" s="10">
        <v>44382</v>
      </c>
      <c r="B1355">
        <v>4087.37</v>
      </c>
    </row>
    <row r="1356" spans="1:2">
      <c r="A1356" s="10">
        <v>44383</v>
      </c>
      <c r="B1356">
        <v>4052.67</v>
      </c>
    </row>
    <row r="1357" spans="1:2">
      <c r="A1357" s="10">
        <v>44384</v>
      </c>
      <c r="B1357">
        <v>4078.53</v>
      </c>
    </row>
    <row r="1358" spans="1:2">
      <c r="A1358" s="10">
        <v>44385</v>
      </c>
      <c r="B1358">
        <v>3991.66</v>
      </c>
    </row>
    <row r="1359" spans="1:2">
      <c r="A1359" s="10">
        <v>44386</v>
      </c>
      <c r="B1359">
        <v>4068.09</v>
      </c>
    </row>
    <row r="1360" spans="1:2">
      <c r="A1360" s="10">
        <v>44389</v>
      </c>
      <c r="B1360">
        <v>4093.38</v>
      </c>
    </row>
    <row r="1361" spans="1:2">
      <c r="A1361" s="10">
        <v>44390</v>
      </c>
      <c r="B1361">
        <v>4094.56</v>
      </c>
    </row>
    <row r="1362" spans="1:2">
      <c r="A1362" s="10">
        <v>44391</v>
      </c>
      <c r="B1362">
        <v>4099.5</v>
      </c>
    </row>
    <row r="1363" spans="1:2">
      <c r="A1363" s="10">
        <v>44392</v>
      </c>
      <c r="B1363">
        <v>4056.39</v>
      </c>
    </row>
    <row r="1364" spans="1:2">
      <c r="A1364" s="10">
        <v>44393</v>
      </c>
      <c r="B1364">
        <v>4035.77</v>
      </c>
    </row>
    <row r="1365" spans="1:2">
      <c r="A1365" s="10">
        <v>44396</v>
      </c>
      <c r="B1365">
        <v>3928.53</v>
      </c>
    </row>
    <row r="1366" spans="1:2">
      <c r="A1366" s="10">
        <v>44397</v>
      </c>
      <c r="B1366">
        <v>3956.34</v>
      </c>
    </row>
    <row r="1367" spans="1:2">
      <c r="A1367" s="10">
        <v>44398</v>
      </c>
      <c r="B1367">
        <v>4026.68</v>
      </c>
    </row>
    <row r="1368" spans="1:2">
      <c r="A1368" s="10">
        <v>44399</v>
      </c>
      <c r="B1368">
        <v>4059.05</v>
      </c>
    </row>
    <row r="1369" spans="1:2">
      <c r="A1369" s="10">
        <v>44400</v>
      </c>
      <c r="B1369">
        <v>4109.1000000000004</v>
      </c>
    </row>
    <row r="1370" spans="1:2">
      <c r="A1370" s="10">
        <v>44403</v>
      </c>
      <c r="B1370">
        <v>4102.59</v>
      </c>
    </row>
    <row r="1371" spans="1:2">
      <c r="A1371" s="10">
        <v>44404</v>
      </c>
      <c r="B1371">
        <v>4064.83</v>
      </c>
    </row>
    <row r="1372" spans="1:2">
      <c r="A1372" s="10">
        <v>44405</v>
      </c>
      <c r="B1372">
        <v>4103.03</v>
      </c>
    </row>
    <row r="1373" spans="1:2">
      <c r="A1373" s="10">
        <v>44406</v>
      </c>
      <c r="B1373">
        <v>4116.7700000000004</v>
      </c>
    </row>
    <row r="1374" spans="1:2">
      <c r="A1374" s="10">
        <v>44407</v>
      </c>
      <c r="B1374">
        <v>4089.3</v>
      </c>
    </row>
    <row r="1375" spans="1:2">
      <c r="A1375" s="10">
        <v>44410</v>
      </c>
      <c r="B1375">
        <v>4116.62</v>
      </c>
    </row>
    <row r="1376" spans="1:2">
      <c r="A1376" s="10">
        <v>44411</v>
      </c>
      <c r="B1376">
        <v>4117.95</v>
      </c>
    </row>
    <row r="1377" spans="1:2">
      <c r="A1377" s="10">
        <v>44412</v>
      </c>
      <c r="B1377">
        <v>4144.8999999999996</v>
      </c>
    </row>
    <row r="1378" spans="1:2">
      <c r="A1378" s="10">
        <v>44413</v>
      </c>
      <c r="B1378">
        <v>4161.08</v>
      </c>
    </row>
    <row r="1379" spans="1:2">
      <c r="A1379" s="10">
        <v>44414</v>
      </c>
      <c r="B1379">
        <v>4174.54</v>
      </c>
    </row>
    <row r="1380" spans="1:2">
      <c r="A1380" s="10">
        <v>44417</v>
      </c>
      <c r="B1380">
        <v>4177.1499999999996</v>
      </c>
    </row>
    <row r="1381" spans="1:2">
      <c r="A1381" s="10">
        <v>44418</v>
      </c>
      <c r="B1381">
        <v>4187.82</v>
      </c>
    </row>
    <row r="1382" spans="1:2">
      <c r="A1382" s="10">
        <v>44419</v>
      </c>
      <c r="B1382">
        <v>4206.33</v>
      </c>
    </row>
    <row r="1383" spans="1:2">
      <c r="A1383" s="10">
        <v>44420</v>
      </c>
      <c r="B1383">
        <v>4226.33</v>
      </c>
    </row>
    <row r="1384" spans="1:2">
      <c r="A1384" s="10">
        <v>44421</v>
      </c>
      <c r="B1384">
        <v>4229.7</v>
      </c>
    </row>
    <row r="1385" spans="1:2">
      <c r="A1385" s="10">
        <v>44424</v>
      </c>
      <c r="B1385">
        <v>4202.4399999999996</v>
      </c>
    </row>
    <row r="1386" spans="1:2">
      <c r="A1386" s="10">
        <v>44425</v>
      </c>
      <c r="B1386">
        <v>4196.3999999999996</v>
      </c>
    </row>
    <row r="1387" spans="1:2">
      <c r="A1387" s="10">
        <v>44426</v>
      </c>
      <c r="B1387">
        <v>4189.42</v>
      </c>
    </row>
    <row r="1388" spans="1:2">
      <c r="A1388" s="10">
        <v>44427</v>
      </c>
      <c r="B1388">
        <v>4124.71</v>
      </c>
    </row>
    <row r="1389" spans="1:2">
      <c r="A1389" s="10">
        <v>44428</v>
      </c>
      <c r="B1389">
        <v>4147.5</v>
      </c>
    </row>
    <row r="1390" spans="1:2">
      <c r="A1390" s="10">
        <v>44431</v>
      </c>
      <c r="B1390">
        <v>4176.42</v>
      </c>
    </row>
    <row r="1391" spans="1:2">
      <c r="A1391" s="10">
        <v>44432</v>
      </c>
      <c r="B1391">
        <v>4178.08</v>
      </c>
    </row>
    <row r="1392" spans="1:2">
      <c r="A1392" s="10">
        <v>44433</v>
      </c>
      <c r="B1392">
        <v>4181.12</v>
      </c>
    </row>
    <row r="1393" spans="1:2">
      <c r="A1393" s="10">
        <v>44434</v>
      </c>
      <c r="B1393">
        <v>4169.87</v>
      </c>
    </row>
    <row r="1394" spans="1:2">
      <c r="A1394" s="10">
        <v>44435</v>
      </c>
      <c r="B1394">
        <v>4190.9799999999996</v>
      </c>
    </row>
    <row r="1395" spans="1:2">
      <c r="A1395" s="10">
        <v>44438</v>
      </c>
      <c r="B1395">
        <v>4198.8</v>
      </c>
    </row>
    <row r="1396" spans="1:2">
      <c r="A1396" s="10">
        <v>44439</v>
      </c>
      <c r="B1396">
        <v>4196.41</v>
      </c>
    </row>
    <row r="1397" spans="1:2">
      <c r="A1397" s="10">
        <v>44440</v>
      </c>
      <c r="B1397">
        <v>4227.2700000000004</v>
      </c>
    </row>
    <row r="1398" spans="1:2">
      <c r="A1398" s="10">
        <v>44441</v>
      </c>
      <c r="B1398">
        <v>4232.1000000000004</v>
      </c>
    </row>
    <row r="1399" spans="1:2">
      <c r="A1399" s="10">
        <v>44442</v>
      </c>
      <c r="B1399">
        <v>4201.9799999999996</v>
      </c>
    </row>
    <row r="1400" spans="1:2">
      <c r="A1400" s="10">
        <v>44445</v>
      </c>
      <c r="B1400">
        <v>4246.13</v>
      </c>
    </row>
    <row r="1401" spans="1:2">
      <c r="A1401" s="10">
        <v>44446</v>
      </c>
      <c r="B1401">
        <v>4225.01</v>
      </c>
    </row>
    <row r="1402" spans="1:2">
      <c r="A1402" s="10">
        <v>44447</v>
      </c>
      <c r="B1402">
        <v>4177.1499999999996</v>
      </c>
    </row>
    <row r="1403" spans="1:2">
      <c r="A1403" s="10">
        <v>44448</v>
      </c>
      <c r="B1403">
        <v>4177.1099999999997</v>
      </c>
    </row>
    <row r="1404" spans="1:2">
      <c r="A1404" s="10">
        <v>44449</v>
      </c>
      <c r="B1404">
        <v>4170.3500000000004</v>
      </c>
    </row>
    <row r="1405" spans="1:2">
      <c r="A1405" s="10">
        <v>44452</v>
      </c>
      <c r="B1405">
        <v>4189.53</v>
      </c>
    </row>
    <row r="1406" spans="1:2">
      <c r="A1406" s="10">
        <v>44453</v>
      </c>
      <c r="B1406">
        <v>4191.67</v>
      </c>
    </row>
    <row r="1407" spans="1:2">
      <c r="A1407" s="10">
        <v>44454</v>
      </c>
      <c r="B1407">
        <v>4145.9399999999996</v>
      </c>
    </row>
    <row r="1408" spans="1:2">
      <c r="A1408" s="10">
        <v>44455</v>
      </c>
      <c r="B1408">
        <v>4169.87</v>
      </c>
    </row>
    <row r="1409" spans="1:2">
      <c r="A1409" s="10">
        <v>44456</v>
      </c>
      <c r="B1409">
        <v>4130.84</v>
      </c>
    </row>
    <row r="1410" spans="1:2">
      <c r="A1410" s="10">
        <v>44459</v>
      </c>
      <c r="B1410">
        <v>4043.63</v>
      </c>
    </row>
    <row r="1411" spans="1:2">
      <c r="A1411" s="10">
        <v>44460</v>
      </c>
      <c r="B1411">
        <v>4097.51</v>
      </c>
    </row>
    <row r="1412" spans="1:2">
      <c r="A1412" s="10">
        <v>44461</v>
      </c>
      <c r="B1412">
        <v>4150.1899999999996</v>
      </c>
    </row>
    <row r="1413" spans="1:2">
      <c r="A1413" s="10">
        <v>44462</v>
      </c>
      <c r="B1413">
        <v>4194.92</v>
      </c>
    </row>
    <row r="1414" spans="1:2">
      <c r="A1414" s="10">
        <v>44463</v>
      </c>
      <c r="B1414">
        <v>4158.51</v>
      </c>
    </row>
    <row r="1415" spans="1:2">
      <c r="A1415" s="10">
        <v>44466</v>
      </c>
      <c r="B1415">
        <v>4165.4799999999996</v>
      </c>
    </row>
    <row r="1416" spans="1:2">
      <c r="A1416" s="10">
        <v>44467</v>
      </c>
      <c r="B1416">
        <v>4058.82</v>
      </c>
    </row>
    <row r="1417" spans="1:2">
      <c r="A1417" s="10">
        <v>44468</v>
      </c>
      <c r="B1417">
        <v>4080.22</v>
      </c>
    </row>
    <row r="1418" spans="1:2">
      <c r="A1418" s="10">
        <v>44469</v>
      </c>
      <c r="B1418">
        <v>4048.08</v>
      </c>
    </row>
    <row r="1419" spans="1:2">
      <c r="A1419" s="10">
        <v>44470</v>
      </c>
      <c r="B1419">
        <v>4035.3</v>
      </c>
    </row>
    <row r="1420" spans="1:2">
      <c r="A1420" s="10">
        <v>44473</v>
      </c>
      <c r="B1420">
        <v>3996.41</v>
      </c>
    </row>
    <row r="1421" spans="1:2">
      <c r="A1421" s="10">
        <v>44474</v>
      </c>
      <c r="B1421">
        <v>4065.43</v>
      </c>
    </row>
    <row r="1422" spans="1:2">
      <c r="A1422" s="10">
        <v>44475</v>
      </c>
      <c r="B1422">
        <v>4012.65</v>
      </c>
    </row>
    <row r="1423" spans="1:2">
      <c r="A1423" s="10">
        <v>44476</v>
      </c>
      <c r="B1423">
        <v>4098.34</v>
      </c>
    </row>
    <row r="1424" spans="1:2">
      <c r="A1424" s="10">
        <v>44477</v>
      </c>
      <c r="B1424">
        <v>4073.29</v>
      </c>
    </row>
    <row r="1425" spans="1:2">
      <c r="A1425" s="10">
        <v>44480</v>
      </c>
      <c r="B1425">
        <v>4072.52</v>
      </c>
    </row>
    <row r="1426" spans="1:2">
      <c r="A1426" s="10">
        <v>44481</v>
      </c>
      <c r="B1426">
        <v>4055.09</v>
      </c>
    </row>
    <row r="1427" spans="1:2">
      <c r="A1427" s="10">
        <v>44482</v>
      </c>
      <c r="B1427">
        <v>4083.28</v>
      </c>
    </row>
    <row r="1428" spans="1:2">
      <c r="A1428" s="10">
        <v>44483</v>
      </c>
      <c r="B1428">
        <v>4149.0600000000004</v>
      </c>
    </row>
    <row r="1429" spans="1:2">
      <c r="A1429" s="10">
        <v>44484</v>
      </c>
      <c r="B1429">
        <v>4182.91</v>
      </c>
    </row>
    <row r="1430" spans="1:2">
      <c r="A1430" s="10">
        <v>44487</v>
      </c>
      <c r="B1430">
        <v>4151.3999999999996</v>
      </c>
    </row>
    <row r="1431" spans="1:2">
      <c r="A1431" s="10">
        <v>44488</v>
      </c>
      <c r="B1431">
        <v>4166.83</v>
      </c>
    </row>
    <row r="1432" spans="1:2">
      <c r="A1432" s="10">
        <v>44489</v>
      </c>
      <c r="B1432">
        <v>4172.17</v>
      </c>
    </row>
    <row r="1433" spans="1:2">
      <c r="A1433" s="10">
        <v>44490</v>
      </c>
      <c r="B1433">
        <v>4155.7299999999996</v>
      </c>
    </row>
    <row r="1434" spans="1:2">
      <c r="A1434" s="10">
        <v>44491</v>
      </c>
      <c r="B1434">
        <v>4188.8100000000004</v>
      </c>
    </row>
    <row r="1435" spans="1:2">
      <c r="A1435" s="10">
        <v>44494</v>
      </c>
      <c r="B1435">
        <v>4188.3100000000004</v>
      </c>
    </row>
    <row r="1436" spans="1:2">
      <c r="A1436" s="10">
        <v>44495</v>
      </c>
      <c r="B1436">
        <v>4223.97</v>
      </c>
    </row>
    <row r="1437" spans="1:2">
      <c r="A1437" s="10">
        <v>44496</v>
      </c>
      <c r="B1437">
        <v>4220.88</v>
      </c>
    </row>
    <row r="1438" spans="1:2">
      <c r="A1438" s="10">
        <v>44497</v>
      </c>
      <c r="B1438">
        <v>4233.87</v>
      </c>
    </row>
    <row r="1439" spans="1:2">
      <c r="A1439" s="10">
        <v>44498</v>
      </c>
      <c r="B1439">
        <v>4250.5600000000004</v>
      </c>
    </row>
    <row r="1440" spans="1:2">
      <c r="A1440" s="10">
        <v>44501</v>
      </c>
      <c r="B1440">
        <v>4280.47</v>
      </c>
    </row>
    <row r="1441" spans="1:2">
      <c r="A1441" s="10">
        <v>44502</v>
      </c>
      <c r="B1441">
        <v>4296.22</v>
      </c>
    </row>
    <row r="1442" spans="1:2">
      <c r="A1442" s="10">
        <v>44503</v>
      </c>
      <c r="B1442">
        <v>4309.6099999999997</v>
      </c>
    </row>
    <row r="1443" spans="1:2">
      <c r="A1443" s="10">
        <v>44504</v>
      </c>
      <c r="B1443">
        <v>4333.34</v>
      </c>
    </row>
    <row r="1444" spans="1:2">
      <c r="A1444" s="10">
        <v>44505</v>
      </c>
      <c r="B1444">
        <v>4363.04</v>
      </c>
    </row>
    <row r="1445" spans="1:2">
      <c r="A1445" s="10">
        <v>44508</v>
      </c>
      <c r="B1445">
        <v>4352.53</v>
      </c>
    </row>
    <row r="1446" spans="1:2">
      <c r="A1446" s="10">
        <v>44509</v>
      </c>
      <c r="B1446">
        <v>4344.63</v>
      </c>
    </row>
    <row r="1447" spans="1:2">
      <c r="A1447" s="10">
        <v>44510</v>
      </c>
      <c r="B1447">
        <v>4348.82</v>
      </c>
    </row>
    <row r="1448" spans="1:2">
      <c r="A1448" s="10">
        <v>44511</v>
      </c>
      <c r="B1448">
        <v>4358</v>
      </c>
    </row>
    <row r="1449" spans="1:2">
      <c r="A1449" s="10">
        <v>44512</v>
      </c>
      <c r="B1449">
        <v>4370.33</v>
      </c>
    </row>
    <row r="1450" spans="1:2">
      <c r="A1450" s="10">
        <v>44515</v>
      </c>
      <c r="B1450">
        <v>4386.1899999999996</v>
      </c>
    </row>
    <row r="1451" spans="1:2">
      <c r="A1451" s="10">
        <v>44516</v>
      </c>
      <c r="B1451">
        <v>4401.49</v>
      </c>
    </row>
    <row r="1452" spans="1:2">
      <c r="A1452" s="10">
        <v>44517</v>
      </c>
      <c r="B1452">
        <v>4400.8100000000004</v>
      </c>
    </row>
    <row r="1453" spans="1:2">
      <c r="A1453" s="10">
        <v>44518</v>
      </c>
      <c r="B1453">
        <v>4383.7</v>
      </c>
    </row>
    <row r="1454" spans="1:2">
      <c r="A1454" s="10">
        <v>44519</v>
      </c>
      <c r="B1454">
        <v>4356.47</v>
      </c>
    </row>
    <row r="1455" spans="1:2">
      <c r="A1455" s="10">
        <v>44522</v>
      </c>
      <c r="B1455">
        <v>4338.6899999999996</v>
      </c>
    </row>
    <row r="1456" spans="1:2">
      <c r="A1456" s="10">
        <v>44523</v>
      </c>
      <c r="B1456">
        <v>4283.82</v>
      </c>
    </row>
    <row r="1457" spans="1:2">
      <c r="A1457" s="10">
        <v>44524</v>
      </c>
      <c r="B1457">
        <v>4276.25</v>
      </c>
    </row>
    <row r="1458" spans="1:2">
      <c r="A1458" s="10">
        <v>44525</v>
      </c>
      <c r="B1458">
        <v>4293.24</v>
      </c>
    </row>
    <row r="1459" spans="1:2">
      <c r="A1459" s="10">
        <v>44526</v>
      </c>
      <c r="B1459">
        <v>4089.58</v>
      </c>
    </row>
    <row r="1460" spans="1:2">
      <c r="A1460" s="10">
        <v>44529</v>
      </c>
      <c r="B1460">
        <v>4109.51</v>
      </c>
    </row>
    <row r="1461" spans="1:2">
      <c r="A1461" s="10">
        <v>44530</v>
      </c>
      <c r="B1461">
        <v>4063.06</v>
      </c>
    </row>
    <row r="1462" spans="1:2">
      <c r="A1462" s="10">
        <v>44531</v>
      </c>
      <c r="B1462">
        <v>4179.1499999999996</v>
      </c>
    </row>
    <row r="1463" spans="1:2">
      <c r="A1463" s="10">
        <v>44532</v>
      </c>
      <c r="B1463">
        <v>4108.0200000000004</v>
      </c>
    </row>
    <row r="1464" spans="1:2">
      <c r="A1464" s="10">
        <v>44533</v>
      </c>
      <c r="B1464">
        <v>4080.15</v>
      </c>
    </row>
    <row r="1465" spans="1:2">
      <c r="A1465" s="10">
        <v>44536</v>
      </c>
      <c r="B1465">
        <v>4137.1099999999997</v>
      </c>
    </row>
    <row r="1466" spans="1:2">
      <c r="A1466" s="10">
        <v>44537</v>
      </c>
      <c r="B1466">
        <v>4276.2</v>
      </c>
    </row>
    <row r="1467" spans="1:2">
      <c r="A1467" s="10">
        <v>44538</v>
      </c>
      <c r="B1467">
        <v>4233.09</v>
      </c>
    </row>
    <row r="1468" spans="1:2">
      <c r="A1468" s="10">
        <v>44539</v>
      </c>
      <c r="B1468">
        <v>4208.3</v>
      </c>
    </row>
    <row r="1469" spans="1:2">
      <c r="A1469" s="10">
        <v>44540</v>
      </c>
      <c r="B1469">
        <v>4199.16</v>
      </c>
    </row>
    <row r="1470" spans="1:2">
      <c r="A1470" s="10">
        <v>44543</v>
      </c>
      <c r="B1470">
        <v>4183.04</v>
      </c>
    </row>
    <row r="1471" spans="1:2">
      <c r="A1471" s="10">
        <v>44544</v>
      </c>
      <c r="B1471">
        <v>4144.51</v>
      </c>
    </row>
    <row r="1472" spans="1:2">
      <c r="A1472" s="10">
        <v>44545</v>
      </c>
      <c r="B1472">
        <v>4159.68</v>
      </c>
    </row>
    <row r="1473" spans="1:2">
      <c r="A1473" s="10">
        <v>44546</v>
      </c>
      <c r="B1473">
        <v>4201.87</v>
      </c>
    </row>
    <row r="1474" spans="1:2">
      <c r="A1474" s="10">
        <v>44547</v>
      </c>
      <c r="B1474">
        <v>4161.3500000000004</v>
      </c>
    </row>
    <row r="1475" spans="1:2">
      <c r="A1475" s="10">
        <v>44550</v>
      </c>
      <c r="B1475">
        <v>4107.13</v>
      </c>
    </row>
    <row r="1476" spans="1:2">
      <c r="A1476" s="10">
        <v>44551</v>
      </c>
      <c r="B1476">
        <v>4174.99</v>
      </c>
    </row>
    <row r="1477" spans="1:2">
      <c r="A1477" s="10">
        <v>44552</v>
      </c>
      <c r="B1477">
        <v>4217.0600000000004</v>
      </c>
    </row>
    <row r="1478" spans="1:2">
      <c r="A1478" s="10">
        <v>44553</v>
      </c>
      <c r="B1478">
        <v>4265.8599999999997</v>
      </c>
    </row>
    <row r="1479" spans="1:2">
      <c r="A1479" s="10">
        <v>44557</v>
      </c>
      <c r="B1479">
        <v>4287.9799999999996</v>
      </c>
    </row>
    <row r="1480" spans="1:2">
      <c r="A1480" s="10">
        <v>44558</v>
      </c>
      <c r="B1480">
        <v>4311.93</v>
      </c>
    </row>
    <row r="1481" spans="1:2">
      <c r="A1481" s="10">
        <v>44559</v>
      </c>
      <c r="B1481">
        <v>4284.83</v>
      </c>
    </row>
    <row r="1482" spans="1:2">
      <c r="A1482" s="10">
        <v>44560</v>
      </c>
      <c r="B1482">
        <v>4306.07</v>
      </c>
    </row>
    <row r="1483" spans="1:2">
      <c r="A1483" s="10">
        <v>44564</v>
      </c>
      <c r="B1483">
        <v>4331.82</v>
      </c>
    </row>
    <row r="1484" spans="1:2">
      <c r="A1484" s="10">
        <v>44565</v>
      </c>
      <c r="B1484">
        <v>4367.62</v>
      </c>
    </row>
    <row r="1485" spans="1:2">
      <c r="A1485" s="10">
        <v>44566</v>
      </c>
      <c r="B1485">
        <v>4392.1499999999996</v>
      </c>
    </row>
    <row r="1486" spans="1:2">
      <c r="A1486" s="10">
        <v>44567</v>
      </c>
      <c r="B1486">
        <v>4324.8100000000004</v>
      </c>
    </row>
    <row r="1487" spans="1:2">
      <c r="A1487" s="10">
        <v>44568</v>
      </c>
      <c r="B1487">
        <v>4305.83</v>
      </c>
    </row>
    <row r="1488" spans="1:2">
      <c r="A1488" s="10">
        <v>44571</v>
      </c>
      <c r="B1488">
        <v>4239.5200000000004</v>
      </c>
    </row>
    <row r="1489" spans="1:2">
      <c r="A1489" s="10">
        <v>44572</v>
      </c>
      <c r="B1489">
        <v>4281.54</v>
      </c>
    </row>
    <row r="1490" spans="1:2">
      <c r="A1490" s="10">
        <v>44573</v>
      </c>
      <c r="B1490">
        <v>4316.3900000000003</v>
      </c>
    </row>
    <row r="1491" spans="1:2">
      <c r="A1491" s="10">
        <v>44574</v>
      </c>
      <c r="B1491">
        <v>4315.8999999999996</v>
      </c>
    </row>
    <row r="1492" spans="1:2">
      <c r="A1492" s="10">
        <v>44575</v>
      </c>
      <c r="B1492">
        <v>4272.1899999999996</v>
      </c>
    </row>
    <row r="1493" spans="1:2">
      <c r="A1493" s="10">
        <v>44578</v>
      </c>
      <c r="B1493">
        <v>4302.1400000000003</v>
      </c>
    </row>
    <row r="1494" spans="1:2">
      <c r="A1494" s="10">
        <v>44579</v>
      </c>
      <c r="B1494">
        <v>4257.82</v>
      </c>
    </row>
    <row r="1495" spans="1:2">
      <c r="A1495" s="10">
        <v>44580</v>
      </c>
      <c r="B1495">
        <v>4268.28</v>
      </c>
    </row>
    <row r="1496" spans="1:2">
      <c r="A1496" s="10">
        <v>44581</v>
      </c>
      <c r="B1496">
        <v>4299.6099999999997</v>
      </c>
    </row>
    <row r="1497" spans="1:2">
      <c r="A1497" s="10">
        <v>44582</v>
      </c>
      <c r="B1497">
        <v>4229.5600000000004</v>
      </c>
    </row>
    <row r="1498" spans="1:2">
      <c r="A1498" s="10">
        <v>44585</v>
      </c>
      <c r="B1498">
        <v>4054.36</v>
      </c>
    </row>
    <row r="1499" spans="1:2">
      <c r="A1499" s="10">
        <v>44586</v>
      </c>
      <c r="B1499">
        <v>4078.26</v>
      </c>
    </row>
    <row r="1500" spans="1:2">
      <c r="A1500" s="10">
        <v>44587</v>
      </c>
      <c r="B1500">
        <v>4164.6000000000004</v>
      </c>
    </row>
    <row r="1501" spans="1:2">
      <c r="A1501" s="10">
        <v>44588</v>
      </c>
      <c r="B1501">
        <v>4184.97</v>
      </c>
    </row>
    <row r="1502" spans="1:2">
      <c r="A1502" s="10">
        <v>44589</v>
      </c>
      <c r="B1502">
        <v>4136.91</v>
      </c>
    </row>
    <row r="1503" spans="1:2">
      <c r="A1503" s="10">
        <v>44592</v>
      </c>
      <c r="B1503">
        <v>4174.6000000000004</v>
      </c>
    </row>
    <row r="1504" spans="1:2">
      <c r="A1504" s="10">
        <v>44593</v>
      </c>
      <c r="B1504">
        <v>4224.45</v>
      </c>
    </row>
    <row r="1505" spans="1:2">
      <c r="A1505" s="10">
        <v>44594</v>
      </c>
      <c r="B1505">
        <v>4222.05</v>
      </c>
    </row>
    <row r="1506" spans="1:2">
      <c r="A1506" s="10">
        <v>44595</v>
      </c>
      <c r="B1506">
        <v>4141.0200000000004</v>
      </c>
    </row>
    <row r="1507" spans="1:2">
      <c r="A1507" s="10">
        <v>44596</v>
      </c>
      <c r="B1507">
        <v>4086.58</v>
      </c>
    </row>
    <row r="1508" spans="1:2">
      <c r="A1508" s="10">
        <v>44599</v>
      </c>
      <c r="B1508">
        <v>4120.5600000000004</v>
      </c>
    </row>
    <row r="1509" spans="1:2">
      <c r="A1509" s="10">
        <v>44600</v>
      </c>
      <c r="B1509">
        <v>4129.25</v>
      </c>
    </row>
    <row r="1510" spans="1:2">
      <c r="A1510" s="10">
        <v>44601</v>
      </c>
      <c r="B1510">
        <v>4204.09</v>
      </c>
    </row>
    <row r="1511" spans="1:2">
      <c r="A1511" s="10">
        <v>44602</v>
      </c>
      <c r="B1511">
        <v>4197.07</v>
      </c>
    </row>
    <row r="1512" spans="1:2">
      <c r="A1512" s="10">
        <v>44603</v>
      </c>
      <c r="B1512">
        <v>4155.2299999999996</v>
      </c>
    </row>
    <row r="1513" spans="1:2">
      <c r="A1513" s="10">
        <v>44606</v>
      </c>
      <c r="B1513">
        <v>4064.45</v>
      </c>
    </row>
    <row r="1514" spans="1:2">
      <c r="A1514" s="10">
        <v>44607</v>
      </c>
      <c r="B1514">
        <v>4143.71</v>
      </c>
    </row>
    <row r="1515" spans="1:2">
      <c r="A1515" s="10">
        <v>44608</v>
      </c>
      <c r="B1515">
        <v>4137.22</v>
      </c>
    </row>
    <row r="1516" spans="1:2">
      <c r="A1516" s="10">
        <v>44609</v>
      </c>
      <c r="B1516">
        <v>4113.1899999999996</v>
      </c>
    </row>
    <row r="1517" spans="1:2">
      <c r="A1517" s="10">
        <v>44610</v>
      </c>
      <c r="B1517">
        <v>4074.28</v>
      </c>
    </row>
    <row r="1518" spans="1:2">
      <c r="A1518" s="10">
        <v>44613</v>
      </c>
      <c r="B1518">
        <v>3985.71</v>
      </c>
    </row>
    <row r="1519" spans="1:2">
      <c r="A1519" s="10">
        <v>44614</v>
      </c>
      <c r="B1519">
        <v>3985.47</v>
      </c>
    </row>
    <row r="1520" spans="1:2">
      <c r="A1520" s="10">
        <v>44615</v>
      </c>
      <c r="B1520">
        <v>3973.41</v>
      </c>
    </row>
    <row r="1521" spans="1:2">
      <c r="A1521" s="10">
        <v>44616</v>
      </c>
      <c r="B1521">
        <v>3829.29</v>
      </c>
    </row>
    <row r="1522" spans="1:2">
      <c r="A1522" s="10">
        <v>44617</v>
      </c>
      <c r="B1522">
        <v>3970.69</v>
      </c>
    </row>
    <row r="1523" spans="1:2">
      <c r="A1523" s="10">
        <v>44620</v>
      </c>
      <c r="B1523">
        <v>3924.23</v>
      </c>
    </row>
    <row r="1524" spans="1:2">
      <c r="A1524" s="10">
        <v>44621</v>
      </c>
      <c r="B1524">
        <v>3765.85</v>
      </c>
    </row>
    <row r="1525" spans="1:2">
      <c r="A1525" s="10">
        <v>44622</v>
      </c>
      <c r="B1525">
        <v>3820.59</v>
      </c>
    </row>
    <row r="1526" spans="1:2">
      <c r="A1526" s="10">
        <v>44623</v>
      </c>
      <c r="B1526">
        <v>3741.78</v>
      </c>
    </row>
    <row r="1527" spans="1:2">
      <c r="A1527" s="10">
        <v>44624</v>
      </c>
      <c r="B1527">
        <v>3556.01</v>
      </c>
    </row>
    <row r="1528" spans="1:2">
      <c r="A1528" s="10">
        <v>44627</v>
      </c>
      <c r="B1528">
        <v>3512.22</v>
      </c>
    </row>
    <row r="1529" spans="1:2">
      <c r="A1529" s="10">
        <v>44628</v>
      </c>
      <c r="B1529">
        <v>3505.29</v>
      </c>
    </row>
    <row r="1530" spans="1:2">
      <c r="A1530" s="10">
        <v>44629</v>
      </c>
      <c r="B1530">
        <v>3766.02</v>
      </c>
    </row>
    <row r="1531" spans="1:2">
      <c r="A1531" s="10">
        <v>44630</v>
      </c>
      <c r="B1531">
        <v>3651.39</v>
      </c>
    </row>
    <row r="1532" spans="1:2">
      <c r="A1532" s="10">
        <v>44631</v>
      </c>
      <c r="B1532">
        <v>3686.78</v>
      </c>
    </row>
    <row r="1533" spans="1:2">
      <c r="A1533" s="10">
        <v>44634</v>
      </c>
      <c r="B1533">
        <v>3741.1</v>
      </c>
    </row>
    <row r="1534" spans="1:2">
      <c r="A1534" s="10">
        <v>44635</v>
      </c>
      <c r="B1534">
        <v>3738.11</v>
      </c>
    </row>
    <row r="1535" spans="1:2">
      <c r="A1535" s="10">
        <v>44636</v>
      </c>
      <c r="B1535">
        <v>3889.69</v>
      </c>
    </row>
    <row r="1536" spans="1:2">
      <c r="A1536" s="10">
        <v>44637</v>
      </c>
      <c r="B1536">
        <v>3885.32</v>
      </c>
    </row>
    <row r="1537" spans="1:2">
      <c r="A1537" s="10">
        <v>44638</v>
      </c>
      <c r="B1537">
        <v>3902.44</v>
      </c>
    </row>
    <row r="1538" spans="1:2">
      <c r="A1538" s="10">
        <v>44641</v>
      </c>
      <c r="B1538">
        <v>3881.8</v>
      </c>
    </row>
    <row r="1539" spans="1:2">
      <c r="A1539" s="10">
        <v>44642</v>
      </c>
      <c r="B1539">
        <v>3926.12</v>
      </c>
    </row>
    <row r="1540" spans="1:2">
      <c r="A1540" s="10">
        <v>44643</v>
      </c>
      <c r="B1540">
        <v>3869.22</v>
      </c>
    </row>
    <row r="1541" spans="1:2">
      <c r="A1541" s="10">
        <v>44644</v>
      </c>
      <c r="B1541">
        <v>3863.39</v>
      </c>
    </row>
    <row r="1542" spans="1:2">
      <c r="A1542" s="10">
        <v>44645</v>
      </c>
      <c r="B1542">
        <v>3867.73</v>
      </c>
    </row>
    <row r="1543" spans="1:2">
      <c r="A1543" s="10">
        <v>44648</v>
      </c>
      <c r="B1543">
        <v>3887.1</v>
      </c>
    </row>
    <row r="1544" spans="1:2">
      <c r="A1544" s="10">
        <v>44649</v>
      </c>
      <c r="B1544">
        <v>4002.18</v>
      </c>
    </row>
    <row r="1545" spans="1:2">
      <c r="A1545" s="10">
        <v>44650</v>
      </c>
      <c r="B1545">
        <v>3959.14</v>
      </c>
    </row>
    <row r="1546" spans="1:2">
      <c r="A1546" s="10">
        <v>44651</v>
      </c>
      <c r="B1546">
        <v>3902.52</v>
      </c>
    </row>
    <row r="1547" spans="1:2">
      <c r="A1547" s="10">
        <v>44652</v>
      </c>
      <c r="B1547">
        <v>3918.68</v>
      </c>
    </row>
    <row r="1548" spans="1:2">
      <c r="A1548" s="10">
        <v>44655</v>
      </c>
      <c r="B1548">
        <v>3951.12</v>
      </c>
    </row>
    <row r="1549" spans="1:2">
      <c r="A1549" s="10">
        <v>44656</v>
      </c>
      <c r="B1549">
        <v>3917.85</v>
      </c>
    </row>
    <row r="1550" spans="1:2">
      <c r="A1550" s="10">
        <v>44657</v>
      </c>
      <c r="B1550">
        <v>3824.69</v>
      </c>
    </row>
    <row r="1551" spans="1:2">
      <c r="A1551" s="10">
        <v>44658</v>
      </c>
      <c r="B1551">
        <v>3802.01</v>
      </c>
    </row>
    <row r="1552" spans="1:2">
      <c r="A1552" s="10">
        <v>44659</v>
      </c>
      <c r="B1552">
        <v>3858.37</v>
      </c>
    </row>
    <row r="1553" spans="1:2">
      <c r="A1553" s="10">
        <v>44662</v>
      </c>
      <c r="B1553">
        <v>3839.62</v>
      </c>
    </row>
    <row r="1554" spans="1:2">
      <c r="A1554" s="10">
        <v>44663</v>
      </c>
      <c r="B1554">
        <v>3831.47</v>
      </c>
    </row>
    <row r="1555" spans="1:2">
      <c r="A1555" s="10">
        <v>44664</v>
      </c>
      <c r="B1555">
        <v>3827.96</v>
      </c>
    </row>
    <row r="1556" spans="1:2">
      <c r="A1556" s="10">
        <v>44665</v>
      </c>
      <c r="B1556">
        <v>3848.68</v>
      </c>
    </row>
    <row r="1557" spans="1:2">
      <c r="A1557" s="10">
        <v>44670</v>
      </c>
      <c r="B1557">
        <v>3830.76</v>
      </c>
    </row>
    <row r="1558" spans="1:2">
      <c r="A1558" s="10">
        <v>44671</v>
      </c>
      <c r="B1558">
        <v>3896.81</v>
      </c>
    </row>
    <row r="1559" spans="1:2">
      <c r="A1559" s="10">
        <v>44672</v>
      </c>
      <c r="B1559">
        <v>3928.03</v>
      </c>
    </row>
    <row r="1560" spans="1:2">
      <c r="A1560" s="10">
        <v>44673</v>
      </c>
      <c r="B1560">
        <v>3840.01</v>
      </c>
    </row>
    <row r="1561" spans="1:2">
      <c r="A1561" s="10">
        <v>44676</v>
      </c>
      <c r="B1561">
        <v>3757.59</v>
      </c>
    </row>
    <row r="1562" spans="1:2">
      <c r="A1562" s="10">
        <v>44677</v>
      </c>
      <c r="B1562">
        <v>3721.36</v>
      </c>
    </row>
    <row r="1563" spans="1:2">
      <c r="A1563" s="10">
        <v>44678</v>
      </c>
      <c r="B1563">
        <v>3734.64</v>
      </c>
    </row>
    <row r="1564" spans="1:2">
      <c r="A1564" s="10">
        <v>44679</v>
      </c>
      <c r="B1564">
        <v>3777.02</v>
      </c>
    </row>
    <row r="1565" spans="1:2">
      <c r="A1565" s="10">
        <v>44680</v>
      </c>
      <c r="B1565">
        <v>3802.86</v>
      </c>
    </row>
    <row r="1566" spans="1:2">
      <c r="A1566" s="10">
        <v>44683</v>
      </c>
      <c r="B1566">
        <v>3732.44</v>
      </c>
    </row>
    <row r="1567" spans="1:2">
      <c r="A1567" s="10">
        <v>44684</v>
      </c>
      <c r="B1567">
        <v>3761.19</v>
      </c>
    </row>
    <row r="1568" spans="1:2">
      <c r="A1568" s="10">
        <v>44685</v>
      </c>
      <c r="B1568">
        <v>3724.99</v>
      </c>
    </row>
    <row r="1569" spans="1:2">
      <c r="A1569" s="10">
        <v>44686</v>
      </c>
      <c r="B1569">
        <v>3696.63</v>
      </c>
    </row>
    <row r="1570" spans="1:2">
      <c r="A1570" s="10">
        <v>44687</v>
      </c>
      <c r="B1570">
        <v>3629.17</v>
      </c>
    </row>
    <row r="1571" spans="1:2">
      <c r="A1571" s="10">
        <v>44690</v>
      </c>
      <c r="B1571">
        <v>3526.86</v>
      </c>
    </row>
    <row r="1572" spans="1:2">
      <c r="A1572" s="10">
        <v>44691</v>
      </c>
      <c r="B1572">
        <v>3554.8</v>
      </c>
    </row>
    <row r="1573" spans="1:2">
      <c r="A1573" s="10">
        <v>44692</v>
      </c>
      <c r="B1573">
        <v>3647.87</v>
      </c>
    </row>
    <row r="1574" spans="1:2">
      <c r="A1574" s="10">
        <v>44693</v>
      </c>
      <c r="B1574">
        <v>3613.43</v>
      </c>
    </row>
    <row r="1575" spans="1:2">
      <c r="A1575" s="10">
        <v>44694</v>
      </c>
      <c r="B1575">
        <v>3703.42</v>
      </c>
    </row>
    <row r="1576" spans="1:2">
      <c r="A1576" s="10">
        <v>44697</v>
      </c>
      <c r="B1576">
        <v>3685.34</v>
      </c>
    </row>
    <row r="1577" spans="1:2">
      <c r="A1577" s="10">
        <v>44698</v>
      </c>
      <c r="B1577">
        <v>3741.51</v>
      </c>
    </row>
    <row r="1578" spans="1:2">
      <c r="A1578" s="10">
        <v>44699</v>
      </c>
      <c r="B1578">
        <v>3690.74</v>
      </c>
    </row>
    <row r="1579" spans="1:2">
      <c r="A1579" s="10">
        <v>44700</v>
      </c>
      <c r="B1579">
        <v>3640.55</v>
      </c>
    </row>
    <row r="1580" spans="1:2">
      <c r="A1580" s="10">
        <v>44701</v>
      </c>
      <c r="B1580">
        <v>3657.03</v>
      </c>
    </row>
    <row r="1581" spans="1:2">
      <c r="A1581" s="10">
        <v>44704</v>
      </c>
      <c r="B1581">
        <v>3708.39</v>
      </c>
    </row>
    <row r="1582" spans="1:2">
      <c r="A1582" s="10">
        <v>44705</v>
      </c>
      <c r="B1582">
        <v>3647.56</v>
      </c>
    </row>
    <row r="1583" spans="1:2">
      <c r="A1583" s="10">
        <v>44706</v>
      </c>
      <c r="B1583">
        <v>3677.1</v>
      </c>
    </row>
    <row r="1584" spans="1:2">
      <c r="A1584" s="10">
        <v>44707</v>
      </c>
      <c r="B1584">
        <v>3740.31</v>
      </c>
    </row>
    <row r="1585" spans="1:2">
      <c r="A1585" s="10">
        <v>44708</v>
      </c>
      <c r="B1585">
        <v>3808.86</v>
      </c>
    </row>
    <row r="1586" spans="1:2">
      <c r="A1586" s="10">
        <v>44711</v>
      </c>
      <c r="B1586">
        <v>3841.62</v>
      </c>
    </row>
    <row r="1587" spans="1:2">
      <c r="A1587" s="10">
        <v>44712</v>
      </c>
      <c r="B1587">
        <v>3789.21</v>
      </c>
    </row>
    <row r="1588" spans="1:2">
      <c r="A1588" s="10">
        <v>44713</v>
      </c>
      <c r="B1588">
        <v>3759.54</v>
      </c>
    </row>
    <row r="1589" spans="1:2">
      <c r="A1589" s="10">
        <v>44714</v>
      </c>
      <c r="B1589">
        <v>3795.13</v>
      </c>
    </row>
    <row r="1590" spans="1:2">
      <c r="A1590" s="10">
        <v>44715</v>
      </c>
      <c r="B1590">
        <v>3783.66</v>
      </c>
    </row>
    <row r="1591" spans="1:2">
      <c r="A1591" s="10">
        <v>44718</v>
      </c>
      <c r="B1591">
        <v>3838.42</v>
      </c>
    </row>
    <row r="1592" spans="1:2">
      <c r="A1592" s="10">
        <v>44719</v>
      </c>
      <c r="B1592">
        <v>3806.74</v>
      </c>
    </row>
    <row r="1593" spans="1:2">
      <c r="A1593" s="10">
        <v>44720</v>
      </c>
      <c r="B1593">
        <v>3788.93</v>
      </c>
    </row>
    <row r="1594" spans="1:2">
      <c r="A1594" s="10">
        <v>44721</v>
      </c>
      <c r="B1594">
        <v>3724.45</v>
      </c>
    </row>
    <row r="1595" spans="1:2">
      <c r="A1595" s="10">
        <v>44722</v>
      </c>
      <c r="B1595">
        <v>3599.2</v>
      </c>
    </row>
    <row r="1596" spans="1:2">
      <c r="A1596" s="10">
        <v>44725</v>
      </c>
      <c r="B1596">
        <v>3502.5</v>
      </c>
    </row>
    <row r="1597" spans="1:2">
      <c r="A1597" s="10">
        <v>44726</v>
      </c>
      <c r="B1597">
        <v>3475.18</v>
      </c>
    </row>
    <row r="1598" spans="1:2">
      <c r="A1598" s="10">
        <v>44727</v>
      </c>
      <c r="B1598">
        <v>3532.32</v>
      </c>
    </row>
    <row r="1599" spans="1:2">
      <c r="A1599" s="10">
        <v>44728</v>
      </c>
      <c r="B1599">
        <v>3427.91</v>
      </c>
    </row>
    <row r="1600" spans="1:2">
      <c r="A1600" s="10">
        <v>44729</v>
      </c>
      <c r="B1600">
        <v>3438.46</v>
      </c>
    </row>
    <row r="1601" spans="1:2">
      <c r="A1601" s="10">
        <v>44732</v>
      </c>
      <c r="B1601">
        <v>3469.83</v>
      </c>
    </row>
    <row r="1602" spans="1:2">
      <c r="A1602" s="10">
        <v>44733</v>
      </c>
      <c r="B1602">
        <v>3494</v>
      </c>
    </row>
    <row r="1603" spans="1:2">
      <c r="A1603" s="10">
        <v>44734</v>
      </c>
      <c r="B1603">
        <v>3464.64</v>
      </c>
    </row>
    <row r="1604" spans="1:2">
      <c r="A1604" s="10">
        <v>44735</v>
      </c>
      <c r="B1604">
        <v>3436.29</v>
      </c>
    </row>
    <row r="1605" spans="1:2">
      <c r="A1605" s="10">
        <v>44736</v>
      </c>
      <c r="B1605">
        <v>3533.17</v>
      </c>
    </row>
    <row r="1606" spans="1:2">
      <c r="A1606" s="10">
        <v>44739</v>
      </c>
      <c r="B1606">
        <v>3538.88</v>
      </c>
    </row>
    <row r="1607" spans="1:2">
      <c r="A1607" s="10">
        <v>44740</v>
      </c>
      <c r="B1607">
        <v>3549.29</v>
      </c>
    </row>
    <row r="1608" spans="1:2">
      <c r="A1608" s="10">
        <v>44741</v>
      </c>
      <c r="B1608">
        <v>3514.32</v>
      </c>
    </row>
    <row r="1609" spans="1:2">
      <c r="A1609" s="10">
        <v>44742</v>
      </c>
      <c r="B1609">
        <v>3454.86</v>
      </c>
    </row>
    <row r="1610" spans="1:2">
      <c r="A1610" s="10">
        <v>44743</v>
      </c>
      <c r="B1610">
        <v>3448.31</v>
      </c>
    </row>
    <row r="1611" spans="1:2">
      <c r="A1611" s="10">
        <v>44746</v>
      </c>
      <c r="B1611">
        <v>3452.42</v>
      </c>
    </row>
    <row r="1612" spans="1:2">
      <c r="A1612" s="10">
        <v>44747</v>
      </c>
      <c r="B1612">
        <v>3359.83</v>
      </c>
    </row>
    <row r="1613" spans="1:2">
      <c r="A1613" s="10">
        <v>44748</v>
      </c>
      <c r="B1613">
        <v>3421.84</v>
      </c>
    </row>
    <row r="1614" spans="1:2">
      <c r="A1614" s="10">
        <v>44749</v>
      </c>
      <c r="B1614">
        <v>3488.5</v>
      </c>
    </row>
    <row r="1615" spans="1:2">
      <c r="A1615" s="10">
        <v>44750</v>
      </c>
      <c r="B1615">
        <v>3506.55</v>
      </c>
    </row>
    <row r="1616" spans="1:2">
      <c r="A1616" s="10">
        <v>44753</v>
      </c>
      <c r="B1616">
        <v>3471.69</v>
      </c>
    </row>
    <row r="1617" spans="1:2">
      <c r="A1617" s="10">
        <v>44754</v>
      </c>
      <c r="B1617">
        <v>3487.05</v>
      </c>
    </row>
    <row r="1618" spans="1:2">
      <c r="A1618" s="10">
        <v>44755</v>
      </c>
      <c r="B1618">
        <v>3453.97</v>
      </c>
    </row>
    <row r="1619" spans="1:2">
      <c r="A1619" s="10">
        <v>44756</v>
      </c>
      <c r="B1619">
        <v>3396.61</v>
      </c>
    </row>
    <row r="1620" spans="1:2">
      <c r="A1620" s="10">
        <v>44757</v>
      </c>
      <c r="B1620">
        <v>3477.2</v>
      </c>
    </row>
    <row r="1621" spans="1:2">
      <c r="A1621" s="10">
        <v>44760</v>
      </c>
      <c r="B1621">
        <v>3511.86</v>
      </c>
    </row>
    <row r="1622" spans="1:2">
      <c r="A1622" s="10">
        <v>44761</v>
      </c>
      <c r="B1622">
        <v>3587.44</v>
      </c>
    </row>
    <row r="1623" spans="1:2">
      <c r="A1623" s="10">
        <v>44762</v>
      </c>
      <c r="B1623">
        <v>3585.24</v>
      </c>
    </row>
    <row r="1624" spans="1:2">
      <c r="A1624" s="10">
        <v>44763</v>
      </c>
      <c r="B1624">
        <v>3596.51</v>
      </c>
    </row>
    <row r="1625" spans="1:2">
      <c r="A1625" s="10">
        <v>44764</v>
      </c>
      <c r="B1625">
        <v>3596.49</v>
      </c>
    </row>
    <row r="1626" spans="1:2">
      <c r="A1626" s="10">
        <v>44767</v>
      </c>
      <c r="B1626">
        <v>3604.16</v>
      </c>
    </row>
    <row r="1627" spans="1:2">
      <c r="A1627" s="10">
        <v>44768</v>
      </c>
      <c r="B1627">
        <v>3575.36</v>
      </c>
    </row>
    <row r="1628" spans="1:2">
      <c r="A1628" s="10">
        <v>44769</v>
      </c>
      <c r="B1628">
        <v>3607.78</v>
      </c>
    </row>
    <row r="1629" spans="1:2">
      <c r="A1629" s="10">
        <v>44770</v>
      </c>
      <c r="B1629">
        <v>3652.2</v>
      </c>
    </row>
    <row r="1630" spans="1:2">
      <c r="A1630" s="10">
        <v>44771</v>
      </c>
      <c r="B1630">
        <v>3708.1</v>
      </c>
    </row>
    <row r="1631" spans="1:2">
      <c r="A1631" s="10">
        <v>44774</v>
      </c>
      <c r="B1631">
        <v>3706.62</v>
      </c>
    </row>
    <row r="1632" spans="1:2">
      <c r="A1632" s="10">
        <v>44775</v>
      </c>
      <c r="B1632">
        <v>3684.63</v>
      </c>
    </row>
    <row r="1633" spans="1:2">
      <c r="A1633" s="10">
        <v>44776</v>
      </c>
      <c r="B1633">
        <v>3732.54</v>
      </c>
    </row>
    <row r="1634" spans="1:2">
      <c r="A1634" s="10">
        <v>44777</v>
      </c>
      <c r="B1634">
        <v>3754.6</v>
      </c>
    </row>
    <row r="1635" spans="1:2">
      <c r="A1635" s="10">
        <v>44778</v>
      </c>
      <c r="B1635">
        <v>3725.39</v>
      </c>
    </row>
    <row r="1636" spans="1:2">
      <c r="A1636" s="10">
        <v>44781</v>
      </c>
      <c r="B1636">
        <v>3757.22</v>
      </c>
    </row>
    <row r="1637" spans="1:2">
      <c r="A1637" s="10">
        <v>44782</v>
      </c>
      <c r="B1637">
        <v>3715.37</v>
      </c>
    </row>
    <row r="1638" spans="1:2">
      <c r="A1638" s="10">
        <v>44783</v>
      </c>
      <c r="B1638">
        <v>3749.35</v>
      </c>
    </row>
    <row r="1639" spans="1:2">
      <c r="A1639" s="10">
        <v>44784</v>
      </c>
      <c r="B1639">
        <v>3757.05</v>
      </c>
    </row>
    <row r="1640" spans="1:2">
      <c r="A1640" s="10">
        <v>44785</v>
      </c>
      <c r="B1640">
        <v>3776.81</v>
      </c>
    </row>
    <row r="1641" spans="1:2">
      <c r="A1641" s="10">
        <v>44788</v>
      </c>
      <c r="B1641">
        <v>3789.62</v>
      </c>
    </row>
    <row r="1642" spans="1:2">
      <c r="A1642" s="10">
        <v>44789</v>
      </c>
      <c r="B1642">
        <v>3805.22</v>
      </c>
    </row>
    <row r="1643" spans="1:2">
      <c r="A1643" s="10">
        <v>44790</v>
      </c>
      <c r="B1643">
        <v>3756.06</v>
      </c>
    </row>
    <row r="1644" spans="1:2">
      <c r="A1644" s="10">
        <v>44791</v>
      </c>
      <c r="B1644">
        <v>3777.38</v>
      </c>
    </row>
    <row r="1645" spans="1:2">
      <c r="A1645" s="10">
        <v>44792</v>
      </c>
      <c r="B1645">
        <v>3730.32</v>
      </c>
    </row>
    <row r="1646" spans="1:2">
      <c r="A1646" s="10">
        <v>44795</v>
      </c>
      <c r="B1646">
        <v>3658.22</v>
      </c>
    </row>
    <row r="1647" spans="1:2">
      <c r="A1647" s="10">
        <v>44796</v>
      </c>
      <c r="B1647">
        <v>3652.52</v>
      </c>
    </row>
    <row r="1648" spans="1:2">
      <c r="A1648" s="10">
        <v>44797</v>
      </c>
      <c r="B1648">
        <v>3667.46</v>
      </c>
    </row>
    <row r="1649" spans="1:2">
      <c r="A1649" s="10">
        <v>44798</v>
      </c>
      <c r="B1649">
        <v>3674.54</v>
      </c>
    </row>
    <row r="1650" spans="1:2">
      <c r="A1650" s="10">
        <v>44799</v>
      </c>
      <c r="B1650">
        <v>3603.68</v>
      </c>
    </row>
    <row r="1651" spans="1:2">
      <c r="A1651" s="10">
        <v>44802</v>
      </c>
      <c r="B1651">
        <v>3570.51</v>
      </c>
    </row>
    <row r="1652" spans="1:2">
      <c r="A1652" s="10">
        <v>44803</v>
      </c>
      <c r="B1652">
        <v>3561.92</v>
      </c>
    </row>
    <row r="1653" spans="1:2">
      <c r="A1653" s="10">
        <v>44804</v>
      </c>
      <c r="B1653">
        <v>3517.25</v>
      </c>
    </row>
    <row r="1654" spans="1:2">
      <c r="A1654" s="10">
        <v>44805</v>
      </c>
      <c r="B1654">
        <v>3456.7</v>
      </c>
    </row>
    <row r="1655" spans="1:2">
      <c r="A1655" s="10">
        <v>44806</v>
      </c>
      <c r="B1655">
        <v>3544.38</v>
      </c>
    </row>
    <row r="1656" spans="1:2">
      <c r="A1656" s="10">
        <v>44809</v>
      </c>
      <c r="B1656">
        <v>3490.01</v>
      </c>
    </row>
    <row r="1657" spans="1:2">
      <c r="A1657" s="10">
        <v>44810</v>
      </c>
      <c r="B1657">
        <v>3500.14</v>
      </c>
    </row>
    <row r="1658" spans="1:2">
      <c r="A1658" s="10">
        <v>44811</v>
      </c>
      <c r="B1658">
        <v>3502.09</v>
      </c>
    </row>
    <row r="1659" spans="1:2">
      <c r="A1659" s="10">
        <v>44812</v>
      </c>
      <c r="B1659">
        <v>3512.38</v>
      </c>
    </row>
    <row r="1660" spans="1:2">
      <c r="A1660" s="10">
        <v>44813</v>
      </c>
      <c r="B1660">
        <v>3570.04</v>
      </c>
    </row>
    <row r="1661" spans="1:2">
      <c r="A1661" s="10">
        <v>44816</v>
      </c>
      <c r="B1661">
        <v>3646.51</v>
      </c>
    </row>
    <row r="1662" spans="1:2">
      <c r="A1662" s="10">
        <v>44817</v>
      </c>
      <c r="B1662">
        <v>3586.18</v>
      </c>
    </row>
    <row r="1663" spans="1:2">
      <c r="A1663" s="10">
        <v>44818</v>
      </c>
      <c r="B1663">
        <v>3567.56</v>
      </c>
    </row>
    <row r="1664" spans="1:2">
      <c r="A1664" s="10">
        <v>44819</v>
      </c>
      <c r="B1664">
        <v>3541.79</v>
      </c>
    </row>
    <row r="1665" spans="1:2">
      <c r="A1665" s="10">
        <v>44820</v>
      </c>
      <c r="B1665">
        <v>3500.41</v>
      </c>
    </row>
    <row r="1666" spans="1:2">
      <c r="A1666" s="10">
        <v>44823</v>
      </c>
      <c r="B1666">
        <v>3499.49</v>
      </c>
    </row>
    <row r="1667" spans="1:2">
      <c r="A1667" s="10">
        <v>44824</v>
      </c>
      <c r="B1667">
        <v>3467.09</v>
      </c>
    </row>
    <row r="1668" spans="1:2">
      <c r="A1668" s="10">
        <v>44825</v>
      </c>
      <c r="B1668">
        <v>3491.87</v>
      </c>
    </row>
    <row r="1669" spans="1:2">
      <c r="A1669" s="10">
        <v>44826</v>
      </c>
      <c r="B1669">
        <v>3427.14</v>
      </c>
    </row>
    <row r="1670" spans="1:2">
      <c r="A1670" s="10">
        <v>44827</v>
      </c>
      <c r="B1670">
        <v>3348.6</v>
      </c>
    </row>
    <row r="1671" spans="1:2">
      <c r="A1671" s="10">
        <v>44830</v>
      </c>
      <c r="B1671">
        <v>3342.56</v>
      </c>
    </row>
    <row r="1672" spans="1:2">
      <c r="A1672" s="10">
        <v>44831</v>
      </c>
      <c r="B1672">
        <v>3328.65</v>
      </c>
    </row>
    <row r="1673" spans="1:2">
      <c r="A1673" s="10">
        <v>44832</v>
      </c>
      <c r="B1673">
        <v>3335.3</v>
      </c>
    </row>
    <row r="1674" spans="1:2">
      <c r="A1674" s="10">
        <v>44833</v>
      </c>
      <c r="B1674">
        <v>3279.04</v>
      </c>
    </row>
    <row r="1675" spans="1:2">
      <c r="A1675" s="10">
        <v>44834</v>
      </c>
      <c r="B1675">
        <v>3318.2</v>
      </c>
    </row>
    <row r="1676" spans="1:2">
      <c r="A1676" s="10">
        <v>44837</v>
      </c>
      <c r="B1676">
        <v>3342.17</v>
      </c>
    </row>
    <row r="1677" spans="1:2">
      <c r="A1677" s="10">
        <v>44838</v>
      </c>
      <c r="B1677">
        <v>3484.48</v>
      </c>
    </row>
    <row r="1678" spans="1:2">
      <c r="A1678" s="10">
        <v>44839</v>
      </c>
      <c r="B1678">
        <v>3447.72</v>
      </c>
    </row>
    <row r="1679" spans="1:2">
      <c r="A1679" s="10">
        <v>44840</v>
      </c>
      <c r="B1679">
        <v>3433.45</v>
      </c>
    </row>
    <row r="1680" spans="1:2">
      <c r="A1680" s="10">
        <v>44841</v>
      </c>
      <c r="B1680">
        <v>3375.46</v>
      </c>
    </row>
    <row r="1681" spans="1:2">
      <c r="A1681" s="10">
        <v>44844</v>
      </c>
      <c r="B1681">
        <v>3356.88</v>
      </c>
    </row>
    <row r="1682" spans="1:2">
      <c r="A1682" s="10">
        <v>44845</v>
      </c>
      <c r="B1682">
        <v>3340.35</v>
      </c>
    </row>
    <row r="1683" spans="1:2">
      <c r="A1683" s="10">
        <v>44846</v>
      </c>
      <c r="B1683">
        <v>3331.53</v>
      </c>
    </row>
    <row r="1684" spans="1:2">
      <c r="A1684" s="10">
        <v>44847</v>
      </c>
      <c r="B1684">
        <v>3362.4</v>
      </c>
    </row>
    <row r="1685" spans="1:2">
      <c r="A1685" s="10">
        <v>44848</v>
      </c>
      <c r="B1685">
        <v>3381.73</v>
      </c>
    </row>
    <row r="1686" spans="1:2">
      <c r="A1686" s="10">
        <v>44851</v>
      </c>
      <c r="B1686">
        <v>3441.64</v>
      </c>
    </row>
    <row r="1687" spans="1:2">
      <c r="A1687" s="10">
        <v>44852</v>
      </c>
      <c r="B1687">
        <v>3463.83</v>
      </c>
    </row>
    <row r="1688" spans="1:2">
      <c r="A1688" s="10">
        <v>44853</v>
      </c>
      <c r="B1688">
        <v>3471.24</v>
      </c>
    </row>
    <row r="1689" spans="1:2">
      <c r="A1689" s="10">
        <v>44854</v>
      </c>
      <c r="B1689">
        <v>3492.85</v>
      </c>
    </row>
    <row r="1690" spans="1:2">
      <c r="A1690" s="10">
        <v>44855</v>
      </c>
      <c r="B1690">
        <v>3476.63</v>
      </c>
    </row>
    <row r="1691" spans="1:2">
      <c r="A1691" s="10">
        <v>44858</v>
      </c>
      <c r="B1691">
        <v>3527.79</v>
      </c>
    </row>
    <row r="1692" spans="1:2">
      <c r="A1692" s="10">
        <v>44859</v>
      </c>
      <c r="B1692">
        <v>3585.58</v>
      </c>
    </row>
    <row r="1693" spans="1:2">
      <c r="A1693" s="10">
        <v>44860</v>
      </c>
      <c r="B1693">
        <v>3605.31</v>
      </c>
    </row>
    <row r="1694" spans="1:2">
      <c r="A1694" s="10">
        <v>44861</v>
      </c>
      <c r="B1694">
        <v>3604.51</v>
      </c>
    </row>
    <row r="1695" spans="1:2">
      <c r="A1695" s="10">
        <v>44862</v>
      </c>
      <c r="B1695">
        <v>3613.02</v>
      </c>
    </row>
    <row r="1696" spans="1:2">
      <c r="A1696" s="10">
        <v>44865</v>
      </c>
      <c r="B1696">
        <v>3617.54</v>
      </c>
    </row>
    <row r="1697" spans="1:2">
      <c r="A1697" s="10">
        <v>44866</v>
      </c>
      <c r="B1697">
        <v>3651.02</v>
      </c>
    </row>
    <row r="1698" spans="1:2">
      <c r="A1698" s="10">
        <v>44867</v>
      </c>
      <c r="B1698">
        <v>3622.01</v>
      </c>
    </row>
    <row r="1699" spans="1:2">
      <c r="A1699" s="10">
        <v>44868</v>
      </c>
      <c r="B1699">
        <v>3593.18</v>
      </c>
    </row>
    <row r="1700" spans="1:2">
      <c r="A1700" s="10">
        <v>44869</v>
      </c>
      <c r="B1700">
        <v>3688.33</v>
      </c>
    </row>
    <row r="1701" spans="1:2">
      <c r="A1701" s="10">
        <v>44872</v>
      </c>
      <c r="B1701">
        <v>3708.8</v>
      </c>
    </row>
    <row r="1702" spans="1:2">
      <c r="A1702" s="10">
        <v>44873</v>
      </c>
      <c r="B1702">
        <v>3739.28</v>
      </c>
    </row>
    <row r="1703" spans="1:2">
      <c r="A1703" s="10">
        <v>44874</v>
      </c>
      <c r="B1703">
        <v>3728.03</v>
      </c>
    </row>
    <row r="1704" spans="1:2">
      <c r="A1704" s="10">
        <v>44875</v>
      </c>
      <c r="B1704">
        <v>3846.56</v>
      </c>
    </row>
    <row r="1705" spans="1:2">
      <c r="A1705" s="10">
        <v>44876</v>
      </c>
      <c r="B1705">
        <v>3868.5</v>
      </c>
    </row>
    <row r="1706" spans="1:2">
      <c r="A1706" s="10">
        <v>44879</v>
      </c>
      <c r="B1706">
        <v>3887.51</v>
      </c>
    </row>
    <row r="1707" spans="1:2">
      <c r="A1707" s="10">
        <v>44880</v>
      </c>
      <c r="B1707">
        <v>3915.09</v>
      </c>
    </row>
    <row r="1708" spans="1:2">
      <c r="A1708" s="10">
        <v>44881</v>
      </c>
      <c r="B1708">
        <v>3882.78</v>
      </c>
    </row>
    <row r="1709" spans="1:2">
      <c r="A1709" s="10">
        <v>44882</v>
      </c>
      <c r="B1709">
        <v>3878.42</v>
      </c>
    </row>
    <row r="1710" spans="1:2">
      <c r="A1710" s="10">
        <v>44883</v>
      </c>
      <c r="B1710">
        <v>3924.84</v>
      </c>
    </row>
    <row r="1711" spans="1:2">
      <c r="A1711" s="10">
        <v>44886</v>
      </c>
      <c r="B1711">
        <v>3909.28</v>
      </c>
    </row>
    <row r="1712" spans="1:2">
      <c r="A1712" s="10">
        <v>44887</v>
      </c>
      <c r="B1712">
        <v>3929.9</v>
      </c>
    </row>
    <row r="1713" spans="1:2">
      <c r="A1713" s="10">
        <v>44888</v>
      </c>
      <c r="B1713">
        <v>3946.44</v>
      </c>
    </row>
    <row r="1714" spans="1:2">
      <c r="A1714" s="10">
        <v>44889</v>
      </c>
      <c r="B1714">
        <v>3961.99</v>
      </c>
    </row>
    <row r="1715" spans="1:2">
      <c r="A1715" s="10">
        <v>44890</v>
      </c>
      <c r="B1715">
        <v>3962.41</v>
      </c>
    </row>
    <row r="1716" spans="1:2">
      <c r="A1716" s="10">
        <v>44893</v>
      </c>
      <c r="B1716">
        <v>3935.51</v>
      </c>
    </row>
    <row r="1717" spans="1:2">
      <c r="A1717" s="10">
        <v>44894</v>
      </c>
      <c r="B1717">
        <v>3934.44</v>
      </c>
    </row>
    <row r="1718" spans="1:2">
      <c r="A1718" s="10">
        <v>44895</v>
      </c>
      <c r="B1718">
        <v>3964.72</v>
      </c>
    </row>
    <row r="1719" spans="1:2">
      <c r="A1719" s="10">
        <v>44896</v>
      </c>
      <c r="B1719">
        <v>3984.5</v>
      </c>
    </row>
    <row r="1720" spans="1:2">
      <c r="A1720" s="10">
        <v>44897</v>
      </c>
      <c r="B1720">
        <v>3977.9</v>
      </c>
    </row>
    <row r="1721" spans="1:2">
      <c r="A1721" s="10">
        <v>44900</v>
      </c>
      <c r="B1721">
        <v>3956.53</v>
      </c>
    </row>
    <row r="1722" spans="1:2">
      <c r="A1722" s="10">
        <v>44901</v>
      </c>
      <c r="B1722">
        <v>3939.19</v>
      </c>
    </row>
    <row r="1723" spans="1:2">
      <c r="A1723" s="10">
        <v>44902</v>
      </c>
      <c r="B1723">
        <v>3920.9</v>
      </c>
    </row>
    <row r="1724" spans="1:2">
      <c r="A1724" s="10">
        <v>44903</v>
      </c>
      <c r="B1724">
        <v>3921.27</v>
      </c>
    </row>
    <row r="1725" spans="1:2">
      <c r="A1725" s="10">
        <v>44904</v>
      </c>
      <c r="B1725">
        <v>3942.62</v>
      </c>
    </row>
    <row r="1726" spans="1:2">
      <c r="A1726" s="10">
        <v>44907</v>
      </c>
      <c r="B1726">
        <v>3921.82</v>
      </c>
    </row>
    <row r="1727" spans="1:2">
      <c r="A1727" s="10">
        <v>44908</v>
      </c>
      <c r="B1727">
        <v>3986.83</v>
      </c>
    </row>
    <row r="1728" spans="1:2">
      <c r="A1728" s="10">
        <v>44909</v>
      </c>
      <c r="B1728">
        <v>3975.26</v>
      </c>
    </row>
    <row r="1729" spans="1:2">
      <c r="A1729" s="10">
        <v>44910</v>
      </c>
      <c r="B1729">
        <v>3835.7</v>
      </c>
    </row>
    <row r="1730" spans="1:2">
      <c r="A1730" s="10">
        <v>44911</v>
      </c>
      <c r="B1730">
        <v>3804.02</v>
      </c>
    </row>
    <row r="1731" spans="1:2">
      <c r="A1731" s="10">
        <v>44914</v>
      </c>
      <c r="B1731">
        <v>3811.24</v>
      </c>
    </row>
    <row r="1732" spans="1:2">
      <c r="A1732" s="10">
        <v>44915</v>
      </c>
      <c r="B1732">
        <v>3802.49</v>
      </c>
    </row>
    <row r="1733" spans="1:2">
      <c r="A1733" s="10">
        <v>44916</v>
      </c>
      <c r="B1733">
        <v>3872.15</v>
      </c>
    </row>
    <row r="1734" spans="1:2">
      <c r="A1734" s="10">
        <v>44917</v>
      </c>
      <c r="B1734">
        <v>3823.29</v>
      </c>
    </row>
    <row r="1735" spans="1:2">
      <c r="A1735" s="10">
        <v>44918</v>
      </c>
      <c r="B1735">
        <v>3817.01</v>
      </c>
    </row>
    <row r="1736" spans="1:2">
      <c r="A1736" s="10">
        <v>44922</v>
      </c>
      <c r="B1736">
        <v>3832.89</v>
      </c>
    </row>
    <row r="1737" spans="1:2">
      <c r="A1737" s="10">
        <v>44923</v>
      </c>
      <c r="B1737">
        <v>3808.82</v>
      </c>
    </row>
    <row r="1738" spans="1:2">
      <c r="A1738" s="10">
        <v>44924</v>
      </c>
      <c r="B1738">
        <v>3850.07</v>
      </c>
    </row>
    <row r="1739" spans="1:2">
      <c r="A1739" s="10">
        <v>44925</v>
      </c>
      <c r="B1739">
        <v>3793.62</v>
      </c>
    </row>
    <row r="1740" spans="1:2">
      <c r="A1740" s="10">
        <v>44928</v>
      </c>
      <c r="B1740">
        <v>3856.09</v>
      </c>
    </row>
    <row r="1741" spans="1:2">
      <c r="A1741" s="10">
        <v>44929</v>
      </c>
      <c r="B1741">
        <v>3882.29</v>
      </c>
    </row>
    <row r="1742" spans="1:2">
      <c r="A1742" s="10">
        <v>44930</v>
      </c>
      <c r="B1742">
        <v>3973.97</v>
      </c>
    </row>
    <row r="1743" spans="1:2">
      <c r="A1743" s="10">
        <v>44931</v>
      </c>
      <c r="B1743">
        <v>3959.48</v>
      </c>
    </row>
    <row r="1744" spans="1:2">
      <c r="A1744" s="10">
        <v>44932</v>
      </c>
      <c r="B1744">
        <v>4017.83</v>
      </c>
    </row>
    <row r="1745" spans="1:2">
      <c r="A1745" s="10">
        <v>44935</v>
      </c>
      <c r="B1745">
        <v>4068.62</v>
      </c>
    </row>
    <row r="1746" spans="1:2">
      <c r="A1746" s="10">
        <v>44936</v>
      </c>
      <c r="B1746">
        <v>4057.46</v>
      </c>
    </row>
    <row r="1747" spans="1:2">
      <c r="A1747" s="10">
        <v>44937</v>
      </c>
      <c r="B1747">
        <v>4099.76</v>
      </c>
    </row>
    <row r="1748" spans="1:2">
      <c r="A1748" s="10">
        <v>44938</v>
      </c>
      <c r="B1748">
        <v>4126.68</v>
      </c>
    </row>
    <row r="1749" spans="1:2">
      <c r="A1749" s="10">
        <v>44939</v>
      </c>
      <c r="B1749">
        <v>4150.8</v>
      </c>
    </row>
    <row r="1750" spans="1:2">
      <c r="A1750" s="10">
        <v>44942</v>
      </c>
      <c r="B1750">
        <v>4157</v>
      </c>
    </row>
    <row r="1751" spans="1:2">
      <c r="A1751" s="10">
        <v>44943</v>
      </c>
      <c r="B1751">
        <v>4174.33</v>
      </c>
    </row>
    <row r="1752" spans="1:2">
      <c r="A1752" s="10">
        <v>44944</v>
      </c>
      <c r="B1752">
        <v>4174.34</v>
      </c>
    </row>
    <row r="1753" spans="1:2">
      <c r="A1753" s="10">
        <v>44945</v>
      </c>
      <c r="B1753">
        <v>4094.28</v>
      </c>
    </row>
    <row r="1754" spans="1:2">
      <c r="A1754" s="10">
        <v>44946</v>
      </c>
      <c r="B1754">
        <v>4119.8999999999996</v>
      </c>
    </row>
    <row r="1755" spans="1:2">
      <c r="A1755" s="10">
        <v>44949</v>
      </c>
      <c r="B1755">
        <v>4150.82</v>
      </c>
    </row>
    <row r="1756" spans="1:2">
      <c r="A1756" s="10">
        <v>44950</v>
      </c>
      <c r="B1756">
        <v>4153.0200000000004</v>
      </c>
    </row>
    <row r="1757" spans="1:2">
      <c r="A1757" s="10">
        <v>44951</v>
      </c>
      <c r="B1757">
        <v>4148.1099999999997</v>
      </c>
    </row>
    <row r="1758" spans="1:2">
      <c r="A1758" s="10">
        <v>44952</v>
      </c>
      <c r="B1758">
        <v>4173.9799999999996</v>
      </c>
    </row>
    <row r="1759" spans="1:2">
      <c r="A1759" s="10">
        <v>44953</v>
      </c>
      <c r="B1759">
        <v>4178.01</v>
      </c>
    </row>
    <row r="1760" spans="1:2">
      <c r="A1760" s="10">
        <v>44956</v>
      </c>
      <c r="B1760">
        <v>4158.63</v>
      </c>
    </row>
    <row r="1761" spans="1:2">
      <c r="A1761" s="10">
        <v>44957</v>
      </c>
      <c r="B1761">
        <v>4163.45</v>
      </c>
    </row>
    <row r="1762" spans="1:2">
      <c r="A1762" s="10">
        <v>44958</v>
      </c>
      <c r="B1762">
        <v>4171.4399999999996</v>
      </c>
    </row>
    <row r="1763" spans="1:2">
      <c r="A1763" s="10">
        <v>44959</v>
      </c>
      <c r="B1763">
        <v>4241.12</v>
      </c>
    </row>
    <row r="1764" spans="1:2">
      <c r="A1764" s="10">
        <v>44960</v>
      </c>
      <c r="B1764">
        <v>4257.9799999999996</v>
      </c>
    </row>
    <row r="1765" spans="1:2">
      <c r="A1765" s="10">
        <v>44963</v>
      </c>
      <c r="B1765">
        <v>4205.45</v>
      </c>
    </row>
    <row r="1766" spans="1:2">
      <c r="A1766" s="10">
        <v>44964</v>
      </c>
      <c r="B1766">
        <v>4209.3100000000004</v>
      </c>
    </row>
    <row r="1767" spans="1:2">
      <c r="A1767" s="10">
        <v>44965</v>
      </c>
      <c r="B1767">
        <v>4209.1499999999996</v>
      </c>
    </row>
    <row r="1768" spans="1:2">
      <c r="A1768" s="10">
        <v>44966</v>
      </c>
      <c r="B1768">
        <v>4250.1400000000003</v>
      </c>
    </row>
    <row r="1769" spans="1:2">
      <c r="A1769" s="10">
        <v>44967</v>
      </c>
      <c r="B1769">
        <v>4197.9399999999996</v>
      </c>
    </row>
    <row r="1770" spans="1:2">
      <c r="A1770" s="10">
        <v>44970</v>
      </c>
      <c r="B1770">
        <v>4241.3599999999997</v>
      </c>
    </row>
    <row r="1771" spans="1:2">
      <c r="A1771" s="10">
        <v>44971</v>
      </c>
      <c r="B1771">
        <v>4238.76</v>
      </c>
    </row>
    <row r="1772" spans="1:2">
      <c r="A1772" s="10">
        <v>44972</v>
      </c>
      <c r="B1772">
        <v>4280.04</v>
      </c>
    </row>
    <row r="1773" spans="1:2">
      <c r="A1773" s="10">
        <v>44973</v>
      </c>
      <c r="B1773">
        <v>4297.24</v>
      </c>
    </row>
    <row r="1774" spans="1:2">
      <c r="A1774" s="10">
        <v>44974</v>
      </c>
      <c r="B1774">
        <v>4274.92</v>
      </c>
    </row>
    <row r="1775" spans="1:2">
      <c r="A1775" s="10">
        <v>44977</v>
      </c>
      <c r="B1775">
        <v>4271.18</v>
      </c>
    </row>
    <row r="1776" spans="1:2">
      <c r="A1776" s="10">
        <v>44978</v>
      </c>
      <c r="B1776">
        <v>4250.3999999999996</v>
      </c>
    </row>
    <row r="1777" spans="1:2">
      <c r="A1777" s="10">
        <v>44979</v>
      </c>
      <c r="B1777">
        <v>4242.88</v>
      </c>
    </row>
    <row r="1778" spans="1:2">
      <c r="A1778" s="10">
        <v>44980</v>
      </c>
      <c r="B1778">
        <v>4258.16</v>
      </c>
    </row>
    <row r="1779" spans="1:2">
      <c r="A1779" s="10">
        <v>44981</v>
      </c>
      <c r="B1779">
        <v>4178.82</v>
      </c>
    </row>
    <row r="1780" spans="1:2">
      <c r="A1780" s="10">
        <v>44984</v>
      </c>
      <c r="B1780">
        <v>4248.01</v>
      </c>
    </row>
    <row r="1781" spans="1:2">
      <c r="A1781" s="10">
        <v>44985</v>
      </c>
      <c r="B1781">
        <v>4238.38</v>
      </c>
    </row>
    <row r="1782" spans="1:2">
      <c r="A1782" s="10">
        <v>44986</v>
      </c>
      <c r="B1782">
        <v>4215.75</v>
      </c>
    </row>
    <row r="1783" spans="1:2">
      <c r="A1783" s="10">
        <v>44987</v>
      </c>
      <c r="B1783">
        <v>4240.59</v>
      </c>
    </row>
    <row r="1784" spans="1:2">
      <c r="A1784" s="10">
        <v>44988</v>
      </c>
      <c r="B1784">
        <v>4294.8</v>
      </c>
    </row>
    <row r="1785" spans="1:2">
      <c r="A1785" s="10">
        <v>44991</v>
      </c>
      <c r="B1785">
        <v>4313.78</v>
      </c>
    </row>
    <row r="1786" spans="1:2">
      <c r="A1786" s="10">
        <v>44992</v>
      </c>
      <c r="B1786">
        <v>4278.96</v>
      </c>
    </row>
    <row r="1787" spans="1:2">
      <c r="A1787" s="10">
        <v>44993</v>
      </c>
      <c r="B1787">
        <v>4288.45</v>
      </c>
    </row>
    <row r="1788" spans="1:2">
      <c r="A1788" s="10">
        <v>44994</v>
      </c>
      <c r="B1788">
        <v>4286.12</v>
      </c>
    </row>
    <row r="1789" spans="1:2">
      <c r="A1789" s="10">
        <v>44995</v>
      </c>
      <c r="B1789">
        <v>4229.53</v>
      </c>
    </row>
    <row r="1790" spans="1:2">
      <c r="A1790" s="10">
        <v>44998</v>
      </c>
      <c r="B1790">
        <v>4096.54</v>
      </c>
    </row>
    <row r="1791" spans="1:2">
      <c r="A1791" s="10">
        <v>44999</v>
      </c>
      <c r="B1791">
        <v>4179.47</v>
      </c>
    </row>
    <row r="1792" spans="1:2">
      <c r="A1792" s="10">
        <v>45000</v>
      </c>
      <c r="B1792">
        <v>4034.92</v>
      </c>
    </row>
    <row r="1793" spans="1:2">
      <c r="A1793" s="10">
        <v>45001</v>
      </c>
      <c r="B1793">
        <v>4116.9799999999996</v>
      </c>
    </row>
    <row r="1794" spans="1:2">
      <c r="A1794" s="10">
        <v>45002</v>
      </c>
      <c r="B1794">
        <v>4064.99</v>
      </c>
    </row>
    <row r="1795" spans="1:2">
      <c r="A1795" s="10">
        <v>45005</v>
      </c>
      <c r="B1795">
        <v>4119.42</v>
      </c>
    </row>
    <row r="1796" spans="1:2">
      <c r="A1796" s="10">
        <v>45006</v>
      </c>
      <c r="B1796">
        <v>4181.6000000000004</v>
      </c>
    </row>
    <row r="1797" spans="1:2">
      <c r="A1797" s="10">
        <v>45007</v>
      </c>
      <c r="B1797">
        <v>4195.7</v>
      </c>
    </row>
    <row r="1798" spans="1:2">
      <c r="A1798" s="10">
        <v>45008</v>
      </c>
      <c r="B1798">
        <v>4207.1400000000003</v>
      </c>
    </row>
    <row r="1799" spans="1:2">
      <c r="A1799" s="10">
        <v>45009</v>
      </c>
      <c r="B1799">
        <v>4130.62</v>
      </c>
    </row>
    <row r="1800" spans="1:2">
      <c r="A1800" s="10">
        <v>45012</v>
      </c>
      <c r="B1800">
        <v>4164.62</v>
      </c>
    </row>
    <row r="1801" spans="1:2">
      <c r="A1801" s="10">
        <v>45013</v>
      </c>
      <c r="B1801">
        <v>4168.21</v>
      </c>
    </row>
    <row r="1802" spans="1:2">
      <c r="A1802" s="10">
        <v>45014</v>
      </c>
      <c r="B1802">
        <v>4231.2700000000004</v>
      </c>
    </row>
    <row r="1803" spans="1:2">
      <c r="A1803" s="10">
        <v>45015</v>
      </c>
      <c r="B1803">
        <v>4285.42</v>
      </c>
    </row>
    <row r="1804" spans="1:2">
      <c r="A1804" s="10">
        <v>45016</v>
      </c>
      <c r="B1804">
        <v>4315.05</v>
      </c>
    </row>
    <row r="1805" spans="1:2">
      <c r="A1805" s="10">
        <v>45019</v>
      </c>
      <c r="B1805">
        <v>4311.05</v>
      </c>
    </row>
    <row r="1806" spans="1:2">
      <c r="A1806" s="10">
        <v>45020</v>
      </c>
      <c r="B1806">
        <v>4315.32</v>
      </c>
    </row>
    <row r="1807" spans="1:2">
      <c r="A1807" s="10">
        <v>45021</v>
      </c>
      <c r="B1807">
        <v>4298.3599999999997</v>
      </c>
    </row>
    <row r="1808" spans="1:2">
      <c r="A1808" s="10">
        <v>45022</v>
      </c>
      <c r="B1808">
        <v>4309.45</v>
      </c>
    </row>
    <row r="1809" spans="1:2">
      <c r="A1809" s="10">
        <v>45027</v>
      </c>
      <c r="B1809">
        <v>4333.29</v>
      </c>
    </row>
    <row r="1810" spans="1:2">
      <c r="A1810" s="10">
        <v>45028</v>
      </c>
      <c r="B1810">
        <v>4334.03</v>
      </c>
    </row>
    <row r="1811" spans="1:2">
      <c r="A1811" s="10">
        <v>45029</v>
      </c>
      <c r="B1811">
        <v>4363.24</v>
      </c>
    </row>
    <row r="1812" spans="1:2">
      <c r="A1812" s="10">
        <v>45030</v>
      </c>
      <c r="B1812">
        <v>4390.75</v>
      </c>
    </row>
    <row r="1813" spans="1:2">
      <c r="A1813" s="10">
        <v>45033</v>
      </c>
      <c r="B1813">
        <v>4367.6099999999997</v>
      </c>
    </row>
    <row r="1814" spans="1:2">
      <c r="A1814" s="10">
        <v>45034</v>
      </c>
      <c r="B1814">
        <v>4393.95</v>
      </c>
    </row>
    <row r="1815" spans="1:2">
      <c r="A1815" s="10">
        <v>45035</v>
      </c>
      <c r="B1815">
        <v>4393.57</v>
      </c>
    </row>
    <row r="1816" spans="1:2">
      <c r="A1816" s="10">
        <v>45036</v>
      </c>
      <c r="B1816">
        <v>4384.8599999999997</v>
      </c>
    </row>
    <row r="1817" spans="1:2">
      <c r="A1817" s="10">
        <v>45037</v>
      </c>
      <c r="B1817">
        <v>4408.59</v>
      </c>
    </row>
    <row r="1818" spans="1:2">
      <c r="A1818" s="10">
        <v>45040</v>
      </c>
      <c r="B1818">
        <v>4401.8</v>
      </c>
    </row>
    <row r="1819" spans="1:2">
      <c r="A1819" s="10">
        <v>45041</v>
      </c>
      <c r="B1819">
        <v>4377.8500000000004</v>
      </c>
    </row>
    <row r="1820" spans="1:2">
      <c r="A1820" s="10">
        <v>45042</v>
      </c>
      <c r="B1820">
        <v>4347.71</v>
      </c>
    </row>
    <row r="1821" spans="1:2">
      <c r="A1821" s="10">
        <v>45043</v>
      </c>
      <c r="B1821">
        <v>4358.05</v>
      </c>
    </row>
    <row r="1822" spans="1:2">
      <c r="A1822" s="10">
        <v>45044</v>
      </c>
      <c r="B1822">
        <v>4359.3100000000004</v>
      </c>
    </row>
    <row r="1823" spans="1:2">
      <c r="A1823" s="10">
        <v>45048</v>
      </c>
      <c r="B1823">
        <v>4294.8500000000004</v>
      </c>
    </row>
    <row r="1824" spans="1:2">
      <c r="A1824" s="10">
        <v>45049</v>
      </c>
      <c r="B1824">
        <v>4310.18</v>
      </c>
    </row>
    <row r="1825" spans="1:2">
      <c r="A1825" s="10">
        <v>45050</v>
      </c>
      <c r="B1825">
        <v>4287.03</v>
      </c>
    </row>
    <row r="1826" spans="1:2">
      <c r="A1826" s="10">
        <v>45051</v>
      </c>
      <c r="B1826">
        <v>4340.43</v>
      </c>
    </row>
    <row r="1827" spans="1:2">
      <c r="A1827" s="10">
        <v>45054</v>
      </c>
      <c r="B1827">
        <v>4348.6499999999996</v>
      </c>
    </row>
    <row r="1828" spans="1:2">
      <c r="A1828" s="10">
        <v>45055</v>
      </c>
      <c r="B1828">
        <v>4323.09</v>
      </c>
    </row>
    <row r="1829" spans="1:2">
      <c r="A1829" s="10">
        <v>45056</v>
      </c>
      <c r="B1829">
        <v>4306.76</v>
      </c>
    </row>
    <row r="1830" spans="1:2">
      <c r="A1830" s="10">
        <v>45057</v>
      </c>
      <c r="B1830">
        <v>4309.75</v>
      </c>
    </row>
    <row r="1831" spans="1:2">
      <c r="A1831" s="10">
        <v>45058</v>
      </c>
      <c r="B1831">
        <v>4317.88</v>
      </c>
    </row>
    <row r="1832" spans="1:2">
      <c r="A1832" s="10">
        <v>45061</v>
      </c>
      <c r="B1832">
        <v>4316.41</v>
      </c>
    </row>
    <row r="1833" spans="1:2">
      <c r="A1833" s="10">
        <v>45062</v>
      </c>
      <c r="B1833">
        <v>4315.51</v>
      </c>
    </row>
    <row r="1834" spans="1:2">
      <c r="A1834" s="10">
        <v>45063</v>
      </c>
      <c r="B1834">
        <v>4323.2299999999996</v>
      </c>
    </row>
    <row r="1835" spans="1:2">
      <c r="A1835" s="10">
        <v>45064</v>
      </c>
      <c r="B1835">
        <v>4367.45</v>
      </c>
    </row>
    <row r="1836" spans="1:2">
      <c r="A1836" s="10">
        <v>45065</v>
      </c>
      <c r="B1836">
        <v>4395.3</v>
      </c>
    </row>
    <row r="1837" spans="1:2">
      <c r="A1837" s="10">
        <v>45068</v>
      </c>
      <c r="B1837">
        <v>4385.63</v>
      </c>
    </row>
    <row r="1838" spans="1:2">
      <c r="A1838" s="10">
        <v>45069</v>
      </c>
      <c r="B1838">
        <v>4342.38</v>
      </c>
    </row>
    <row r="1839" spans="1:2">
      <c r="A1839" s="10">
        <v>45070</v>
      </c>
      <c r="B1839">
        <v>4263.74</v>
      </c>
    </row>
    <row r="1840" spans="1:2">
      <c r="A1840" s="10">
        <v>45071</v>
      </c>
      <c r="B1840">
        <v>4269.6400000000003</v>
      </c>
    </row>
    <row r="1841" spans="1:2">
      <c r="A1841" s="10">
        <v>45072</v>
      </c>
      <c r="B1841">
        <v>4337.5</v>
      </c>
    </row>
    <row r="1842" spans="1:2">
      <c r="A1842" s="10">
        <v>45075</v>
      </c>
      <c r="B1842">
        <v>4320.01</v>
      </c>
    </row>
    <row r="1843" spans="1:2">
      <c r="A1843" s="10">
        <v>45076</v>
      </c>
      <c r="B1843">
        <v>4291.58</v>
      </c>
    </row>
    <row r="1844" spans="1:2">
      <c r="A1844" s="10">
        <v>45077</v>
      </c>
      <c r="B1844">
        <v>4218.04</v>
      </c>
    </row>
    <row r="1845" spans="1:2">
      <c r="A1845" s="10">
        <v>45078</v>
      </c>
      <c r="B1845">
        <v>4257.6099999999997</v>
      </c>
    </row>
    <row r="1846" spans="1:2">
      <c r="A1846" s="10">
        <v>45079</v>
      </c>
      <c r="B1846">
        <v>4323.5200000000004</v>
      </c>
    </row>
    <row r="1847" spans="1:2">
      <c r="A1847" s="10">
        <v>45082</v>
      </c>
      <c r="B1847">
        <v>4293.24</v>
      </c>
    </row>
    <row r="1848" spans="1:2">
      <c r="A1848" s="10">
        <v>45083</v>
      </c>
      <c r="B1848">
        <v>4295.22</v>
      </c>
    </row>
    <row r="1849" spans="1:2">
      <c r="A1849" s="10">
        <v>45084</v>
      </c>
      <c r="B1849">
        <v>4291.91</v>
      </c>
    </row>
    <row r="1850" spans="1:2">
      <c r="A1850" s="10">
        <v>45085</v>
      </c>
      <c r="B1850">
        <v>4297.68</v>
      </c>
    </row>
    <row r="1851" spans="1:2">
      <c r="A1851" s="10">
        <v>45086</v>
      </c>
      <c r="B1851">
        <v>4289.79</v>
      </c>
    </row>
    <row r="1852" spans="1:2">
      <c r="A1852" s="10">
        <v>45089</v>
      </c>
      <c r="B1852">
        <v>4316.49</v>
      </c>
    </row>
    <row r="1853" spans="1:2">
      <c r="A1853" s="10">
        <v>45090</v>
      </c>
      <c r="B1853">
        <v>4347.55</v>
      </c>
    </row>
    <row r="1854" spans="1:2">
      <c r="A1854" s="10">
        <v>45091</v>
      </c>
      <c r="B1854">
        <v>4375.9799999999996</v>
      </c>
    </row>
    <row r="1855" spans="1:2">
      <c r="A1855" s="10">
        <v>45092</v>
      </c>
      <c r="B1855">
        <v>4365.12</v>
      </c>
    </row>
    <row r="1856" spans="1:2">
      <c r="A1856" s="10">
        <v>45093</v>
      </c>
      <c r="B1856">
        <v>4394.82</v>
      </c>
    </row>
    <row r="1857" spans="1:2">
      <c r="A1857" s="10">
        <v>45096</v>
      </c>
      <c r="B1857">
        <v>4362.38</v>
      </c>
    </row>
    <row r="1858" spans="1:2">
      <c r="A1858" s="10">
        <v>45097</v>
      </c>
      <c r="B1858">
        <v>4343.1400000000003</v>
      </c>
    </row>
    <row r="1859" spans="1:2">
      <c r="A1859" s="10">
        <v>45098</v>
      </c>
      <c r="B1859">
        <v>4322.75</v>
      </c>
    </row>
    <row r="1860" spans="1:2">
      <c r="A1860" s="10">
        <v>45099</v>
      </c>
      <c r="B1860">
        <v>4304.47</v>
      </c>
    </row>
    <row r="1861" spans="1:2">
      <c r="A1861" s="10">
        <v>45100</v>
      </c>
      <c r="B1861">
        <v>4271.6099999999997</v>
      </c>
    </row>
    <row r="1862" spans="1:2">
      <c r="A1862" s="10">
        <v>45103</v>
      </c>
      <c r="B1862">
        <v>4280.57</v>
      </c>
    </row>
    <row r="1863" spans="1:2">
      <c r="A1863" s="10">
        <v>45104</v>
      </c>
      <c r="B1863">
        <v>4305.26</v>
      </c>
    </row>
    <row r="1864" spans="1:2">
      <c r="A1864" s="10">
        <v>45105</v>
      </c>
      <c r="B1864">
        <v>4344.75</v>
      </c>
    </row>
    <row r="1865" spans="1:2">
      <c r="A1865" s="10">
        <v>45106</v>
      </c>
      <c r="B1865">
        <v>4354.6899999999996</v>
      </c>
    </row>
    <row r="1866" spans="1:2">
      <c r="A1866" s="10">
        <v>45107</v>
      </c>
      <c r="B1866">
        <v>4399.09</v>
      </c>
    </row>
    <row r="1867" spans="1:2">
      <c r="A1867" s="10">
        <v>45110</v>
      </c>
      <c r="B1867">
        <v>4398.1499999999996</v>
      </c>
    </row>
    <row r="1868" spans="1:2">
      <c r="A1868" s="10">
        <v>45111</v>
      </c>
      <c r="B1868">
        <v>4390.99</v>
      </c>
    </row>
    <row r="1869" spans="1:2">
      <c r="A1869" s="10">
        <v>45112</v>
      </c>
      <c r="B1869">
        <v>4350.71</v>
      </c>
    </row>
    <row r="1870" spans="1:2">
      <c r="A1870" s="10">
        <v>45113</v>
      </c>
      <c r="B1870">
        <v>4223.09</v>
      </c>
    </row>
    <row r="1871" spans="1:2">
      <c r="A1871" s="10">
        <v>45114</v>
      </c>
      <c r="B1871">
        <v>4236.6000000000004</v>
      </c>
    </row>
    <row r="1872" spans="1:2">
      <c r="A1872" s="10">
        <v>45117</v>
      </c>
      <c r="B1872">
        <v>4256.51</v>
      </c>
    </row>
    <row r="1873" spans="1:2">
      <c r="A1873" s="10">
        <v>45118</v>
      </c>
      <c r="B1873">
        <v>4286.5600000000004</v>
      </c>
    </row>
    <row r="1874" spans="1:2">
      <c r="A1874" s="10">
        <v>45119</v>
      </c>
      <c r="B1874">
        <v>4360.46</v>
      </c>
    </row>
    <row r="1875" spans="1:2">
      <c r="A1875" s="10">
        <v>45120</v>
      </c>
      <c r="B1875">
        <v>4391.76</v>
      </c>
    </row>
    <row r="1876" spans="1:2">
      <c r="A1876" s="10">
        <v>45121</v>
      </c>
      <c r="B1876">
        <v>4400.1099999999997</v>
      </c>
    </row>
    <row r="1877" spans="1:2">
      <c r="A1877" s="10">
        <v>45124</v>
      </c>
      <c r="B1877">
        <v>4356.79</v>
      </c>
    </row>
    <row r="1878" spans="1:2">
      <c r="A1878" s="10">
        <v>45125</v>
      </c>
      <c r="B1878">
        <v>4369.7299999999996</v>
      </c>
    </row>
    <row r="1879" spans="1:2">
      <c r="A1879" s="10">
        <v>45126</v>
      </c>
      <c r="B1879">
        <v>4362.28</v>
      </c>
    </row>
    <row r="1880" spans="1:2">
      <c r="A1880" s="10">
        <v>45127</v>
      </c>
      <c r="B1880">
        <v>4373.7299999999996</v>
      </c>
    </row>
    <row r="1881" spans="1:2">
      <c r="A1881" s="10">
        <v>45128</v>
      </c>
      <c r="B1881">
        <v>4391.41</v>
      </c>
    </row>
    <row r="1882" spans="1:2">
      <c r="A1882" s="10">
        <v>45131</v>
      </c>
      <c r="B1882">
        <v>4383.03</v>
      </c>
    </row>
    <row r="1883" spans="1:2">
      <c r="A1883" s="10">
        <v>45132</v>
      </c>
      <c r="B1883">
        <v>4391.3</v>
      </c>
    </row>
    <row r="1884" spans="1:2">
      <c r="A1884" s="10">
        <v>45133</v>
      </c>
      <c r="B1884">
        <v>4346.1499999999996</v>
      </c>
    </row>
    <row r="1885" spans="1:2">
      <c r="A1885" s="10">
        <v>45134</v>
      </c>
      <c r="B1885">
        <v>4447.4399999999996</v>
      </c>
    </row>
    <row r="1886" spans="1:2">
      <c r="A1886" s="10">
        <v>45135</v>
      </c>
      <c r="B1886">
        <v>4466.5</v>
      </c>
    </row>
    <row r="1887" spans="1:2">
      <c r="A1887" s="10">
        <v>45138</v>
      </c>
      <c r="B1887">
        <v>4471.3100000000004</v>
      </c>
    </row>
    <row r="1888" spans="1:2">
      <c r="A1888" s="10">
        <v>45139</v>
      </c>
      <c r="B1888">
        <v>4407.54</v>
      </c>
    </row>
    <row r="1889" spans="1:2">
      <c r="A1889" s="10">
        <v>45140</v>
      </c>
      <c r="B1889">
        <v>4336.5</v>
      </c>
    </row>
    <row r="1890" spans="1:2">
      <c r="A1890" s="10">
        <v>45141</v>
      </c>
      <c r="B1890">
        <v>4304.63</v>
      </c>
    </row>
    <row r="1891" spans="1:2">
      <c r="A1891" s="10">
        <v>45142</v>
      </c>
      <c r="B1891">
        <v>4332.91</v>
      </c>
    </row>
    <row r="1892" spans="1:2">
      <c r="A1892" s="10">
        <v>45145</v>
      </c>
      <c r="B1892">
        <v>4337.5</v>
      </c>
    </row>
    <row r="1893" spans="1:2">
      <c r="A1893" s="10">
        <v>45146</v>
      </c>
      <c r="B1893">
        <v>4288.8500000000004</v>
      </c>
    </row>
    <row r="1894" spans="1:2">
      <c r="A1894" s="10">
        <v>45147</v>
      </c>
      <c r="B1894">
        <v>4317.33</v>
      </c>
    </row>
    <row r="1895" spans="1:2">
      <c r="A1895" s="10">
        <v>45148</v>
      </c>
      <c r="B1895">
        <v>4384.04</v>
      </c>
    </row>
    <row r="1896" spans="1:2">
      <c r="A1896" s="10">
        <v>45149</v>
      </c>
      <c r="B1896">
        <v>4321.33</v>
      </c>
    </row>
    <row r="1897" spans="1:2">
      <c r="A1897" s="10">
        <v>45152</v>
      </c>
      <c r="B1897">
        <v>4330.2299999999996</v>
      </c>
    </row>
    <row r="1898" spans="1:2">
      <c r="A1898" s="10">
        <v>45153</v>
      </c>
      <c r="B1898">
        <v>4288.57</v>
      </c>
    </row>
    <row r="1899" spans="1:2">
      <c r="A1899" s="10">
        <v>45154</v>
      </c>
      <c r="B1899">
        <v>4284.2700000000004</v>
      </c>
    </row>
    <row r="1900" spans="1:2">
      <c r="A1900" s="10">
        <v>45155</v>
      </c>
      <c r="B1900">
        <v>4227.83</v>
      </c>
    </row>
    <row r="1901" spans="1:2">
      <c r="A1901" s="10">
        <v>45156</v>
      </c>
      <c r="B1901">
        <v>4212.95</v>
      </c>
    </row>
    <row r="1902" spans="1:2">
      <c r="A1902" s="10">
        <v>45159</v>
      </c>
      <c r="B1902">
        <v>4224.87</v>
      </c>
    </row>
    <row r="1903" spans="1:2">
      <c r="A1903" s="10">
        <v>45160</v>
      </c>
      <c r="B1903">
        <v>4260.37</v>
      </c>
    </row>
    <row r="1904" spans="1:2">
      <c r="A1904" s="10">
        <v>45161</v>
      </c>
      <c r="B1904">
        <v>4266.67</v>
      </c>
    </row>
    <row r="1905" spans="1:2">
      <c r="A1905" s="10">
        <v>45162</v>
      </c>
      <c r="B1905">
        <v>4232.22</v>
      </c>
    </row>
    <row r="1906" spans="1:2">
      <c r="A1906" s="10">
        <v>45163</v>
      </c>
      <c r="B1906">
        <v>4236.25</v>
      </c>
    </row>
    <row r="1907" spans="1:2">
      <c r="A1907" s="10">
        <v>45166</v>
      </c>
      <c r="B1907">
        <v>4293.6899999999996</v>
      </c>
    </row>
    <row r="1908" spans="1:2">
      <c r="A1908" s="10">
        <v>45167</v>
      </c>
      <c r="B1908">
        <v>4326.47</v>
      </c>
    </row>
    <row r="1909" spans="1:2">
      <c r="A1909" s="10">
        <v>45168</v>
      </c>
      <c r="B1909">
        <v>4315.3100000000004</v>
      </c>
    </row>
    <row r="1910" spans="1:2">
      <c r="A1910" s="10">
        <v>45169</v>
      </c>
      <c r="B1910">
        <v>4297.1099999999997</v>
      </c>
    </row>
    <row r="1911" spans="1:2">
      <c r="A1911" s="10">
        <v>45170</v>
      </c>
      <c r="B1911">
        <v>4282.6400000000003</v>
      </c>
    </row>
    <row r="1912" spans="1:2">
      <c r="A1912" s="10">
        <v>45173</v>
      </c>
      <c r="B1912">
        <v>4279.87</v>
      </c>
    </row>
    <row r="1913" spans="1:2">
      <c r="A1913" s="10">
        <v>45174</v>
      </c>
      <c r="B1913">
        <v>4269.16</v>
      </c>
    </row>
    <row r="1914" spans="1:2">
      <c r="A1914" s="10">
        <v>45175</v>
      </c>
      <c r="B1914">
        <v>4238.26</v>
      </c>
    </row>
    <row r="1915" spans="1:2">
      <c r="A1915" s="10">
        <v>45176</v>
      </c>
      <c r="B1915">
        <v>4221.0200000000004</v>
      </c>
    </row>
    <row r="1916" spans="1:2">
      <c r="A1916" s="10">
        <v>45177</v>
      </c>
      <c r="B1916">
        <v>4237.1899999999996</v>
      </c>
    </row>
    <row r="1917" spans="1:2">
      <c r="A1917" s="10">
        <v>45180</v>
      </c>
      <c r="B1917">
        <v>4254.33</v>
      </c>
    </row>
    <row r="1918" spans="1:2">
      <c r="A1918" s="10">
        <v>45181</v>
      </c>
      <c r="B1918">
        <v>4242.2700000000004</v>
      </c>
    </row>
    <row r="1919" spans="1:2">
      <c r="A1919" s="10">
        <v>45182</v>
      </c>
      <c r="B1919">
        <v>4223.4799999999996</v>
      </c>
    </row>
    <row r="1920" spans="1:2">
      <c r="A1920" s="10">
        <v>45183</v>
      </c>
      <c r="B1920">
        <v>4279.75</v>
      </c>
    </row>
    <row r="1921" spans="1:2">
      <c r="A1921" s="10">
        <v>45184</v>
      </c>
      <c r="B1921">
        <v>4295.05</v>
      </c>
    </row>
    <row r="1922" spans="1:2">
      <c r="A1922" s="10">
        <v>45187</v>
      </c>
      <c r="B1922">
        <v>4245.88</v>
      </c>
    </row>
    <row r="1923" spans="1:2">
      <c r="A1923" s="10">
        <v>45188</v>
      </c>
      <c r="B1923">
        <v>4242.7</v>
      </c>
    </row>
    <row r="1924" spans="1:2">
      <c r="A1924" s="10">
        <v>45189</v>
      </c>
      <c r="B1924">
        <v>4275.9799999999996</v>
      </c>
    </row>
    <row r="1925" spans="1:2">
      <c r="A1925" s="10">
        <v>45190</v>
      </c>
      <c r="B1925">
        <v>4212.59</v>
      </c>
    </row>
    <row r="1926" spans="1:2">
      <c r="A1926" s="10">
        <v>45191</v>
      </c>
      <c r="B1926">
        <v>4207.16</v>
      </c>
    </row>
    <row r="1927" spans="1:2">
      <c r="A1927" s="10">
        <v>45194</v>
      </c>
      <c r="B1927">
        <v>4167.37</v>
      </c>
    </row>
    <row r="1928" spans="1:2">
      <c r="A1928" s="10">
        <v>45195</v>
      </c>
      <c r="B1928">
        <v>4129.18</v>
      </c>
    </row>
    <row r="1929" spans="1:2">
      <c r="A1929" s="10">
        <v>45196</v>
      </c>
      <c r="B1929">
        <v>4131.68</v>
      </c>
    </row>
    <row r="1930" spans="1:2">
      <c r="A1930" s="10">
        <v>45197</v>
      </c>
      <c r="B1930">
        <v>4161.5600000000004</v>
      </c>
    </row>
    <row r="1931" spans="1:2">
      <c r="A1931" s="10">
        <v>45198</v>
      </c>
      <c r="B1931">
        <v>4174.66</v>
      </c>
    </row>
    <row r="1932" spans="1:2">
      <c r="A1932" s="10">
        <v>45201</v>
      </c>
      <c r="B1932">
        <v>4137.63</v>
      </c>
    </row>
    <row r="1933" spans="1:2">
      <c r="A1933" s="10">
        <v>45202</v>
      </c>
      <c r="B1933">
        <v>4095.59</v>
      </c>
    </row>
    <row r="1934" spans="1:2">
      <c r="A1934" s="10">
        <v>45203</v>
      </c>
      <c r="B1934">
        <v>4099.8500000000004</v>
      </c>
    </row>
    <row r="1935" spans="1:2">
      <c r="A1935" s="10">
        <v>45204</v>
      </c>
      <c r="B1935">
        <v>4099.8100000000004</v>
      </c>
    </row>
    <row r="1936" spans="1:2">
      <c r="A1936" s="10">
        <v>45205</v>
      </c>
      <c r="B1936">
        <v>4144.43</v>
      </c>
    </row>
    <row r="1937" spans="1:2">
      <c r="A1937" s="10">
        <v>45208</v>
      </c>
      <c r="B1937">
        <v>4112.57</v>
      </c>
    </row>
    <row r="1938" spans="1:2">
      <c r="A1938" s="10">
        <v>45209</v>
      </c>
      <c r="B1938">
        <v>4205.2299999999996</v>
      </c>
    </row>
    <row r="1939" spans="1:2">
      <c r="A1939" s="10">
        <v>45210</v>
      </c>
      <c r="B1939">
        <v>4200.8</v>
      </c>
    </row>
    <row r="1940" spans="1:2">
      <c r="A1940" s="10">
        <v>45211</v>
      </c>
      <c r="B1940">
        <v>4198.2299999999996</v>
      </c>
    </row>
    <row r="1941" spans="1:2">
      <c r="A1941" s="10">
        <v>45212</v>
      </c>
      <c r="B1941">
        <v>4136.12</v>
      </c>
    </row>
    <row r="1942" spans="1:2">
      <c r="A1942" s="10">
        <v>45215</v>
      </c>
      <c r="B1942">
        <v>4149.8599999999997</v>
      </c>
    </row>
    <row r="1943" spans="1:2">
      <c r="A1943" s="10">
        <v>45216</v>
      </c>
      <c r="B1943">
        <v>4152.32</v>
      </c>
    </row>
    <row r="1944" spans="1:2">
      <c r="A1944" s="10">
        <v>45217</v>
      </c>
      <c r="B1944">
        <v>4105.8599999999997</v>
      </c>
    </row>
    <row r="1945" spans="1:2">
      <c r="A1945" s="10">
        <v>45218</v>
      </c>
      <c r="B1945">
        <v>4090.33</v>
      </c>
    </row>
    <row r="1946" spans="1:2">
      <c r="A1946" s="10">
        <v>45219</v>
      </c>
      <c r="B1946">
        <v>4024.68</v>
      </c>
    </row>
    <row r="1947" spans="1:2">
      <c r="A1947" s="10">
        <v>45222</v>
      </c>
      <c r="B1947">
        <v>4041.75</v>
      </c>
    </row>
    <row r="1948" spans="1:2">
      <c r="A1948" s="10">
        <v>45223</v>
      </c>
      <c r="B1948">
        <v>4065.37</v>
      </c>
    </row>
    <row r="1949" spans="1:2">
      <c r="A1949" s="10">
        <v>45224</v>
      </c>
      <c r="B1949">
        <v>4073.35</v>
      </c>
    </row>
    <row r="1950" spans="1:2">
      <c r="A1950" s="10">
        <v>45225</v>
      </c>
      <c r="B1950">
        <v>4049.4</v>
      </c>
    </row>
    <row r="1951" spans="1:2">
      <c r="A1951" s="10">
        <v>45226</v>
      </c>
      <c r="B1951">
        <v>4014.36</v>
      </c>
    </row>
    <row r="1952" spans="1:2">
      <c r="A1952" s="10">
        <v>45229</v>
      </c>
      <c r="B1952">
        <v>4028.32</v>
      </c>
    </row>
    <row r="1953" spans="1:2">
      <c r="A1953" s="10">
        <v>45230</v>
      </c>
      <c r="B1953">
        <v>4061.12</v>
      </c>
    </row>
    <row r="1954" spans="1:2">
      <c r="A1954" s="10">
        <v>45231</v>
      </c>
      <c r="B1954">
        <v>4091.71</v>
      </c>
    </row>
    <row r="1955" spans="1:2">
      <c r="A1955" s="10">
        <v>45232</v>
      </c>
      <c r="B1955">
        <v>4169.62</v>
      </c>
    </row>
    <row r="1956" spans="1:2">
      <c r="A1956" s="10">
        <v>45233</v>
      </c>
      <c r="B1956">
        <v>4174.67</v>
      </c>
    </row>
    <row r="1957" spans="1:2">
      <c r="A1957" s="10">
        <v>45236</v>
      </c>
      <c r="B1957">
        <v>4158.6400000000003</v>
      </c>
    </row>
    <row r="1958" spans="1:2">
      <c r="A1958" s="10">
        <v>45237</v>
      </c>
      <c r="B1958">
        <v>4153.37</v>
      </c>
    </row>
    <row r="1959" spans="1:2">
      <c r="A1959" s="10">
        <v>45238</v>
      </c>
      <c r="B1959">
        <v>4178.49</v>
      </c>
    </row>
    <row r="1960" spans="1:2">
      <c r="A1960" s="10">
        <v>45239</v>
      </c>
      <c r="B1960">
        <v>4229.2</v>
      </c>
    </row>
    <row r="1961" spans="1:2">
      <c r="A1961" s="10">
        <v>45240</v>
      </c>
      <c r="B1961">
        <v>4197.3599999999997</v>
      </c>
    </row>
    <row r="1962" spans="1:2">
      <c r="A1962" s="10">
        <v>45243</v>
      </c>
      <c r="B1962">
        <v>4232.1899999999996</v>
      </c>
    </row>
    <row r="1963" spans="1:2">
      <c r="A1963" s="10">
        <v>45244</v>
      </c>
      <c r="B1963">
        <v>4291.72</v>
      </c>
    </row>
    <row r="1964" spans="1:2">
      <c r="A1964" s="10">
        <v>45245</v>
      </c>
      <c r="B1964">
        <v>4315.53</v>
      </c>
    </row>
    <row r="1965" spans="1:2">
      <c r="A1965" s="10">
        <v>45246</v>
      </c>
      <c r="B1965">
        <v>4302.45</v>
      </c>
    </row>
    <row r="1966" spans="1:2">
      <c r="A1966" s="10">
        <v>45247</v>
      </c>
      <c r="B1966">
        <v>4340.7700000000004</v>
      </c>
    </row>
    <row r="1967" spans="1:2">
      <c r="A1967" s="10">
        <v>45250</v>
      </c>
      <c r="B1967">
        <v>4342.41</v>
      </c>
    </row>
    <row r="1968" spans="1:2">
      <c r="A1968" s="10">
        <v>45251</v>
      </c>
      <c r="B1968">
        <v>4331.8999999999996</v>
      </c>
    </row>
    <row r="1969" spans="1:2">
      <c r="A1969" s="10">
        <v>45252</v>
      </c>
      <c r="B1969">
        <v>4352.0200000000004</v>
      </c>
    </row>
    <row r="1970" spans="1:2">
      <c r="A1970" s="10">
        <v>45253</v>
      </c>
      <c r="B1970">
        <v>4361.32</v>
      </c>
    </row>
    <row r="1971" spans="1:2">
      <c r="A1971" s="10">
        <v>45254</v>
      </c>
      <c r="B1971">
        <v>4372.1000000000004</v>
      </c>
    </row>
    <row r="1972" spans="1:2">
      <c r="A1972" s="10">
        <v>45257</v>
      </c>
      <c r="B1972">
        <v>4354.41</v>
      </c>
    </row>
    <row r="1973" spans="1:2">
      <c r="A1973" s="10">
        <v>45258</v>
      </c>
      <c r="B1973">
        <v>4348.0200000000004</v>
      </c>
    </row>
    <row r="1974" spans="1:2">
      <c r="A1974" s="10">
        <v>45259</v>
      </c>
      <c r="B1974">
        <v>4370.53</v>
      </c>
    </row>
    <row r="1975" spans="1:2">
      <c r="A1975" s="10">
        <v>45260</v>
      </c>
      <c r="B1975">
        <v>4382.47</v>
      </c>
    </row>
    <row r="1976" spans="1:2">
      <c r="A1976" s="10">
        <v>45261</v>
      </c>
      <c r="B1976">
        <v>4418.51</v>
      </c>
    </row>
    <row r="1977" spans="1:2">
      <c r="A1977" s="10">
        <v>45264</v>
      </c>
      <c r="B1977">
        <v>4414.95</v>
      </c>
    </row>
    <row r="1978" spans="1:2">
      <c r="A1978" s="10">
        <v>45265</v>
      </c>
      <c r="B1978">
        <v>4452.7700000000004</v>
      </c>
    </row>
    <row r="1979" spans="1:2">
      <c r="A1979" s="10">
        <v>45266</v>
      </c>
      <c r="B1979">
        <v>4483.26</v>
      </c>
    </row>
    <row r="1980" spans="1:2">
      <c r="A1980" s="10">
        <v>45267</v>
      </c>
      <c r="B1980">
        <v>4473.7700000000004</v>
      </c>
    </row>
    <row r="1981" spans="1:2">
      <c r="A1981" s="10">
        <v>45268</v>
      </c>
      <c r="B1981">
        <v>4523.3100000000004</v>
      </c>
    </row>
    <row r="1982" spans="1:2">
      <c r="A1982" s="10">
        <v>45271</v>
      </c>
      <c r="B1982">
        <v>4540.1899999999996</v>
      </c>
    </row>
    <row r="1983" spans="1:2">
      <c r="A1983" s="10">
        <v>45272</v>
      </c>
      <c r="B1983">
        <v>4536.6099999999997</v>
      </c>
    </row>
    <row r="1984" spans="1:2">
      <c r="A1984" s="10">
        <v>45273</v>
      </c>
      <c r="B1984">
        <v>4530.1899999999996</v>
      </c>
    </row>
    <row r="1985" spans="1:2">
      <c r="A1985" s="10">
        <v>45274</v>
      </c>
      <c r="B1985">
        <v>4539.16</v>
      </c>
    </row>
    <row r="1986" spans="1:2">
      <c r="A1986" s="10">
        <v>45275</v>
      </c>
      <c r="B1986">
        <v>4549.4399999999996</v>
      </c>
    </row>
    <row r="1987" spans="1:2">
      <c r="A1987" s="10">
        <v>45278</v>
      </c>
      <c r="B1987">
        <v>4521.13</v>
      </c>
    </row>
    <row r="1988" spans="1:2">
      <c r="A1988" s="10">
        <v>45279</v>
      </c>
      <c r="B1988">
        <v>4535.3999999999996</v>
      </c>
    </row>
    <row r="1989" spans="1:2">
      <c r="A1989" s="10">
        <v>45280</v>
      </c>
      <c r="B1989">
        <v>4533.82</v>
      </c>
    </row>
    <row r="1990" spans="1:2">
      <c r="A1990" s="10">
        <v>45281</v>
      </c>
      <c r="B1990">
        <v>4524.8599999999997</v>
      </c>
    </row>
    <row r="1991" spans="1:2">
      <c r="A1991" s="10">
        <v>45282</v>
      </c>
      <c r="B1991">
        <v>4521.47</v>
      </c>
    </row>
    <row r="1992" spans="1:2">
      <c r="A1992" s="10">
        <v>45287</v>
      </c>
      <c r="B1992">
        <v>4528.38</v>
      </c>
    </row>
    <row r="1993" spans="1:2">
      <c r="A1993" s="10">
        <v>45288</v>
      </c>
      <c r="B1993">
        <v>4514.38</v>
      </c>
    </row>
    <row r="1994" spans="1:2">
      <c r="A1994" s="10">
        <v>45289</v>
      </c>
      <c r="B1994">
        <v>4521.6499999999996</v>
      </c>
    </row>
    <row r="1995" spans="1:2">
      <c r="A1995" s="10">
        <v>45293</v>
      </c>
      <c r="B1995">
        <v>4512.8100000000004</v>
      </c>
    </row>
    <row r="1996" spans="1:2">
      <c r="A1996" s="10">
        <v>45294</v>
      </c>
      <c r="B1996">
        <v>4448.13</v>
      </c>
    </row>
    <row r="1997" spans="1:2">
      <c r="A1997" s="10">
        <v>45295</v>
      </c>
      <c r="B1997">
        <v>4474.01</v>
      </c>
    </row>
    <row r="1998" spans="1:2">
      <c r="A1998" s="10">
        <v>45296</v>
      </c>
      <c r="B1998">
        <v>4463.51</v>
      </c>
    </row>
    <row r="1999" spans="1:2">
      <c r="A1999" s="10">
        <v>45299</v>
      </c>
      <c r="B1999">
        <v>4485.4799999999996</v>
      </c>
    </row>
    <row r="2000" spans="1:2">
      <c r="A2000" s="10">
        <v>45300</v>
      </c>
      <c r="B2000">
        <v>4467.17</v>
      </c>
    </row>
    <row r="2001" spans="1:2">
      <c r="A2001" s="10">
        <v>45301</v>
      </c>
      <c r="B2001">
        <v>4468.9799999999996</v>
      </c>
    </row>
    <row r="2002" spans="1:2">
      <c r="A2002" s="10">
        <v>45302</v>
      </c>
      <c r="B2002">
        <v>4442.28</v>
      </c>
    </row>
    <row r="2003" spans="1:2">
      <c r="A2003" s="10">
        <v>45303</v>
      </c>
      <c r="B2003">
        <v>4480.0200000000004</v>
      </c>
    </row>
    <row r="2004" spans="1:2">
      <c r="A2004" s="10">
        <v>45306</v>
      </c>
      <c r="B2004">
        <v>4454.68</v>
      </c>
    </row>
    <row r="2005" spans="1:2">
      <c r="A2005" s="10">
        <v>45307</v>
      </c>
      <c r="B2005">
        <v>4446.51</v>
      </c>
    </row>
    <row r="2006" spans="1:2">
      <c r="A2006" s="10">
        <v>45308</v>
      </c>
      <c r="B2006">
        <v>4403.08</v>
      </c>
    </row>
    <row r="2007" spans="1:2">
      <c r="A2007" s="10">
        <v>45309</v>
      </c>
      <c r="B2007">
        <v>4453.05</v>
      </c>
    </row>
    <row r="2008" spans="1:2">
      <c r="A2008" s="10">
        <v>45310</v>
      </c>
      <c r="B2008">
        <v>4448.83</v>
      </c>
    </row>
    <row r="2009" spans="1:2">
      <c r="A2009" s="10">
        <v>45313</v>
      </c>
      <c r="B2009">
        <v>4480.32</v>
      </c>
    </row>
    <row r="2010" spans="1:2">
      <c r="A2010" s="10">
        <v>45314</v>
      </c>
      <c r="B2010">
        <v>4465.91</v>
      </c>
    </row>
    <row r="2011" spans="1:2">
      <c r="A2011" s="10">
        <v>45315</v>
      </c>
      <c r="B2011">
        <v>4564.1099999999997</v>
      </c>
    </row>
    <row r="2012" spans="1:2">
      <c r="A2012" s="10">
        <v>45316</v>
      </c>
      <c r="B2012">
        <v>4582.26</v>
      </c>
    </row>
    <row r="2013" spans="1:2">
      <c r="A2013" s="10">
        <v>45317</v>
      </c>
      <c r="B2013">
        <v>4635.47</v>
      </c>
    </row>
    <row r="2014" spans="1:2">
      <c r="A2014" s="10">
        <v>45320</v>
      </c>
      <c r="B2014">
        <v>4639.3599999999997</v>
      </c>
    </row>
    <row r="2015" spans="1:2">
      <c r="A2015" s="10">
        <v>45321</v>
      </c>
      <c r="B2015">
        <v>4662.7</v>
      </c>
    </row>
    <row r="2016" spans="1:2">
      <c r="A2016" s="10">
        <v>45322</v>
      </c>
      <c r="B2016">
        <v>4648.3999999999996</v>
      </c>
    </row>
    <row r="2017" spans="1:2">
      <c r="A2017" s="10">
        <v>45323</v>
      </c>
      <c r="B2017">
        <v>4638.6000000000004</v>
      </c>
    </row>
    <row r="2018" spans="1:2">
      <c r="A2018" s="10">
        <v>45324</v>
      </c>
      <c r="B2018">
        <v>4654.55</v>
      </c>
    </row>
    <row r="2019" spans="1:2">
      <c r="A2019" s="10">
        <v>45327</v>
      </c>
      <c r="B2019">
        <v>4655.2700000000004</v>
      </c>
    </row>
    <row r="2020" spans="1:2">
      <c r="A2020" s="10">
        <v>45328</v>
      </c>
      <c r="B2020">
        <v>4690.87</v>
      </c>
    </row>
    <row r="2021" spans="1:2">
      <c r="A2021" s="10">
        <v>45329</v>
      </c>
      <c r="B2021">
        <v>4678.8500000000004</v>
      </c>
    </row>
    <row r="2022" spans="1:2">
      <c r="A2022" s="10">
        <v>45330</v>
      </c>
      <c r="B2022">
        <v>4710.78</v>
      </c>
    </row>
    <row r="2023" spans="1:2">
      <c r="A2023" s="10">
        <v>45331</v>
      </c>
      <c r="B2023">
        <v>4715.87</v>
      </c>
    </row>
    <row r="2024" spans="1:2">
      <c r="A2024" s="10">
        <v>45334</v>
      </c>
      <c r="B2024">
        <v>4746.3500000000004</v>
      </c>
    </row>
    <row r="2025" spans="1:2">
      <c r="A2025" s="10">
        <v>45335</v>
      </c>
      <c r="B2025">
        <v>4689.28</v>
      </c>
    </row>
    <row r="2026" spans="1:2">
      <c r="A2026" s="10">
        <v>45336</v>
      </c>
      <c r="B2026">
        <v>4709.22</v>
      </c>
    </row>
    <row r="2027" spans="1:2">
      <c r="A2027" s="10">
        <v>45337</v>
      </c>
      <c r="B2027">
        <v>4743.17</v>
      </c>
    </row>
    <row r="2028" spans="1:2">
      <c r="A2028" s="10">
        <v>45338</v>
      </c>
      <c r="B2028">
        <v>4765.6499999999996</v>
      </c>
    </row>
    <row r="2029" spans="1:2">
      <c r="A2029" s="10">
        <v>45341</v>
      </c>
      <c r="B2029">
        <v>4763.07</v>
      </c>
    </row>
    <row r="2030" spans="1:2">
      <c r="A2030" s="10">
        <v>45342</v>
      </c>
      <c r="B2030">
        <v>4760.28</v>
      </c>
    </row>
    <row r="2031" spans="1:2">
      <c r="A2031" s="10">
        <v>45343</v>
      </c>
      <c r="B2031">
        <v>4775.3100000000004</v>
      </c>
    </row>
    <row r="2032" spans="1:2">
      <c r="A2032" s="10">
        <v>45344</v>
      </c>
      <c r="B2032">
        <v>4855.3599999999997</v>
      </c>
    </row>
    <row r="2033" spans="1:2">
      <c r="A2033" s="10">
        <v>45345</v>
      </c>
      <c r="B2033">
        <v>4872.57</v>
      </c>
    </row>
    <row r="2034" spans="1:2">
      <c r="A2034" s="10">
        <v>45348</v>
      </c>
      <c r="B2034">
        <v>4864.29</v>
      </c>
    </row>
    <row r="2035" spans="1:2">
      <c r="A2035" s="10">
        <v>45349</v>
      </c>
      <c r="B2035">
        <v>4885.74</v>
      </c>
    </row>
    <row r="2036" spans="1:2">
      <c r="A2036" s="10">
        <v>45350</v>
      </c>
      <c r="B2036">
        <v>4883.7700000000004</v>
      </c>
    </row>
    <row r="2037" spans="1:2">
      <c r="A2037" s="10">
        <v>45351</v>
      </c>
      <c r="B2037">
        <v>4877.7700000000004</v>
      </c>
    </row>
    <row r="2038" spans="1:2">
      <c r="A2038" s="10">
        <v>45352</v>
      </c>
      <c r="B2038">
        <v>4894.8599999999997</v>
      </c>
    </row>
    <row r="2039" spans="1:2">
      <c r="A2039" s="10">
        <v>45355</v>
      </c>
      <c r="B2039">
        <v>4912.92</v>
      </c>
    </row>
    <row r="2040" spans="1:2">
      <c r="A2040" s="10">
        <v>45356</v>
      </c>
      <c r="B2040">
        <v>4893.07</v>
      </c>
    </row>
    <row r="2041" spans="1:2">
      <c r="A2041" s="10">
        <v>45357</v>
      </c>
      <c r="B2041">
        <v>4915.49</v>
      </c>
    </row>
    <row r="2042" spans="1:2">
      <c r="A2042" s="10">
        <v>45358</v>
      </c>
      <c r="B2042">
        <v>4974.22</v>
      </c>
    </row>
    <row r="2043" spans="1:2">
      <c r="A2043" s="10">
        <v>45359</v>
      </c>
      <c r="B2043">
        <v>4961.1099999999997</v>
      </c>
    </row>
    <row r="2044" spans="1:2">
      <c r="A2044" s="10">
        <v>45362</v>
      </c>
      <c r="B2044">
        <v>4930.42</v>
      </c>
    </row>
    <row r="2045" spans="1:2">
      <c r="A2045" s="10">
        <v>45363</v>
      </c>
      <c r="B2045">
        <v>4983.2</v>
      </c>
    </row>
    <row r="2046" spans="1:2">
      <c r="A2046" s="10">
        <v>45364</v>
      </c>
      <c r="B2046">
        <v>5000.55</v>
      </c>
    </row>
    <row r="2047" spans="1:2">
      <c r="A2047" s="10">
        <v>45365</v>
      </c>
      <c r="B2047">
        <v>4993.12</v>
      </c>
    </row>
    <row r="2048" spans="1:2">
      <c r="A2048" s="10">
        <v>45366</v>
      </c>
      <c r="B2048">
        <v>4986.0200000000004</v>
      </c>
    </row>
    <row r="2049" spans="1:2">
      <c r="A2049" s="10">
        <v>45369</v>
      </c>
      <c r="B2049">
        <v>4982.76</v>
      </c>
    </row>
    <row r="2050" spans="1:2">
      <c r="A2050" s="10">
        <v>45370</v>
      </c>
      <c r="B2050">
        <v>5007.92</v>
      </c>
    </row>
    <row r="2051" spans="1:2">
      <c r="A2051" s="10">
        <v>45371</v>
      </c>
      <c r="B2051">
        <v>5000.3100000000004</v>
      </c>
    </row>
    <row r="2052" spans="1:2">
      <c r="A2052" s="10">
        <v>45372</v>
      </c>
      <c r="B2052">
        <v>5052.3100000000004</v>
      </c>
    </row>
    <row r="2053" spans="1:2">
      <c r="A2053" s="10">
        <v>45373</v>
      </c>
      <c r="B2053">
        <v>5031.1499999999996</v>
      </c>
    </row>
    <row r="2054" spans="1:2">
      <c r="A2054" s="10">
        <v>45376</v>
      </c>
      <c r="B2054">
        <v>5044.1899999999996</v>
      </c>
    </row>
    <row r="2055" spans="1:2">
      <c r="A2055" s="10">
        <v>45377</v>
      </c>
      <c r="B2055">
        <v>5064.18</v>
      </c>
    </row>
    <row r="2056" spans="1:2">
      <c r="A2056" s="10">
        <v>45378</v>
      </c>
      <c r="B2056">
        <v>5081.74</v>
      </c>
    </row>
    <row r="2057" spans="1:2">
      <c r="A2057" s="10">
        <v>45379</v>
      </c>
      <c r="B2057">
        <v>5083.42</v>
      </c>
    </row>
    <row r="2058" spans="1:2">
      <c r="A2058" s="10">
        <v>45384</v>
      </c>
      <c r="B2058">
        <v>5042</v>
      </c>
    </row>
    <row r="2059" spans="1:2">
      <c r="A2059" s="10">
        <v>45385</v>
      </c>
      <c r="B2059">
        <v>5069.25</v>
      </c>
    </row>
    <row r="2060" spans="1:2">
      <c r="A2060" s="10">
        <v>45386</v>
      </c>
      <c r="B2060">
        <v>5070.76</v>
      </c>
    </row>
    <row r="2061" spans="1:2">
      <c r="A2061" s="10">
        <v>45387</v>
      </c>
      <c r="B2061">
        <v>5014.75</v>
      </c>
    </row>
    <row r="2062" spans="1:2">
      <c r="A2062" s="10">
        <v>45390</v>
      </c>
      <c r="B2062">
        <v>5046.05</v>
      </c>
    </row>
    <row r="2063" spans="1:2">
      <c r="A2063" s="10">
        <v>45391</v>
      </c>
      <c r="B2063">
        <v>4990.8999999999996</v>
      </c>
    </row>
    <row r="2064" spans="1:2">
      <c r="A2064" s="10">
        <v>45392</v>
      </c>
      <c r="B2064">
        <v>5000.83</v>
      </c>
    </row>
    <row r="2065" spans="1:2">
      <c r="A2065" s="10">
        <v>45393</v>
      </c>
      <c r="B2065">
        <v>4966.68</v>
      </c>
    </row>
    <row r="2066" spans="1:2">
      <c r="A2066" s="10">
        <v>45394</v>
      </c>
      <c r="B2066">
        <v>4955.01</v>
      </c>
    </row>
    <row r="2067" spans="1:2">
      <c r="A2067" s="10">
        <v>45397</v>
      </c>
      <c r="B2067">
        <v>4984.4799999999996</v>
      </c>
    </row>
    <row r="2068" spans="1:2">
      <c r="A2068" s="10">
        <v>45398</v>
      </c>
      <c r="B2068">
        <v>4916.99</v>
      </c>
    </row>
    <row r="2069" spans="1:2">
      <c r="A2069" s="10">
        <v>45399</v>
      </c>
      <c r="B2069">
        <v>4914.13</v>
      </c>
    </row>
    <row r="2070" spans="1:2">
      <c r="A2070" s="10">
        <v>45400</v>
      </c>
      <c r="B2070">
        <v>4936.57</v>
      </c>
    </row>
    <row r="2071" spans="1:2">
      <c r="A2071" s="10">
        <v>45401</v>
      </c>
      <c r="B2071">
        <v>4918.09</v>
      </c>
    </row>
    <row r="2072" spans="1:2">
      <c r="A2072" s="10">
        <v>45404</v>
      </c>
      <c r="B2072">
        <v>4936.8500000000004</v>
      </c>
    </row>
    <row r="2073" spans="1:2">
      <c r="A2073" s="10">
        <v>45405</v>
      </c>
      <c r="B2073">
        <v>5008.17</v>
      </c>
    </row>
    <row r="2074" spans="1:2">
      <c r="A2074" s="10">
        <v>45406</v>
      </c>
      <c r="B2074">
        <v>4989.88</v>
      </c>
    </row>
    <row r="2075" spans="1:2">
      <c r="A2075" s="10">
        <v>45407</v>
      </c>
      <c r="B2075">
        <v>4939.01</v>
      </c>
    </row>
    <row r="2076" spans="1:2">
      <c r="A2076" s="10">
        <v>45408</v>
      </c>
      <c r="B2076">
        <v>5006.8500000000004</v>
      </c>
    </row>
    <row r="2077" spans="1:2">
      <c r="A2077" s="10">
        <v>45411</v>
      </c>
      <c r="B2077">
        <v>4981.09</v>
      </c>
    </row>
    <row r="2078" spans="1:2">
      <c r="A2078" s="10">
        <v>45412</v>
      </c>
      <c r="B2078">
        <v>4921.22</v>
      </c>
    </row>
    <row r="2079" spans="1:2">
      <c r="A2079" s="10">
        <v>45414</v>
      </c>
      <c r="B2079">
        <v>4890.6099999999997</v>
      </c>
    </row>
    <row r="2080" spans="1:2">
      <c r="A2080" s="10">
        <v>45415</v>
      </c>
      <c r="B2080">
        <v>4921.4799999999996</v>
      </c>
    </row>
    <row r="2081" spans="1:2">
      <c r="A2081" s="10">
        <v>45418</v>
      </c>
      <c r="B2081">
        <v>4956.96</v>
      </c>
    </row>
    <row r="2082" spans="1:2">
      <c r="A2082" s="10">
        <v>45419</v>
      </c>
      <c r="B2082">
        <v>5016.1000000000004</v>
      </c>
    </row>
    <row r="2083" spans="1:2">
      <c r="A2083" s="10">
        <v>45420</v>
      </c>
      <c r="B2083">
        <v>5038.17</v>
      </c>
    </row>
    <row r="2084" spans="1:2">
      <c r="A2084" s="10">
        <v>45421</v>
      </c>
      <c r="B2084">
        <v>5054.41</v>
      </c>
    </row>
    <row r="2085" spans="1:2">
      <c r="A2085" s="10">
        <v>45422</v>
      </c>
      <c r="B2085">
        <v>5085.08</v>
      </c>
    </row>
    <row r="2086" spans="1:2">
      <c r="A2086" s="10">
        <v>45425</v>
      </c>
      <c r="B2086">
        <v>5078.96</v>
      </c>
    </row>
    <row r="2087" spans="1:2">
      <c r="A2087" s="10">
        <v>45426</v>
      </c>
      <c r="B2087">
        <v>5080.29</v>
      </c>
    </row>
    <row r="2088" spans="1:2">
      <c r="A2088" s="10">
        <v>45427</v>
      </c>
      <c r="B2088">
        <v>5100.8999999999996</v>
      </c>
    </row>
    <row r="2089" spans="1:2">
      <c r="A2089" s="10">
        <v>45428</v>
      </c>
      <c r="B2089">
        <v>5072.45</v>
      </c>
    </row>
    <row r="2090" spans="1:2">
      <c r="A2090" s="10">
        <v>45429</v>
      </c>
      <c r="B2090">
        <v>5064.1400000000003</v>
      </c>
    </row>
    <row r="2091" spans="1:2">
      <c r="A2091" s="10">
        <v>45432</v>
      </c>
      <c r="B2091">
        <v>5074.34</v>
      </c>
    </row>
    <row r="2092" spans="1:2">
      <c r="A2092" s="10">
        <v>45433</v>
      </c>
      <c r="B2092">
        <v>5046.99</v>
      </c>
    </row>
    <row r="2093" spans="1:2">
      <c r="A2093" s="10">
        <v>45434</v>
      </c>
      <c r="B2093">
        <v>5025.17</v>
      </c>
    </row>
    <row r="2094" spans="1:2">
      <c r="A2094" s="10">
        <v>45435</v>
      </c>
      <c r="B2094">
        <v>5037.6000000000004</v>
      </c>
    </row>
    <row r="2095" spans="1:2">
      <c r="A2095" s="10">
        <v>45436</v>
      </c>
      <c r="B2095">
        <v>5035.41</v>
      </c>
    </row>
    <row r="2096" spans="1:2">
      <c r="A2096" s="10">
        <v>45439</v>
      </c>
      <c r="B2096">
        <v>5059.2</v>
      </c>
    </row>
    <row r="2097" spans="1:2">
      <c r="A2097" s="10">
        <v>45440</v>
      </c>
      <c r="B2097">
        <v>5030.3500000000004</v>
      </c>
    </row>
    <row r="2098" spans="1:2">
      <c r="A2098" s="10">
        <v>45441</v>
      </c>
      <c r="B2098">
        <v>4963.2</v>
      </c>
    </row>
    <row r="2099" spans="1:2">
      <c r="A2099" s="10">
        <v>45442</v>
      </c>
      <c r="B2099">
        <v>4982.18</v>
      </c>
    </row>
    <row r="2100" spans="1:2">
      <c r="A2100" s="10">
        <v>45443</v>
      </c>
      <c r="B2100">
        <v>4983.67</v>
      </c>
    </row>
    <row r="2101" spans="1:2">
      <c r="A2101" s="10">
        <v>45446</v>
      </c>
      <c r="B2101">
        <v>5003.54</v>
      </c>
    </row>
    <row r="2102" spans="1:2">
      <c r="A2102" s="10">
        <v>45447</v>
      </c>
      <c r="B2102">
        <v>4953.37</v>
      </c>
    </row>
    <row r="2103" spans="1:2">
      <c r="A2103" s="10">
        <v>45448</v>
      </c>
      <c r="B2103">
        <v>5035.66</v>
      </c>
    </row>
    <row r="2104" spans="1:2">
      <c r="A2104" s="10">
        <v>45449</v>
      </c>
      <c r="B2104">
        <v>5069.09</v>
      </c>
    </row>
    <row r="2105" spans="1:2">
      <c r="A2105" s="10">
        <v>45450</v>
      </c>
      <c r="B2105">
        <v>5051.3100000000004</v>
      </c>
    </row>
    <row r="2106" spans="1:2">
      <c r="A2106" s="10">
        <v>45453</v>
      </c>
      <c r="B2106">
        <v>5016.4799999999996</v>
      </c>
    </row>
    <row r="2107" spans="1:2">
      <c r="A2107" s="10">
        <v>45454</v>
      </c>
      <c r="B2107">
        <v>4965.09</v>
      </c>
    </row>
    <row r="2108" spans="1:2">
      <c r="A2108" s="10">
        <v>45455</v>
      </c>
      <c r="B2108">
        <v>5034.43</v>
      </c>
    </row>
    <row r="2109" spans="1:2">
      <c r="A2109" s="10">
        <v>45456</v>
      </c>
      <c r="B2109">
        <v>4935.5</v>
      </c>
    </row>
    <row r="2110" spans="1:2">
      <c r="A2110" s="10">
        <v>45457</v>
      </c>
      <c r="B2110">
        <v>4839.1400000000003</v>
      </c>
    </row>
    <row r="2111" spans="1:2">
      <c r="A2111" s="10">
        <v>45460</v>
      </c>
      <c r="B2111">
        <v>4880.42</v>
      </c>
    </row>
    <row r="2112" spans="1:2">
      <c r="A2112" s="10">
        <v>45461</v>
      </c>
      <c r="B2112">
        <v>4915.47</v>
      </c>
    </row>
    <row r="2113" spans="1:2">
      <c r="A2113" s="10">
        <v>45462</v>
      </c>
      <c r="B2113">
        <v>4885.45</v>
      </c>
    </row>
    <row r="2114" spans="1:2">
      <c r="A2114" s="10">
        <v>45463</v>
      </c>
      <c r="B2114">
        <v>4947.7299999999996</v>
      </c>
    </row>
    <row r="2115" spans="1:2">
      <c r="A2115" s="10">
        <v>45464</v>
      </c>
      <c r="B2115">
        <v>4907.3</v>
      </c>
    </row>
    <row r="2116" spans="1:2">
      <c r="A2116" s="10">
        <v>45467</v>
      </c>
      <c r="B2116">
        <v>4950.9799999999996</v>
      </c>
    </row>
    <row r="2117" spans="1:2">
      <c r="A2117" s="10">
        <v>45468</v>
      </c>
      <c r="B2117">
        <v>4935.97</v>
      </c>
    </row>
    <row r="2118" spans="1:2">
      <c r="A2118" s="10">
        <v>45469</v>
      </c>
      <c r="B2118">
        <v>4915.9399999999996</v>
      </c>
    </row>
    <row r="2119" spans="1:2">
      <c r="A2119" s="10">
        <v>45470</v>
      </c>
      <c r="B2119">
        <v>4902.6000000000004</v>
      </c>
    </row>
    <row r="2120" spans="1:2">
      <c r="A2120" s="10">
        <v>45471</v>
      </c>
      <c r="B2120">
        <v>4894.0200000000004</v>
      </c>
    </row>
    <row r="2121" spans="1:2">
      <c r="A2121" s="10">
        <v>45474</v>
      </c>
      <c r="B2121">
        <v>4929.99</v>
      </c>
    </row>
    <row r="2122" spans="1:2">
      <c r="A2122" s="10">
        <v>45475</v>
      </c>
      <c r="B2122">
        <v>4906.33</v>
      </c>
    </row>
    <row r="2123" spans="1:2">
      <c r="A2123" s="10">
        <v>45476</v>
      </c>
      <c r="B2123">
        <v>4965.8</v>
      </c>
    </row>
    <row r="2124" spans="1:2">
      <c r="A2124" s="10">
        <v>45477</v>
      </c>
      <c r="B2124">
        <v>4987.4799999999996</v>
      </c>
    </row>
    <row r="2125" spans="1:2">
      <c r="A2125" s="10">
        <v>45478</v>
      </c>
      <c r="B2125">
        <v>4979.3900000000003</v>
      </c>
    </row>
    <row r="2126" spans="1:2">
      <c r="A2126" s="10">
        <v>45481</v>
      </c>
      <c r="B2126">
        <v>4969.83</v>
      </c>
    </row>
    <row r="2127" spans="1:2">
      <c r="A2127" s="10">
        <v>45482</v>
      </c>
      <c r="B2127">
        <v>4903.62</v>
      </c>
    </row>
    <row r="2128" spans="1:2">
      <c r="A2128" s="10">
        <v>45483</v>
      </c>
      <c r="B2128">
        <v>4958.8599999999997</v>
      </c>
    </row>
    <row r="2129" spans="1:2">
      <c r="A2129" s="10">
        <v>45484</v>
      </c>
      <c r="B2129">
        <v>4976.13</v>
      </c>
    </row>
    <row r="2130" spans="1:2">
      <c r="A2130" s="10">
        <v>45485</v>
      </c>
      <c r="B2130">
        <v>5043.0200000000004</v>
      </c>
    </row>
    <row r="2131" spans="1:2">
      <c r="A2131" s="10">
        <v>45488</v>
      </c>
      <c r="B2131">
        <v>4983.1099999999997</v>
      </c>
    </row>
    <row r="2132" spans="1:2">
      <c r="A2132" s="10">
        <v>45489</v>
      </c>
      <c r="B2132">
        <v>4947.83</v>
      </c>
    </row>
    <row r="2133" spans="1:2">
      <c r="A2133" s="10">
        <v>45490</v>
      </c>
      <c r="B2133">
        <v>4891.46</v>
      </c>
    </row>
    <row r="2134" spans="1:2">
      <c r="A2134" s="10">
        <v>45491</v>
      </c>
      <c r="B2134">
        <v>4870.12</v>
      </c>
    </row>
    <row r="2135" spans="1:2">
      <c r="A2135" s="10">
        <v>45492</v>
      </c>
      <c r="B2135">
        <v>4827.24</v>
      </c>
    </row>
    <row r="2136" spans="1:2">
      <c r="A2136" s="10">
        <v>45495</v>
      </c>
      <c r="B2136">
        <v>4897.4399999999996</v>
      </c>
    </row>
    <row r="2137" spans="1:2">
      <c r="A2137" s="10">
        <v>45496</v>
      </c>
      <c r="B2137">
        <v>4916.8</v>
      </c>
    </row>
    <row r="2138" spans="1:2">
      <c r="A2138" s="10">
        <v>45497</v>
      </c>
      <c r="B2138">
        <v>4861.87</v>
      </c>
    </row>
    <row r="2139" spans="1:2">
      <c r="A2139" s="10">
        <v>45498</v>
      </c>
      <c r="B2139">
        <v>4811.28</v>
      </c>
    </row>
    <row r="2140" spans="1:2">
      <c r="A2140" s="10">
        <v>45499</v>
      </c>
      <c r="B2140">
        <v>4862.5</v>
      </c>
    </row>
    <row r="2141" spans="1:2">
      <c r="A2141" s="10">
        <v>45502</v>
      </c>
      <c r="B2141">
        <v>4815.3900000000003</v>
      </c>
    </row>
    <row r="2142" spans="1:2">
      <c r="A2142" s="10">
        <v>45503</v>
      </c>
      <c r="B2142">
        <v>4841</v>
      </c>
    </row>
    <row r="2143" spans="1:2">
      <c r="A2143" s="10">
        <v>45504</v>
      </c>
      <c r="B2143">
        <v>4872.9399999999996</v>
      </c>
    </row>
    <row r="2144" spans="1:2">
      <c r="A2144" s="10">
        <v>45505</v>
      </c>
      <c r="B2144">
        <v>4765.72</v>
      </c>
    </row>
    <row r="2145" spans="1:2">
      <c r="A2145" s="10">
        <v>45506</v>
      </c>
      <c r="B2145">
        <v>4638.7</v>
      </c>
    </row>
    <row r="2146" spans="1:2">
      <c r="A2146" s="10">
        <v>45509</v>
      </c>
      <c r="B2146">
        <v>4571.6000000000004</v>
      </c>
    </row>
    <row r="2147" spans="1:2">
      <c r="A2147" s="10">
        <v>45510</v>
      </c>
      <c r="B2147">
        <v>4575.22</v>
      </c>
    </row>
    <row r="2148" spans="1:2">
      <c r="A2148" s="10">
        <v>45511</v>
      </c>
      <c r="B2148">
        <v>4668.0600000000004</v>
      </c>
    </row>
    <row r="2149" spans="1:2">
      <c r="A2149" s="10">
        <v>45512</v>
      </c>
      <c r="B2149">
        <v>4668.74</v>
      </c>
    </row>
    <row r="2150" spans="1:2">
      <c r="A2150" s="10">
        <v>45513</v>
      </c>
      <c r="B2150">
        <v>4675.28</v>
      </c>
    </row>
    <row r="2151" spans="1:2">
      <c r="A2151" s="10">
        <v>45516</v>
      </c>
      <c r="B2151">
        <v>4671.88</v>
      </c>
    </row>
    <row r="2152" spans="1:2">
      <c r="A2152" s="10">
        <v>45517</v>
      </c>
      <c r="B2152">
        <v>4694.92</v>
      </c>
    </row>
    <row r="2153" spans="1:2">
      <c r="A2153" s="10">
        <v>45518</v>
      </c>
      <c r="B2153">
        <v>4727.6000000000004</v>
      </c>
    </row>
    <row r="2154" spans="1:2">
      <c r="A2154" s="10">
        <v>45519</v>
      </c>
      <c r="B2154">
        <v>4807.7700000000004</v>
      </c>
    </row>
    <row r="2155" spans="1:2">
      <c r="A2155" s="10">
        <v>45520</v>
      </c>
      <c r="B2155">
        <v>4840.5200000000004</v>
      </c>
    </row>
    <row r="2156" spans="1:2">
      <c r="A2156" s="10">
        <v>45523</v>
      </c>
      <c r="B2156">
        <v>4871.41</v>
      </c>
    </row>
    <row r="2157" spans="1:2">
      <c r="A2157" s="10">
        <v>45524</v>
      </c>
      <c r="B2157">
        <v>4857.58</v>
      </c>
    </row>
    <row r="2158" spans="1:2">
      <c r="A2158" s="10">
        <v>45525</v>
      </c>
      <c r="B2158">
        <v>4885.28</v>
      </c>
    </row>
    <row r="2159" spans="1:2">
      <c r="A2159" s="10">
        <v>45526</v>
      </c>
      <c r="B2159">
        <v>4885</v>
      </c>
    </row>
    <row r="2160" spans="1:2">
      <c r="A2160" s="10">
        <v>45527</v>
      </c>
      <c r="B2160">
        <v>4909.2</v>
      </c>
    </row>
    <row r="2161" spans="1:2">
      <c r="A2161" s="10">
        <v>45530</v>
      </c>
      <c r="B2161">
        <v>4896.6899999999996</v>
      </c>
    </row>
    <row r="2162" spans="1:2">
      <c r="A2162" s="10">
        <v>45531</v>
      </c>
      <c r="B2162">
        <v>4898.78</v>
      </c>
    </row>
    <row r="2163" spans="1:2">
      <c r="A2163" s="10">
        <v>45532</v>
      </c>
      <c r="B2163">
        <v>4913.03</v>
      </c>
    </row>
    <row r="2164" spans="1:2">
      <c r="A2164" s="10">
        <v>45533</v>
      </c>
      <c r="B2164">
        <v>4966.2700000000004</v>
      </c>
    </row>
    <row r="2165" spans="1:2">
      <c r="A2165" s="10">
        <v>45534</v>
      </c>
      <c r="B2165">
        <v>4957.9799999999996</v>
      </c>
    </row>
    <row r="2166" spans="1:2">
      <c r="A2166" s="10">
        <v>45537</v>
      </c>
      <c r="B2166">
        <v>4973.07</v>
      </c>
    </row>
    <row r="2167" spans="1:2">
      <c r="A2167" s="10">
        <v>45538</v>
      </c>
      <c r="B2167">
        <v>4912.5200000000004</v>
      </c>
    </row>
    <row r="2168" spans="1:2">
      <c r="A2168" s="10">
        <v>45539</v>
      </c>
      <c r="B2168">
        <v>4848.18</v>
      </c>
    </row>
    <row r="2169" spans="1:2">
      <c r="A2169" s="10">
        <v>45540</v>
      </c>
      <c r="B2169">
        <v>4815.1499999999996</v>
      </c>
    </row>
    <row r="2170" spans="1:2">
      <c r="A2170" s="10">
        <v>45541</v>
      </c>
      <c r="B2170">
        <v>4738.0600000000004</v>
      </c>
    </row>
    <row r="2171" spans="1:2">
      <c r="A2171" s="10">
        <v>45544</v>
      </c>
      <c r="B2171">
        <v>4778.66</v>
      </c>
    </row>
    <row r="2172" spans="1:2">
      <c r="A2172" s="10">
        <v>45545</v>
      </c>
      <c r="B2172">
        <v>4747.2</v>
      </c>
    </row>
    <row r="2173" spans="1:2">
      <c r="A2173" s="10">
        <v>45546</v>
      </c>
      <c r="B2173">
        <v>4763.58</v>
      </c>
    </row>
    <row r="2174" spans="1:2">
      <c r="A2174" s="10">
        <v>45547</v>
      </c>
      <c r="B2174">
        <v>4814.08</v>
      </c>
    </row>
    <row r="2175" spans="1:2">
      <c r="A2175" s="10">
        <v>45548</v>
      </c>
      <c r="B2175">
        <v>4843.99</v>
      </c>
    </row>
    <row r="2176" spans="1:2">
      <c r="A2176" s="10">
        <v>45551</v>
      </c>
      <c r="B2176">
        <v>4827.63</v>
      </c>
    </row>
    <row r="2177" spans="1:2">
      <c r="A2177" s="10">
        <v>45552</v>
      </c>
      <c r="B2177">
        <v>4860.78</v>
      </c>
    </row>
    <row r="2178" spans="1:2">
      <c r="A2178" s="10">
        <v>45553</v>
      </c>
      <c r="B2178">
        <v>4835.3</v>
      </c>
    </row>
    <row r="2179" spans="1:2">
      <c r="A2179" s="10">
        <v>45554</v>
      </c>
      <c r="B2179">
        <v>4943.38</v>
      </c>
    </row>
    <row r="2180" spans="1:2">
      <c r="A2180" s="10">
        <v>45555</v>
      </c>
      <c r="B2180">
        <v>4871.54</v>
      </c>
    </row>
    <row r="2181" spans="1:2">
      <c r="A2181" s="10">
        <v>45558</v>
      </c>
      <c r="B2181">
        <v>4885.57</v>
      </c>
    </row>
    <row r="2182" spans="1:2">
      <c r="A2182" s="10">
        <v>45559</v>
      </c>
      <c r="B2182">
        <v>4940.72</v>
      </c>
    </row>
    <row r="2183" spans="1:2">
      <c r="A2183" s="10">
        <v>45560</v>
      </c>
      <c r="B2183">
        <v>4916.8900000000003</v>
      </c>
    </row>
    <row r="2184" spans="1:2">
      <c r="A2184" s="10">
        <v>45561</v>
      </c>
      <c r="B2184">
        <v>5032.59</v>
      </c>
    </row>
    <row r="2185" spans="1:2">
      <c r="A2185" s="10">
        <v>45562</v>
      </c>
      <c r="B2185">
        <v>5067.45</v>
      </c>
    </row>
    <row r="2186" spans="1:2">
      <c r="A2186" s="10">
        <v>45565</v>
      </c>
      <c r="B2186">
        <v>5000.45</v>
      </c>
    </row>
    <row r="2187" spans="1:2">
      <c r="A2187" s="10">
        <v>45566</v>
      </c>
      <c r="B2187">
        <v>4954.1499999999996</v>
      </c>
    </row>
    <row r="2188" spans="1:2">
      <c r="A2188" s="10">
        <v>45567</v>
      </c>
      <c r="B2188">
        <v>4963.29</v>
      </c>
    </row>
    <row r="2189" spans="1:2">
      <c r="A2189" s="10">
        <v>45568</v>
      </c>
      <c r="B2189">
        <v>4921.33</v>
      </c>
    </row>
    <row r="2190" spans="1:2">
      <c r="A2190" s="10">
        <v>45569</v>
      </c>
      <c r="B2190">
        <v>4954.9399999999996</v>
      </c>
    </row>
    <row r="2191" spans="1:2">
      <c r="A2191" s="10">
        <v>45572</v>
      </c>
      <c r="B2191">
        <v>4969.71</v>
      </c>
    </row>
    <row r="2192" spans="1:2">
      <c r="A2192" s="10">
        <v>45573</v>
      </c>
      <c r="B2192">
        <v>4949</v>
      </c>
    </row>
    <row r="2193" spans="1:2">
      <c r="A2193" s="10">
        <v>45574</v>
      </c>
      <c r="B2193">
        <v>4982.57</v>
      </c>
    </row>
    <row r="2194" spans="1:2">
      <c r="A2194" s="10">
        <v>45575</v>
      </c>
      <c r="B2194">
        <v>4970.34</v>
      </c>
    </row>
    <row r="2195" spans="1:2">
      <c r="A2195" s="10">
        <v>45576</v>
      </c>
      <c r="B2195">
        <v>5003.92</v>
      </c>
    </row>
    <row r="2196" spans="1:2">
      <c r="A2196" s="10">
        <v>45579</v>
      </c>
      <c r="B2196">
        <v>5041.01</v>
      </c>
    </row>
    <row r="2197" spans="1:2">
      <c r="A2197" s="10">
        <v>45580</v>
      </c>
      <c r="B2197">
        <v>4946.7299999999996</v>
      </c>
    </row>
    <row r="2198" spans="1:2">
      <c r="A2198" s="10">
        <v>45581</v>
      </c>
      <c r="B2198">
        <v>4908.71</v>
      </c>
    </row>
    <row r="2199" spans="1:2">
      <c r="A2199" s="10">
        <v>45582</v>
      </c>
      <c r="B2199">
        <v>4947.3</v>
      </c>
    </row>
    <row r="2200" spans="1:2">
      <c r="A2200" s="10">
        <v>45583</v>
      </c>
      <c r="B2200">
        <v>4986.2700000000004</v>
      </c>
    </row>
    <row r="2201" spans="1:2">
      <c r="A2201" s="10">
        <v>45586</v>
      </c>
      <c r="B2201">
        <v>4941.22</v>
      </c>
    </row>
    <row r="2202" spans="1:2">
      <c r="A2202" s="10">
        <v>45587</v>
      </c>
      <c r="B2202">
        <v>4939.3100000000004</v>
      </c>
    </row>
    <row r="2203" spans="1:2">
      <c r="A2203" s="10">
        <v>45588</v>
      </c>
      <c r="B2203">
        <v>4922.55</v>
      </c>
    </row>
    <row r="2204" spans="1:2">
      <c r="A2204" s="10">
        <v>45589</v>
      </c>
      <c r="B2204">
        <v>4935.45</v>
      </c>
    </row>
    <row r="2205" spans="1:2">
      <c r="A2205" s="10">
        <v>45590</v>
      </c>
      <c r="B2205">
        <v>4943.09</v>
      </c>
    </row>
    <row r="2206" spans="1:2">
      <c r="A2206" s="10">
        <v>45593</v>
      </c>
      <c r="B2206">
        <v>4969.83</v>
      </c>
    </row>
    <row r="2207" spans="1:2">
      <c r="A2207" s="10">
        <v>45594</v>
      </c>
      <c r="B2207">
        <v>4950.0200000000004</v>
      </c>
    </row>
    <row r="2208" spans="1:2">
      <c r="A2208" s="10">
        <v>45595</v>
      </c>
      <c r="B2208">
        <v>4885.75</v>
      </c>
    </row>
    <row r="2209" spans="1:2">
      <c r="A2209" s="10">
        <v>45596</v>
      </c>
      <c r="B2209">
        <v>4827.63</v>
      </c>
    </row>
    <row r="2210" spans="1:2">
      <c r="A2210" s="10">
        <v>45597</v>
      </c>
      <c r="B2210">
        <v>4877.75</v>
      </c>
    </row>
    <row r="2211" spans="1:2">
      <c r="A2211" s="10">
        <v>45600</v>
      </c>
      <c r="B2211">
        <v>4852.1000000000004</v>
      </c>
    </row>
    <row r="2212" spans="1:2">
      <c r="A2212" s="10">
        <v>45601</v>
      </c>
      <c r="B2212">
        <v>4870.33</v>
      </c>
    </row>
    <row r="2213" spans="1:2">
      <c r="A2213" s="10">
        <v>45602</v>
      </c>
      <c r="B2213">
        <v>4800.63</v>
      </c>
    </row>
    <row r="2214" spans="1:2">
      <c r="A2214" s="10">
        <v>45603</v>
      </c>
      <c r="B2214">
        <v>4851.96</v>
      </c>
    </row>
    <row r="2215" spans="1:2">
      <c r="A2215" s="10">
        <v>45604</v>
      </c>
      <c r="B2215">
        <v>4802.76</v>
      </c>
    </row>
    <row r="2216" spans="1:2">
      <c r="A2216" s="10">
        <v>45607</v>
      </c>
      <c r="B2216">
        <v>4854.03</v>
      </c>
    </row>
    <row r="2217" spans="1:2">
      <c r="A2217" s="10">
        <v>45608</v>
      </c>
      <c r="B2217">
        <v>4744.6899999999996</v>
      </c>
    </row>
    <row r="2218" spans="1:2">
      <c r="A2218" s="10">
        <v>45609</v>
      </c>
      <c r="B2218">
        <v>4740.34</v>
      </c>
    </row>
    <row r="2219" spans="1:2">
      <c r="A2219" s="10">
        <v>45610</v>
      </c>
      <c r="B2219">
        <v>4833.53</v>
      </c>
    </row>
    <row r="2220" spans="1:2">
      <c r="A2220" s="10">
        <v>45611</v>
      </c>
      <c r="B2220">
        <v>4794.8500000000004</v>
      </c>
    </row>
    <row r="2221" spans="1:2">
      <c r="A2221" s="10">
        <v>45614</v>
      </c>
      <c r="B2221">
        <v>4790.33</v>
      </c>
    </row>
    <row r="2222" spans="1:2">
      <c r="A2222" s="10">
        <v>45615</v>
      </c>
      <c r="B2222">
        <v>4751.2299999999996</v>
      </c>
    </row>
    <row r="2223" spans="1:2">
      <c r="A2223" s="10">
        <v>45616</v>
      </c>
      <c r="B2223">
        <v>4729.71</v>
      </c>
    </row>
    <row r="2224" spans="1:2">
      <c r="A2224" s="10">
        <v>45617</v>
      </c>
      <c r="B2224">
        <v>4755.83</v>
      </c>
    </row>
    <row r="2225" spans="1:2">
      <c r="A2225" s="10">
        <v>45618</v>
      </c>
      <c r="B2225">
        <v>4789.08</v>
      </c>
    </row>
    <row r="2226" spans="1:2">
      <c r="A2226" s="10">
        <v>45621</v>
      </c>
      <c r="B2226">
        <v>4799.87</v>
      </c>
    </row>
    <row r="2227" spans="1:2">
      <c r="A2227" s="10">
        <v>45622</v>
      </c>
      <c r="B2227">
        <v>4761.99</v>
      </c>
    </row>
    <row r="2228" spans="1:2">
      <c r="A2228" s="10">
        <v>45623</v>
      </c>
      <c r="B2228">
        <v>4733.1499999999996</v>
      </c>
    </row>
    <row r="2229" spans="1:2">
      <c r="A2229" s="10">
        <v>45624</v>
      </c>
      <c r="B2229">
        <v>4758.6499999999996</v>
      </c>
    </row>
    <row r="2230" spans="1:2">
      <c r="A2230" s="10">
        <v>45625</v>
      </c>
      <c r="B2230">
        <v>4804.3999999999996</v>
      </c>
    </row>
    <row r="2231" spans="1:2">
      <c r="A2231" s="10">
        <v>45628</v>
      </c>
      <c r="B2231">
        <v>4846.7299999999996</v>
      </c>
    </row>
    <row r="2232" spans="1:2">
      <c r="A2232" s="10">
        <v>45629</v>
      </c>
      <c r="B2232">
        <v>4878.51</v>
      </c>
    </row>
    <row r="2233" spans="1:2">
      <c r="A2233" s="10">
        <v>45630</v>
      </c>
      <c r="B2233">
        <v>4919.0200000000004</v>
      </c>
    </row>
    <row r="2234" spans="1:2">
      <c r="A2234" s="10">
        <v>45631</v>
      </c>
      <c r="B2234">
        <v>4951.58</v>
      </c>
    </row>
    <row r="2235" spans="1:2">
      <c r="A2235" s="10">
        <v>45632</v>
      </c>
      <c r="B2235">
        <v>4977.78</v>
      </c>
    </row>
    <row r="2236" spans="1:2">
      <c r="A2236" s="10">
        <v>45635</v>
      </c>
      <c r="B2236">
        <v>4985.46</v>
      </c>
    </row>
    <row r="2237" spans="1:2">
      <c r="A2237" s="10">
        <v>45636</v>
      </c>
      <c r="B2237">
        <v>4951.74</v>
      </c>
    </row>
    <row r="2238" spans="1:2">
      <c r="A2238" s="10">
        <v>45637</v>
      </c>
      <c r="B2238">
        <v>4959.3500000000004</v>
      </c>
    </row>
    <row r="2239" spans="1:2">
      <c r="A2239" s="10">
        <v>45638</v>
      </c>
      <c r="B2239">
        <v>4965.53</v>
      </c>
    </row>
    <row r="2240" spans="1:2">
      <c r="A2240" s="10">
        <v>45639</v>
      </c>
      <c r="B2240">
        <v>4967.95</v>
      </c>
    </row>
    <row r="2241" spans="1:2">
      <c r="A2241" s="10">
        <v>45642</v>
      </c>
      <c r="B2241">
        <v>4947.03</v>
      </c>
    </row>
    <row r="2242" spans="1:2">
      <c r="A2242" s="10">
        <v>45643</v>
      </c>
      <c r="B2242">
        <v>4942.58</v>
      </c>
    </row>
    <row r="2243" spans="1:2">
      <c r="A2243" s="10">
        <v>45644</v>
      </c>
      <c r="B2243">
        <v>4957.28</v>
      </c>
    </row>
    <row r="2244" spans="1:2">
      <c r="A2244" s="10">
        <v>45645</v>
      </c>
      <c r="B2244">
        <v>4879</v>
      </c>
    </row>
    <row r="2245" spans="1:2">
      <c r="A2245" s="10">
        <v>45646</v>
      </c>
      <c r="B2245">
        <v>4862.28</v>
      </c>
    </row>
    <row r="2246" spans="1:2">
      <c r="A2246" s="10">
        <v>45649</v>
      </c>
      <c r="B2246">
        <v>4852.93</v>
      </c>
    </row>
    <row r="2247" spans="1:2">
      <c r="A2247" s="10">
        <v>45650</v>
      </c>
      <c r="B2247">
        <v>4857.8599999999997</v>
      </c>
    </row>
    <row r="2248" spans="1:2">
      <c r="A2248" s="10">
        <v>45653</v>
      </c>
      <c r="B2248">
        <v>4898.88</v>
      </c>
    </row>
    <row r="2249" spans="1:2">
      <c r="A2249" s="10">
        <v>45656</v>
      </c>
      <c r="B2249">
        <v>4869.28</v>
      </c>
    </row>
    <row r="2250" spans="1:2">
      <c r="A2250" s="10">
        <v>45657</v>
      </c>
      <c r="B2250">
        <v>4895.9799999999996</v>
      </c>
    </row>
    <row r="2251" spans="1:2">
      <c r="A2251" s="10">
        <v>45659</v>
      </c>
      <c r="B2251">
        <v>4917.88</v>
      </c>
    </row>
    <row r="2252" spans="1:2">
      <c r="A2252" s="10">
        <v>45660</v>
      </c>
      <c r="B2252">
        <v>4871.45</v>
      </c>
    </row>
    <row r="2253" spans="1:2">
      <c r="A2253" s="10">
        <v>45663</v>
      </c>
      <c r="B2253">
        <v>4986.6400000000003</v>
      </c>
    </row>
    <row r="2254" spans="1:2">
      <c r="A2254" s="10">
        <v>45664</v>
      </c>
      <c r="B2254">
        <v>5011.82</v>
      </c>
    </row>
    <row r="2255" spans="1:2">
      <c r="A2255" s="10">
        <v>45665</v>
      </c>
      <c r="B2255">
        <v>4996.3900000000003</v>
      </c>
    </row>
    <row r="2256" spans="1:2">
      <c r="A2256" s="10">
        <v>45666</v>
      </c>
      <c r="B2256">
        <v>5017.91</v>
      </c>
    </row>
    <row r="2257" spans="1:2">
      <c r="A2257" s="10">
        <v>45667</v>
      </c>
      <c r="B2257">
        <v>4977.26</v>
      </c>
    </row>
    <row r="2258" spans="1:2">
      <c r="A2258" s="10">
        <v>45670</v>
      </c>
      <c r="B2258">
        <v>4954.21</v>
      </c>
    </row>
    <row r="2259" spans="1:2">
      <c r="A2259" s="10">
        <v>45671</v>
      </c>
      <c r="B2259">
        <v>4980.47</v>
      </c>
    </row>
    <row r="2260" spans="1:2">
      <c r="A2260" s="10">
        <v>45672</v>
      </c>
      <c r="B2260">
        <v>5032.3100000000004</v>
      </c>
    </row>
    <row r="2261" spans="1:2">
      <c r="A2261" s="10">
        <v>45673</v>
      </c>
      <c r="B2261">
        <v>5106.93</v>
      </c>
    </row>
    <row r="2262" spans="1:2">
      <c r="A2262" s="10">
        <v>45674</v>
      </c>
      <c r="B2262">
        <v>5148.3</v>
      </c>
    </row>
    <row r="2263" spans="1:2">
      <c r="A2263" s="10">
        <v>45677</v>
      </c>
      <c r="B2263">
        <v>5164.4399999999996</v>
      </c>
    </row>
    <row r="2264" spans="1:2">
      <c r="A2264" s="10">
        <v>45678</v>
      </c>
      <c r="B2264">
        <v>5165.96</v>
      </c>
    </row>
    <row r="2265" spans="1:2">
      <c r="A2265" s="10">
        <v>45679</v>
      </c>
      <c r="B2265">
        <v>5205.83</v>
      </c>
    </row>
    <row r="2266" spans="1:2">
      <c r="A2266" s="10">
        <v>45680</v>
      </c>
      <c r="B2266">
        <v>5217.5</v>
      </c>
    </row>
    <row r="2267" spans="1:2">
      <c r="A2267" s="10">
        <v>45681</v>
      </c>
      <c r="B2267">
        <v>5219.37</v>
      </c>
    </row>
    <row r="2268" spans="1:2">
      <c r="A2268" s="10">
        <v>45684</v>
      </c>
      <c r="B2268">
        <v>5188.45</v>
      </c>
    </row>
    <row r="2269" spans="1:2">
      <c r="A2269" s="10">
        <v>45685</v>
      </c>
      <c r="B2269">
        <v>5195.71</v>
      </c>
    </row>
    <row r="2270" spans="1:2">
      <c r="A2270" s="10">
        <v>45686</v>
      </c>
      <c r="B2270">
        <v>5230.66</v>
      </c>
    </row>
    <row r="2271" spans="1:2">
      <c r="A2271" s="10">
        <v>45687</v>
      </c>
      <c r="B2271">
        <v>5282.21</v>
      </c>
    </row>
    <row r="2272" spans="1:2">
      <c r="A2272" s="10">
        <v>45688</v>
      </c>
      <c r="B2272">
        <v>5286.87</v>
      </c>
    </row>
    <row r="2273" spans="1:2">
      <c r="A2273" s="10">
        <v>45691</v>
      </c>
      <c r="B2273">
        <v>5217.91</v>
      </c>
    </row>
    <row r="2274" spans="1:2">
      <c r="A2274" s="10">
        <v>45692</v>
      </c>
      <c r="B2274">
        <v>5264.59</v>
      </c>
    </row>
    <row r="2275" spans="1:2">
      <c r="A2275" s="10">
        <v>45693</v>
      </c>
      <c r="B2275">
        <v>5271.12</v>
      </c>
    </row>
    <row r="2276" spans="1:2">
      <c r="A2276" s="10">
        <v>45694</v>
      </c>
      <c r="B2276">
        <v>5356.63</v>
      </c>
    </row>
    <row r="2277" spans="1:2">
      <c r="A2277" s="10">
        <v>45695</v>
      </c>
      <c r="B2277">
        <v>5325.4</v>
      </c>
    </row>
    <row r="2278" spans="1:2">
      <c r="A2278" s="10">
        <v>45698</v>
      </c>
      <c r="B2278">
        <v>5358.3</v>
      </c>
    </row>
    <row r="2279" spans="1:2">
      <c r="A2279" s="10">
        <v>45699</v>
      </c>
      <c r="B2279">
        <v>5390.91</v>
      </c>
    </row>
    <row r="2280" spans="1:2">
      <c r="A2280" s="10">
        <v>45700</v>
      </c>
      <c r="B2280">
        <v>5405.65</v>
      </c>
    </row>
    <row r="2281" spans="1:2">
      <c r="A2281" s="10">
        <v>45701</v>
      </c>
      <c r="B2281">
        <v>5500.5</v>
      </c>
    </row>
    <row r="2282" spans="1:2">
      <c r="A2282" s="10">
        <v>45702</v>
      </c>
      <c r="B2282">
        <v>5493.4</v>
      </c>
    </row>
    <row r="2283" spans="1:2">
      <c r="A2283" s="10">
        <v>45705</v>
      </c>
      <c r="B2283">
        <v>5519.83</v>
      </c>
    </row>
    <row r="2284" spans="1:2">
      <c r="A2284" s="10">
        <v>45706</v>
      </c>
      <c r="B2284">
        <v>5533.84</v>
      </c>
    </row>
    <row r="2285" spans="1:2">
      <c r="A2285" s="10">
        <v>45707</v>
      </c>
      <c r="B2285">
        <v>5461.17</v>
      </c>
    </row>
    <row r="2286" spans="1:2">
      <c r="A2286" s="10">
        <v>45708</v>
      </c>
      <c r="B2286">
        <v>5461.03</v>
      </c>
    </row>
    <row r="2287" spans="1:2">
      <c r="A2287" s="10">
        <v>45709</v>
      </c>
      <c r="B2287">
        <v>5474.85</v>
      </c>
    </row>
    <row r="2288" spans="1:2">
      <c r="A2288" s="10">
        <v>45712</v>
      </c>
      <c r="B2288">
        <v>5453.76</v>
      </c>
    </row>
    <row r="2289" spans="1:2">
      <c r="A2289" s="10">
        <v>45713</v>
      </c>
      <c r="B2289">
        <v>5447.9</v>
      </c>
    </row>
    <row r="2290" spans="1:2">
      <c r="A2290" s="10">
        <v>45714</v>
      </c>
      <c r="B2290">
        <v>5527.99</v>
      </c>
    </row>
    <row r="2291" spans="1:2">
      <c r="A2291" s="10">
        <v>45715</v>
      </c>
      <c r="B2291">
        <v>5472.56</v>
      </c>
    </row>
    <row r="2292" spans="1:2">
      <c r="A2292" s="10">
        <v>45716</v>
      </c>
      <c r="B2292">
        <v>5463.54</v>
      </c>
    </row>
    <row r="2293" spans="1:2">
      <c r="A2293" s="10">
        <v>45719</v>
      </c>
      <c r="B2293">
        <v>5540.69</v>
      </c>
    </row>
    <row r="2294" spans="1:2">
      <c r="A2294" s="10">
        <v>45720</v>
      </c>
      <c r="B2294">
        <v>5387.31</v>
      </c>
    </row>
    <row r="2295" spans="1:2">
      <c r="A2295" s="10">
        <v>45721</v>
      </c>
      <c r="B2295">
        <v>5489.12</v>
      </c>
    </row>
    <row r="2296" spans="1:2">
      <c r="A2296" s="10">
        <v>45722</v>
      </c>
      <c r="B2296">
        <v>5520.47</v>
      </c>
    </row>
    <row r="2297" spans="1:2">
      <c r="A2297" s="10">
        <v>45723</v>
      </c>
      <c r="B2297">
        <v>5468.41</v>
      </c>
    </row>
    <row r="2298" spans="1:2">
      <c r="A2298" s="10">
        <v>45726</v>
      </c>
      <c r="B2298">
        <v>5386.98</v>
      </c>
    </row>
    <row r="2299" spans="1:2">
      <c r="A2299" s="10">
        <v>45727</v>
      </c>
      <c r="B2299">
        <v>5309.9</v>
      </c>
    </row>
    <row r="2300" spans="1:2">
      <c r="A2300" s="10">
        <v>45728</v>
      </c>
      <c r="B2300">
        <v>5359.42</v>
      </c>
    </row>
    <row r="2301" spans="1:2">
      <c r="A2301" s="10">
        <v>45729</v>
      </c>
      <c r="B2301">
        <v>5328.39</v>
      </c>
    </row>
    <row r="2302" spans="1:2">
      <c r="A2302" s="10">
        <v>45730</v>
      </c>
      <c r="B2302">
        <v>5404.18</v>
      </c>
    </row>
    <row r="2303" spans="1:2">
      <c r="A2303" s="10">
        <v>45733</v>
      </c>
      <c r="B2303">
        <v>5445.55</v>
      </c>
    </row>
    <row r="2304" spans="1:2">
      <c r="A2304" s="10">
        <v>45734</v>
      </c>
      <c r="B2304">
        <v>5485.01</v>
      </c>
    </row>
    <row r="2305" spans="1:2">
      <c r="A2305" s="10">
        <v>45735</v>
      </c>
      <c r="B2305">
        <v>5507.36</v>
      </c>
    </row>
    <row r="2306" spans="1:2">
      <c r="A2306" s="10">
        <v>45736</v>
      </c>
      <c r="B2306">
        <v>5450.93</v>
      </c>
    </row>
    <row r="2307" spans="1:2">
      <c r="A2307" s="10">
        <v>45737</v>
      </c>
      <c r="B2307">
        <v>5423.83</v>
      </c>
    </row>
    <row r="2308" spans="1:2">
      <c r="A2308" s="10">
        <v>45740</v>
      </c>
      <c r="B2308">
        <v>5415.79</v>
      </c>
    </row>
    <row r="2309" spans="1:2">
      <c r="A2309" s="10">
        <v>45741</v>
      </c>
      <c r="B2309">
        <v>5475.08</v>
      </c>
    </row>
    <row r="2310" spans="1:2">
      <c r="A2310" s="10">
        <v>45742</v>
      </c>
      <c r="B2310">
        <v>5411.69</v>
      </c>
    </row>
    <row r="2311" spans="1:2">
      <c r="A2311" s="10">
        <v>45743</v>
      </c>
      <c r="B2311">
        <v>5381.08</v>
      </c>
    </row>
    <row r="2312" spans="1:2">
      <c r="A2312" s="10">
        <v>45744</v>
      </c>
      <c r="B2312">
        <v>5331.4</v>
      </c>
    </row>
    <row r="2313" spans="1:2">
      <c r="A2313" s="10">
        <v>45747</v>
      </c>
      <c r="B2313">
        <v>5248.39</v>
      </c>
    </row>
    <row r="2314" spans="1:2">
      <c r="A2314" s="10">
        <v>45748</v>
      </c>
      <c r="B2314">
        <v>5320.3</v>
      </c>
    </row>
    <row r="2315" spans="1:2">
      <c r="A2315" s="10">
        <v>45749</v>
      </c>
      <c r="B2315">
        <v>5303.95</v>
      </c>
    </row>
    <row r="2316" spans="1:2">
      <c r="A2316" s="10">
        <v>45750</v>
      </c>
      <c r="B2316">
        <v>5113.28</v>
      </c>
    </row>
    <row r="2317" spans="1:2">
      <c r="A2317" s="10">
        <v>45751</v>
      </c>
      <c r="B2317">
        <v>4878.3100000000004</v>
      </c>
    </row>
    <row r="2318" spans="1:2">
      <c r="A2318" s="10">
        <v>45754</v>
      </c>
      <c r="B2318">
        <v>4656.41</v>
      </c>
    </row>
    <row r="2319" spans="1:2">
      <c r="A2319" s="10">
        <v>45755</v>
      </c>
      <c r="B2319">
        <v>4773.6499999999996</v>
      </c>
    </row>
    <row r="2320" spans="1:2">
      <c r="A2320" s="10">
        <v>45756</v>
      </c>
      <c r="B2320">
        <v>4622.1400000000003</v>
      </c>
    </row>
    <row r="2321" spans="1:2">
      <c r="A2321" s="10">
        <v>45757</v>
      </c>
      <c r="B2321">
        <v>4818.92</v>
      </c>
    </row>
    <row r="2322" spans="1:2">
      <c r="A2322" s="10">
        <v>45758</v>
      </c>
      <c r="B2322">
        <v>4787.2299999999996</v>
      </c>
    </row>
    <row r="2323" spans="1:2">
      <c r="A2323" s="10">
        <v>45761</v>
      </c>
      <c r="B2323">
        <v>4911.3900000000003</v>
      </c>
    </row>
    <row r="2324" spans="1:2">
      <c r="A2324" s="10">
        <v>45762</v>
      </c>
      <c r="B2324">
        <v>4970.43</v>
      </c>
    </row>
    <row r="2325" spans="1:2">
      <c r="A2325" s="10">
        <v>45763</v>
      </c>
      <c r="B2325">
        <v>4966.5</v>
      </c>
    </row>
    <row r="2326" spans="1:2">
      <c r="A2326" s="10">
        <v>45764</v>
      </c>
      <c r="B2326">
        <v>4935.34</v>
      </c>
    </row>
    <row r="2327" spans="1:2">
      <c r="A2327" s="10">
        <v>45769</v>
      </c>
      <c r="B2327">
        <v>4961.45</v>
      </c>
    </row>
    <row r="2328" spans="1:2">
      <c r="A2328" s="10">
        <v>45770</v>
      </c>
      <c r="B2328">
        <v>5098.74</v>
      </c>
    </row>
    <row r="2329" spans="1:2">
      <c r="A2329" s="10">
        <v>45771</v>
      </c>
      <c r="B2329">
        <v>5114.9799999999996</v>
      </c>
    </row>
    <row r="2330" spans="1:2">
      <c r="A2330" s="10">
        <v>45772</v>
      </c>
      <c r="B2330">
        <v>5154.12</v>
      </c>
    </row>
    <row r="2331" spans="1:2">
      <c r="A2331" s="10">
        <v>45775</v>
      </c>
      <c r="B2331">
        <v>5170.49</v>
      </c>
    </row>
    <row r="2332" spans="1:2">
      <c r="A2332" s="10">
        <v>45776</v>
      </c>
      <c r="B2332">
        <v>5161.8999999999996</v>
      </c>
    </row>
    <row r="2333" spans="1:2">
      <c r="A2333" s="10">
        <v>45777</v>
      </c>
      <c r="B2333">
        <v>5160.22</v>
      </c>
    </row>
    <row r="2334" spans="1:2">
      <c r="A2334" s="10">
        <v>45779</v>
      </c>
      <c r="B2334">
        <v>5285.19</v>
      </c>
    </row>
    <row r="2335" spans="1:2">
      <c r="A2335" s="10">
        <v>45782</v>
      </c>
      <c r="B2335">
        <v>5283.05</v>
      </c>
    </row>
    <row r="2336" spans="1:2">
      <c r="A2336" s="10">
        <v>45783</v>
      </c>
      <c r="B2336">
        <v>5263.38</v>
      </c>
    </row>
    <row r="2337" spans="1:2">
      <c r="A2337" s="10">
        <v>45784</v>
      </c>
      <c r="B2337">
        <v>5230.1899999999996</v>
      </c>
    </row>
    <row r="2338" spans="1:2">
      <c r="A2338" s="10">
        <v>45785</v>
      </c>
      <c r="B2338">
        <v>5288.94</v>
      </c>
    </row>
    <row r="2339" spans="1:2">
      <c r="A2339" s="10">
        <v>45786</v>
      </c>
      <c r="B2339">
        <v>5309.74</v>
      </c>
    </row>
    <row r="2340" spans="1:2">
      <c r="A2340" s="10">
        <v>45789</v>
      </c>
      <c r="B2340">
        <v>5392.36</v>
      </c>
    </row>
    <row r="2341" spans="1:2">
      <c r="A2341" s="10">
        <v>45790</v>
      </c>
      <c r="B2341">
        <v>5416.21</v>
      </c>
    </row>
    <row r="2342" spans="1:2">
      <c r="A2342" s="10">
        <v>45791</v>
      </c>
      <c r="B2342">
        <v>5403.44</v>
      </c>
    </row>
    <row r="2343" spans="1:2">
      <c r="A2343" s="10">
        <v>45792</v>
      </c>
      <c r="B2343">
        <v>5412.08</v>
      </c>
    </row>
    <row r="2344" spans="1:2">
      <c r="A2344" s="10">
        <v>45793</v>
      </c>
      <c r="B2344">
        <v>5427.53</v>
      </c>
    </row>
    <row r="2345" spans="1:2">
      <c r="A2345" s="10">
        <v>45796</v>
      </c>
      <c r="B2345">
        <v>5427.23</v>
      </c>
    </row>
    <row r="2346" spans="1:2">
      <c r="A2346" s="10">
        <v>45797</v>
      </c>
      <c r="B2346">
        <v>5454.65</v>
      </c>
    </row>
    <row r="2347" spans="1:2">
      <c r="A2347" s="10">
        <v>45798</v>
      </c>
      <c r="B2347">
        <v>5454.46</v>
      </c>
    </row>
    <row r="2348" spans="1:2">
      <c r="A2348" s="10">
        <v>45799</v>
      </c>
      <c r="B2348">
        <v>5424.48</v>
      </c>
    </row>
    <row r="2349" spans="1:2">
      <c r="A2349" s="10">
        <v>45800</v>
      </c>
      <c r="B2349">
        <v>5326.31</v>
      </c>
    </row>
    <row r="2350" spans="1:2">
      <c r="A2350" s="10">
        <v>45803</v>
      </c>
      <c r="B2350">
        <v>5395.33</v>
      </c>
    </row>
    <row r="2351" spans="1:2">
      <c r="A2351" s="10">
        <v>45804</v>
      </c>
      <c r="B2351">
        <v>5415.45</v>
      </c>
    </row>
    <row r="2352" spans="1:2">
      <c r="A2352" s="10">
        <v>45805</v>
      </c>
      <c r="B2352">
        <v>5378.39</v>
      </c>
    </row>
    <row r="2353" spans="1:2">
      <c r="A2353" s="10">
        <v>45806</v>
      </c>
      <c r="B2353">
        <v>5371.1</v>
      </c>
    </row>
    <row r="2354" spans="1:2">
      <c r="A2354" s="10">
        <v>45807</v>
      </c>
      <c r="B2354">
        <v>5366.59</v>
      </c>
    </row>
    <row r="2355" spans="1:2">
      <c r="A2355" s="10">
        <v>45810</v>
      </c>
      <c r="B2355">
        <v>5355.56</v>
      </c>
    </row>
    <row r="2356" spans="1:2">
      <c r="A2356" s="10">
        <v>45811</v>
      </c>
      <c r="B2356">
        <v>5375.7</v>
      </c>
    </row>
    <row r="2357" spans="1:2">
      <c r="A2357" s="10">
        <v>45812</v>
      </c>
      <c r="B2357">
        <v>5405.15</v>
      </c>
    </row>
    <row r="2358" spans="1:2">
      <c r="A2358" s="10">
        <v>45813</v>
      </c>
      <c r="B2358">
        <v>5410.55</v>
      </c>
    </row>
    <row r="2359" spans="1:2">
      <c r="A2359" s="10">
        <v>45814</v>
      </c>
      <c r="B2359">
        <v>5430.17</v>
      </c>
    </row>
    <row r="2360" spans="1:2">
      <c r="A2360" s="10">
        <v>45817</v>
      </c>
      <c r="B2360">
        <v>5421.52</v>
      </c>
    </row>
    <row r="2361" spans="1:2">
      <c r="A2361" s="10">
        <v>45818</v>
      </c>
      <c r="B2361">
        <v>5415.38</v>
      </c>
    </row>
    <row r="2362" spans="1:2">
      <c r="A2362" s="10">
        <v>45819</v>
      </c>
      <c r="B2362">
        <v>5393.15</v>
      </c>
    </row>
    <row r="2363" spans="1:2">
      <c r="A2363" s="10">
        <v>45820</v>
      </c>
      <c r="B2363">
        <v>5360.82</v>
      </c>
    </row>
    <row r="2364" spans="1:2">
      <c r="A2364" s="10">
        <v>45821</v>
      </c>
      <c r="B2364">
        <v>5290.47</v>
      </c>
    </row>
    <row r="2365" spans="1:2">
      <c r="A2365" s="10">
        <v>45824</v>
      </c>
      <c r="B2365">
        <v>5339.57</v>
      </c>
    </row>
    <row r="2366" spans="1:2">
      <c r="A2366" s="10">
        <v>45825</v>
      </c>
      <c r="B2366">
        <v>5288.68</v>
      </c>
    </row>
    <row r="2367" spans="1:2">
      <c r="A2367" s="10">
        <v>45826</v>
      </c>
      <c r="B2367">
        <v>5266.91</v>
      </c>
    </row>
    <row r="2368" spans="1:2">
      <c r="A2368" s="10">
        <v>45827</v>
      </c>
      <c r="B2368">
        <v>5197.03</v>
      </c>
    </row>
    <row r="2369" spans="1:2">
      <c r="A2369" s="10">
        <v>45828</v>
      </c>
      <c r="B2369">
        <v>5233.58</v>
      </c>
    </row>
    <row r="2370" spans="1:2">
      <c r="A2370" s="10">
        <v>45831</v>
      </c>
      <c r="B2370">
        <v>5221.8999999999996</v>
      </c>
    </row>
    <row r="2371" spans="1:2">
      <c r="A2371" s="10">
        <v>45832</v>
      </c>
      <c r="B2371">
        <v>5297.07</v>
      </c>
    </row>
    <row r="2372" spans="1:2">
      <c r="A2372" s="10">
        <v>45833</v>
      </c>
      <c r="B2372">
        <v>5252.01</v>
      </c>
    </row>
    <row r="2373" spans="1:2">
      <c r="A2373" s="10">
        <v>45834</v>
      </c>
      <c r="B2373">
        <v>5244.03</v>
      </c>
    </row>
    <row r="2374" spans="1:2">
      <c r="A2374" s="10">
        <v>45835</v>
      </c>
      <c r="B2374">
        <v>5325.64</v>
      </c>
    </row>
    <row r="2375" spans="1:2">
      <c r="A2375" s="10">
        <v>45838</v>
      </c>
      <c r="B2375">
        <v>5303.24</v>
      </c>
    </row>
    <row r="2376" spans="1:2">
      <c r="A2376" s="10">
        <v>45839</v>
      </c>
      <c r="B2376">
        <v>5282.43</v>
      </c>
    </row>
    <row r="2377" spans="1:2">
      <c r="A2377" s="10">
        <v>45840</v>
      </c>
      <c r="B2377">
        <v>5318.72</v>
      </c>
    </row>
    <row r="2378" spans="1:2">
      <c r="A2378" s="10">
        <v>45841</v>
      </c>
      <c r="B2378">
        <v>5343.15</v>
      </c>
    </row>
    <row r="2379" spans="1:2">
      <c r="A2379" s="10">
        <v>45842</v>
      </c>
      <c r="B2379">
        <v>5288.81</v>
      </c>
    </row>
    <row r="2380" spans="1:2">
      <c r="A2380" s="10">
        <v>45845</v>
      </c>
      <c r="B2380">
        <v>5341.54</v>
      </c>
    </row>
    <row r="2381" spans="1:2">
      <c r="A2381" s="10">
        <v>45846</v>
      </c>
      <c r="B2381">
        <v>5371.95</v>
      </c>
    </row>
    <row r="2382" spans="1:2">
      <c r="A2382" s="10">
        <v>45847</v>
      </c>
      <c r="B2382">
        <v>5445.65</v>
      </c>
    </row>
    <row r="2383" spans="1:2">
      <c r="A2383" s="10">
        <v>45848</v>
      </c>
      <c r="B2383">
        <v>5438.27</v>
      </c>
    </row>
    <row r="2384" spans="1:2">
      <c r="A2384" s="10">
        <v>45849</v>
      </c>
      <c r="B2384">
        <v>5383.48</v>
      </c>
    </row>
    <row r="2385" spans="1:2">
      <c r="A2385" s="10">
        <v>45852</v>
      </c>
      <c r="B2385">
        <v>5370.85</v>
      </c>
    </row>
    <row r="2386" spans="1:2">
      <c r="A2386" s="10">
        <v>45853</v>
      </c>
      <c r="B2386">
        <v>5354.17</v>
      </c>
    </row>
    <row r="2387" spans="1:2">
      <c r="A2387" s="10">
        <v>45854</v>
      </c>
      <c r="B2387">
        <v>5298.07</v>
      </c>
    </row>
    <row r="2388" spans="1:2">
      <c r="A2388" s="10">
        <v>45855</v>
      </c>
      <c r="B2388">
        <v>5377.15</v>
      </c>
    </row>
    <row r="2389" spans="1:2">
      <c r="A2389" s="10">
        <v>45856</v>
      </c>
      <c r="B2389">
        <v>5359.23</v>
      </c>
    </row>
    <row r="2390" spans="1:2">
      <c r="A2390" s="10">
        <v>45859</v>
      </c>
      <c r="B2390">
        <v>5342.98</v>
      </c>
    </row>
    <row r="2391" spans="1:2">
      <c r="A2391" s="10">
        <v>45860</v>
      </c>
      <c r="B2391">
        <v>5290.48</v>
      </c>
    </row>
    <row r="2392" spans="1:2">
      <c r="A2392" s="10">
        <v>45861</v>
      </c>
      <c r="B2392">
        <v>5344.25</v>
      </c>
    </row>
    <row r="2393" spans="1:2">
      <c r="A2393" s="10">
        <v>45862</v>
      </c>
      <c r="B2393">
        <v>5355.2</v>
      </c>
    </row>
    <row r="2394" spans="1:2">
      <c r="A2394" s="10">
        <v>45863</v>
      </c>
      <c r="B2394">
        <v>5352.16</v>
      </c>
    </row>
    <row r="2395" spans="1:2">
      <c r="A2395" s="10">
        <v>45866</v>
      </c>
      <c r="B2395">
        <v>5337.58</v>
      </c>
    </row>
    <row r="2396" spans="1:2">
      <c r="A2396" s="10">
        <v>45867</v>
      </c>
      <c r="B2396">
        <v>5377.55</v>
      </c>
    </row>
    <row r="2397" spans="1:2">
      <c r="A2397" s="10">
        <v>45868</v>
      </c>
      <c r="B2397">
        <v>5393.18</v>
      </c>
    </row>
    <row r="2398" spans="1:2">
      <c r="A2398" s="10">
        <v>45869</v>
      </c>
      <c r="B2398">
        <v>5319.92</v>
      </c>
    </row>
    <row r="2399" spans="1:2">
      <c r="A2399" s="10">
        <v>45870</v>
      </c>
      <c r="B2399">
        <v>5165.6000000000004</v>
      </c>
    </row>
    <row r="2400" spans="1:2">
      <c r="A2400" s="10">
        <v>45873</v>
      </c>
      <c r="B2400">
        <v>5242.32</v>
      </c>
    </row>
    <row r="2401" spans="1:2">
      <c r="A2401" s="10">
        <v>45874</v>
      </c>
      <c r="B2401">
        <v>5249.59</v>
      </c>
    </row>
    <row r="2402" spans="1:2">
      <c r="A2402" s="10">
        <v>45875</v>
      </c>
      <c r="B2402">
        <v>5263.29</v>
      </c>
    </row>
    <row r="2403" spans="1:2">
      <c r="A2403" s="10">
        <v>45876</v>
      </c>
      <c r="B2403">
        <v>5332.07</v>
      </c>
    </row>
    <row r="2404" spans="1:2">
      <c r="A2404" s="10">
        <v>45877</v>
      </c>
      <c r="B2404">
        <v>5347.74</v>
      </c>
    </row>
    <row r="2405" spans="1:2">
      <c r="A2405" s="10">
        <v>45880</v>
      </c>
      <c r="B2405">
        <v>5331.85</v>
      </c>
    </row>
    <row r="2406" spans="1:2">
      <c r="A2406" s="10">
        <v>45881</v>
      </c>
      <c r="B2406">
        <v>5335.97</v>
      </c>
    </row>
    <row r="2407" spans="1:2">
      <c r="A2407" s="10">
        <v>45882</v>
      </c>
      <c r="B2407">
        <v>5388.25</v>
      </c>
    </row>
    <row r="2408" spans="1:2">
      <c r="A2408" s="10">
        <v>45883</v>
      </c>
      <c r="B2408">
        <v>5434.7</v>
      </c>
    </row>
    <row r="2409" spans="1:2">
      <c r="A2409" s="10">
        <v>45884</v>
      </c>
      <c r="B2409">
        <v>5448.61</v>
      </c>
    </row>
    <row r="2410" spans="1:2">
      <c r="A2410" s="10">
        <v>45887</v>
      </c>
      <c r="B2410">
        <v>5434.64</v>
      </c>
    </row>
    <row r="2411" spans="1:2">
      <c r="A2411" s="10">
        <v>45888</v>
      </c>
      <c r="B2411">
        <v>5483.28</v>
      </c>
    </row>
    <row r="2412" spans="1:2">
      <c r="A2412" s="10">
        <v>45889</v>
      </c>
      <c r="B2412">
        <v>5472.32</v>
      </c>
    </row>
    <row r="2413" spans="1:2">
      <c r="A2413" s="10">
        <v>45890</v>
      </c>
      <c r="B2413">
        <v>5462.16</v>
      </c>
    </row>
    <row r="2414" spans="1:2">
      <c r="A2414" s="10">
        <v>45891</v>
      </c>
      <c r="B2414">
        <v>5488.23</v>
      </c>
    </row>
    <row r="2415" spans="1:2">
      <c r="A2415" s="10">
        <v>45894</v>
      </c>
      <c r="B2415">
        <v>5443.96</v>
      </c>
    </row>
    <row r="2416" spans="1:2">
      <c r="A2416" s="10">
        <v>45895</v>
      </c>
      <c r="B2416">
        <v>5383.68</v>
      </c>
    </row>
    <row r="2417" spans="1:2">
      <c r="A2417" s="10">
        <v>45896</v>
      </c>
      <c r="B2417">
        <v>5393.07</v>
      </c>
    </row>
    <row r="2418" spans="1:2">
      <c r="A2418" s="10">
        <v>45897</v>
      </c>
      <c r="B2418">
        <v>5396.73</v>
      </c>
    </row>
    <row r="2419" spans="1:2">
      <c r="A2419" s="10">
        <v>45898</v>
      </c>
      <c r="B2419">
        <v>5351.73</v>
      </c>
    </row>
    <row r="2420" spans="1:2">
      <c r="A2420" s="10">
        <v>45901</v>
      </c>
      <c r="B2420">
        <v>5367.08</v>
      </c>
    </row>
    <row r="2421" spans="1:2">
      <c r="A2421" s="10">
        <v>45902</v>
      </c>
      <c r="B2421">
        <v>5291.04</v>
      </c>
    </row>
    <row r="2422" spans="1:2">
      <c r="A2422" s="10">
        <v>45903</v>
      </c>
      <c r="B2422">
        <v>5325.01</v>
      </c>
    </row>
    <row r="2423" spans="1:2">
      <c r="A2423" s="10">
        <v>45904</v>
      </c>
      <c r="B2423">
        <v>5346.71</v>
      </c>
    </row>
    <row r="2424" spans="1:2">
      <c r="A2424" s="10">
        <v>45905</v>
      </c>
      <c r="B2424">
        <v>5318.15</v>
      </c>
    </row>
    <row r="2425" spans="1:2">
      <c r="A2425" s="10">
        <v>45908</v>
      </c>
      <c r="B2425">
        <v>5362.81</v>
      </c>
    </row>
    <row r="2426" spans="1:2">
      <c r="A2426" s="10">
        <v>45909</v>
      </c>
      <c r="B2426">
        <v>5368.82</v>
      </c>
    </row>
    <row r="2427" spans="1:2">
      <c r="A2427" s="10">
        <v>45910</v>
      </c>
      <c r="B2427">
        <v>5361.47</v>
      </c>
    </row>
    <row r="2428" spans="1:2">
      <c r="A2428" s="10">
        <v>45911</v>
      </c>
      <c r="B2428">
        <v>5386.77</v>
      </c>
    </row>
    <row r="2429" spans="1:2">
      <c r="A2429" s="10">
        <v>45912</v>
      </c>
      <c r="B2429">
        <v>5390.71</v>
      </c>
    </row>
    <row r="2430" spans="1:2">
      <c r="A2430" s="10">
        <v>45915</v>
      </c>
      <c r="B2430">
        <v>5440.4</v>
      </c>
    </row>
    <row r="2431" spans="1:2">
      <c r="A2431" s="10">
        <v>45916</v>
      </c>
      <c r="B2431">
        <v>5372.31</v>
      </c>
    </row>
    <row r="2432" spans="1:2">
      <c r="A2432" s="10">
        <v>45917</v>
      </c>
      <c r="B2432">
        <v>5369.7</v>
      </c>
    </row>
    <row r="2433" spans="1:2">
      <c r="A2433" s="10">
        <v>45918</v>
      </c>
      <c r="B2433">
        <v>5456.67</v>
      </c>
    </row>
    <row r="2434" spans="1:2">
      <c r="A2434" s="10">
        <v>45919</v>
      </c>
      <c r="B2434">
        <v>5458.42</v>
      </c>
    </row>
    <row r="2435" spans="1:2">
      <c r="A2435" s="10">
        <v>45922</v>
      </c>
      <c r="B2435">
        <v>5442.05</v>
      </c>
    </row>
    <row r="2436" spans="1:2">
      <c r="A2436" s="10">
        <v>45923</v>
      </c>
      <c r="B2436">
        <v>5472.39</v>
      </c>
    </row>
    <row r="2437" spans="1:2">
      <c r="A2437" s="10">
        <v>45924</v>
      </c>
      <c r="B2437">
        <v>5464.56</v>
      </c>
    </row>
    <row r="2438" spans="1:2">
      <c r="A2438" s="10">
        <v>45925</v>
      </c>
      <c r="B2438">
        <v>5444.89</v>
      </c>
    </row>
    <row r="2439" spans="1:2">
      <c r="A2439" s="10">
        <v>45926</v>
      </c>
      <c r="B2439">
        <v>5499.7</v>
      </c>
    </row>
    <row r="2440" spans="1:2">
      <c r="A2440" s="10">
        <v>45929</v>
      </c>
      <c r="B2440">
        <v>5506.85</v>
      </c>
    </row>
    <row r="2441" spans="1:2">
      <c r="A2441" s="10">
        <v>45930</v>
      </c>
      <c r="B2441">
        <v>5529.96</v>
      </c>
    </row>
    <row r="2442" spans="1:2">
      <c r="A2442" s="10">
        <v>45931</v>
      </c>
      <c r="B2442">
        <v>5581.21</v>
      </c>
    </row>
    <row r="2443" spans="1:2">
      <c r="A2443" s="10">
        <v>45932</v>
      </c>
      <c r="B2443">
        <v>5645.81</v>
      </c>
    </row>
    <row r="2444" spans="1:2">
      <c r="A2444" s="10">
        <v>45933</v>
      </c>
      <c r="B2444">
        <v>5651.71</v>
      </c>
    </row>
    <row r="2445" spans="1:2">
      <c r="A2445" s="10">
        <v>45936</v>
      </c>
      <c r="B2445">
        <v>5628.72</v>
      </c>
    </row>
    <row r="2446" spans="1:2">
      <c r="A2446" s="10">
        <v>45937</v>
      </c>
      <c r="B2446">
        <v>5613.62</v>
      </c>
    </row>
    <row r="2447" spans="1:2">
      <c r="A2447" s="10">
        <v>45938</v>
      </c>
      <c r="B2447">
        <v>5649.73</v>
      </c>
    </row>
    <row r="2448" spans="1:2">
      <c r="A2448" s="10">
        <v>45939</v>
      </c>
      <c r="B2448">
        <v>5625.56</v>
      </c>
    </row>
    <row r="2449" spans="1:2">
      <c r="A2449" s="10">
        <v>45940</v>
      </c>
      <c r="B2449">
        <v>5531.32</v>
      </c>
    </row>
    <row r="2450" spans="1:2">
      <c r="A2450" s="10">
        <v>45943</v>
      </c>
      <c r="B2450">
        <v>5568.19</v>
      </c>
    </row>
    <row r="2451" spans="1:2">
      <c r="A2451" s="10">
        <v>45944</v>
      </c>
      <c r="B2451">
        <v>5552.05</v>
      </c>
    </row>
    <row r="2452" spans="1:2">
      <c r="A2452" s="10">
        <v>45945</v>
      </c>
      <c r="B2452">
        <v>5605.03</v>
      </c>
    </row>
    <row r="2453" spans="1:2">
      <c r="A2453" s="10">
        <v>45946</v>
      </c>
      <c r="B2453">
        <v>5652.01</v>
      </c>
    </row>
    <row r="2454" spans="1:2">
      <c r="A2454" s="10">
        <v>45947</v>
      </c>
      <c r="B2454">
        <v>5607.39</v>
      </c>
    </row>
    <row r="2455" spans="1:2">
      <c r="A2455" s="10">
        <v>45950</v>
      </c>
      <c r="B2455">
        <v>5680.93</v>
      </c>
    </row>
    <row r="2456" spans="1:2">
      <c r="A2456" s="10">
        <v>45951</v>
      </c>
      <c r="B2456">
        <v>5686.83</v>
      </c>
    </row>
    <row r="2457" spans="1:2">
      <c r="A2457" s="10">
        <v>45952</v>
      </c>
      <c r="B2457">
        <v>5639.21</v>
      </c>
    </row>
    <row r="2458" spans="1:2">
      <c r="A2458" s="10">
        <v>45953</v>
      </c>
      <c r="B2458">
        <v>5668.33</v>
      </c>
    </row>
    <row r="2459" spans="1:2">
      <c r="A2459" s="10">
        <v>45954</v>
      </c>
      <c r="B2459">
        <v>5674.5</v>
      </c>
    </row>
    <row r="2460" spans="1:2">
      <c r="A2460" s="10">
        <v>45957</v>
      </c>
      <c r="B2460">
        <v>5711.06</v>
      </c>
    </row>
    <row r="2461" spans="1:2">
      <c r="A2461" s="10">
        <v>45958</v>
      </c>
      <c r="B2461">
        <v>5704.35</v>
      </c>
    </row>
    <row r="2462" spans="1:2">
      <c r="A2462" s="10">
        <v>45959</v>
      </c>
      <c r="B2462">
        <v>5705.81</v>
      </c>
    </row>
    <row r="2463" spans="1:2">
      <c r="A2463" s="10">
        <v>45960</v>
      </c>
      <c r="B2463">
        <v>5699.18</v>
      </c>
    </row>
    <row r="2464" spans="1:2">
      <c r="A2464" s="10">
        <v>45961</v>
      </c>
      <c r="B2464">
        <v>5662.04</v>
      </c>
    </row>
    <row r="2465" spans="1:2">
      <c r="A2465" s="10">
        <v>45964</v>
      </c>
      <c r="B2465">
        <v>5679.25</v>
      </c>
    </row>
    <row r="2466" spans="1:2">
      <c r="A2466" s="10">
        <v>45965</v>
      </c>
      <c r="B2466">
        <v>5660.2</v>
      </c>
    </row>
    <row r="2467" spans="1:2">
      <c r="A2467" s="10">
        <v>45966</v>
      </c>
      <c r="B2467">
        <v>5669.13</v>
      </c>
    </row>
    <row r="2468" spans="1:2">
      <c r="A2468" s="10">
        <v>45967</v>
      </c>
      <c r="B2468">
        <v>5611.18</v>
      </c>
    </row>
    <row r="2469" spans="1:2">
      <c r="A2469" s="10">
        <v>45968</v>
      </c>
      <c r="B2469">
        <v>5566.53</v>
      </c>
    </row>
    <row r="2470" spans="1:2">
      <c r="A2470" s="10">
        <v>45971</v>
      </c>
      <c r="B2470">
        <v>5664.46</v>
      </c>
    </row>
    <row r="2471" spans="1:2">
      <c r="A2471" s="10">
        <v>45972</v>
      </c>
      <c r="B2471">
        <v>5725.7</v>
      </c>
    </row>
    <row r="2472" spans="1:2">
      <c r="A2472" s="10">
        <v>45973</v>
      </c>
      <c r="B2472">
        <v>5787.31</v>
      </c>
    </row>
    <row r="2473" spans="1:2">
      <c r="A2473" s="10">
        <v>45974</v>
      </c>
      <c r="B2473">
        <v>5742.79</v>
      </c>
    </row>
    <row r="2474" spans="1:2">
      <c r="A2474" s="10">
        <v>45975</v>
      </c>
      <c r="B2474">
        <v>5693.77</v>
      </c>
    </row>
    <row r="2475" spans="1:2">
      <c r="A2475" s="10">
        <v>45978</v>
      </c>
      <c r="B2475">
        <v>5640.94</v>
      </c>
    </row>
    <row r="2476" spans="1:2">
      <c r="A2476" s="10">
        <v>45979</v>
      </c>
      <c r="B2476">
        <v>5533.53</v>
      </c>
    </row>
    <row r="2477" spans="1:2">
      <c r="A2477" s="10">
        <v>45980</v>
      </c>
      <c r="B2477">
        <v>5542.05</v>
      </c>
    </row>
    <row r="2478" spans="1:2">
      <c r="A2478" s="10">
        <v>45981</v>
      </c>
      <c r="B2478">
        <v>5569.92</v>
      </c>
    </row>
    <row r="2479" spans="1:2">
      <c r="A2479" s="10">
        <v>45982</v>
      </c>
      <c r="B2479">
        <v>5515.09</v>
      </c>
    </row>
    <row r="2480" spans="1:2">
      <c r="A2480" s="10">
        <v>45985</v>
      </c>
      <c r="B2480">
        <v>5528.67</v>
      </c>
    </row>
    <row r="2481" spans="1:2">
      <c r="A2481" s="10">
        <v>45986</v>
      </c>
      <c r="B2481">
        <v>5573.91</v>
      </c>
    </row>
    <row r="2482" spans="1:2">
      <c r="A2482" s="10">
        <v>45987</v>
      </c>
      <c r="B2482">
        <v>5655.58</v>
      </c>
    </row>
    <row r="2483" spans="1:2">
      <c r="A2483" s="10">
        <v>45988</v>
      </c>
      <c r="B2483">
        <v>5653.17</v>
      </c>
    </row>
    <row r="2484" spans="1:2">
      <c r="A2484" s="10">
        <v>45989</v>
      </c>
      <c r="B2484">
        <v>5668.17</v>
      </c>
    </row>
    <row r="2485" spans="1:2">
      <c r="A2485" s="10">
        <v>45992</v>
      </c>
      <c r="B2485">
        <v>5667.48</v>
      </c>
    </row>
    <row r="2486" spans="1:2">
      <c r="A2486" s="10">
        <v>45993</v>
      </c>
      <c r="B2486">
        <v>5686.17</v>
      </c>
    </row>
    <row r="2487" spans="1:2">
      <c r="A2487" s="10">
        <v>45994</v>
      </c>
      <c r="B2487">
        <v>5694.56</v>
      </c>
    </row>
    <row r="2488" spans="1:2">
      <c r="A2488" s="10">
        <v>45995</v>
      </c>
      <c r="B2488">
        <v>5718.08</v>
      </c>
    </row>
    <row r="2489" spans="1:2">
      <c r="A2489" s="10">
        <v>45996</v>
      </c>
      <c r="B2489">
        <v>5723.93</v>
      </c>
    </row>
    <row r="2490" spans="1:2">
      <c r="A2490" s="10">
        <v>45999</v>
      </c>
      <c r="B2490">
        <v>5725.59</v>
      </c>
    </row>
    <row r="2491" spans="1:2">
      <c r="A2491" s="10">
        <v>46000</v>
      </c>
      <c r="B2491">
        <v>5718.32</v>
      </c>
    </row>
    <row r="2492" spans="1:2">
      <c r="A2492" s="10">
        <v>46001</v>
      </c>
      <c r="B2492">
        <v>5708.12</v>
      </c>
    </row>
    <row r="2493" spans="1:2">
      <c r="A2493" s="10">
        <v>46002</v>
      </c>
      <c r="B2493">
        <v>5753.96</v>
      </c>
    </row>
    <row r="2494" spans="1:2">
      <c r="A2494" s="10">
        <v>46003</v>
      </c>
      <c r="B2494">
        <v>5720.71</v>
      </c>
    </row>
    <row r="2495" spans="1:2">
      <c r="A2495" s="10">
        <v>46006</v>
      </c>
      <c r="B2495">
        <v>5752.52</v>
      </c>
    </row>
    <row r="2496" spans="1:2">
      <c r="A2496" s="10">
        <v>46007</v>
      </c>
      <c r="B2496">
        <v>5717.83</v>
      </c>
    </row>
    <row r="2497" spans="1:2">
      <c r="A2497" s="10">
        <v>46008</v>
      </c>
      <c r="B2497">
        <v>5681.67</v>
      </c>
    </row>
    <row r="2498" spans="1:2">
      <c r="A2498" s="10">
        <v>46009</v>
      </c>
      <c r="B2498">
        <v>5741.71</v>
      </c>
    </row>
    <row r="2499" spans="1:2">
      <c r="A2499" s="10">
        <v>46010</v>
      </c>
      <c r="B2499">
        <v>5760.35</v>
      </c>
    </row>
    <row r="2500" spans="1:2">
      <c r="A2500" s="10">
        <v>46013</v>
      </c>
      <c r="B2500">
        <v>5743.69</v>
      </c>
    </row>
    <row r="2501" spans="1:2">
      <c r="A2501" s="10">
        <v>46014</v>
      </c>
      <c r="B2501">
        <v>5749.28</v>
      </c>
    </row>
    <row r="2502" spans="1:2">
      <c r="A2502" s="10">
        <v>46015</v>
      </c>
      <c r="B2502">
        <v>5746.24</v>
      </c>
    </row>
    <row r="2503" spans="1:2">
      <c r="A2503" s="10">
        <v>46020</v>
      </c>
      <c r="B2503">
        <v>5751.71</v>
      </c>
    </row>
    <row r="2504" spans="1:2">
      <c r="A2504" s="10">
        <v>46021</v>
      </c>
      <c r="B2504">
        <v>5796.22</v>
      </c>
    </row>
    <row r="2505" spans="1:2">
      <c r="A2505" s="10">
        <v>46022</v>
      </c>
      <c r="B2505">
        <v>5791.41</v>
      </c>
    </row>
    <row r="2506" spans="1:2">
      <c r="A2506" s="10">
        <v>46024</v>
      </c>
      <c r="B2506">
        <v>5850.38</v>
      </c>
    </row>
    <row r="2507" spans="1:2">
      <c r="A2507" s="10">
        <v>46027</v>
      </c>
      <c r="B2507">
        <v>5923.69</v>
      </c>
    </row>
    <row r="2508" spans="1:2">
      <c r="A2508" s="10">
        <v>46028</v>
      </c>
      <c r="B2508">
        <v>5931.79</v>
      </c>
    </row>
    <row r="2509" spans="1:2">
      <c r="A2509" s="10">
        <v>46029</v>
      </c>
      <c r="B2509">
        <v>5923.57</v>
      </c>
    </row>
    <row r="2510" spans="1:2">
      <c r="A2510" s="10">
        <v>46030</v>
      </c>
      <c r="B2510">
        <v>5904.32</v>
      </c>
    </row>
    <row r="2511" spans="1:2">
      <c r="A2511" s="10">
        <v>46031</v>
      </c>
      <c r="B2511">
        <v>5997.47</v>
      </c>
    </row>
    <row r="2512" spans="1:2">
      <c r="A2512" s="10">
        <v>46034</v>
      </c>
      <c r="B2512">
        <v>6016.3</v>
      </c>
    </row>
    <row r="2513" spans="1:2">
      <c r="A2513" s="10">
        <v>46035</v>
      </c>
      <c r="B2513">
        <v>6029.83</v>
      </c>
    </row>
    <row r="2514" spans="1:2">
      <c r="A2514" s="10">
        <v>46036</v>
      </c>
      <c r="B2514">
        <v>6005.05</v>
      </c>
    </row>
    <row r="2515" spans="1:2">
      <c r="A2515" s="10">
        <v>46037</v>
      </c>
      <c r="B2515">
        <v>6041.14</v>
      </c>
    </row>
    <row r="2516" spans="1:2">
      <c r="A2516" s="10">
        <v>46038</v>
      </c>
      <c r="B2516">
        <v>6029.45</v>
      </c>
    </row>
    <row r="2517" spans="1:2">
      <c r="A2517" s="10">
        <v>46041</v>
      </c>
      <c r="B2517">
        <v>5925.82</v>
      </c>
    </row>
    <row r="2518" spans="1:2">
      <c r="A2518" s="10">
        <v>46042</v>
      </c>
      <c r="B2518">
        <v>5892.08</v>
      </c>
    </row>
    <row r="2519" spans="1:2">
      <c r="A2519" s="10">
        <v>46043</v>
      </c>
      <c r="B2519">
        <v>5882.88</v>
      </c>
    </row>
    <row r="2520" spans="1:2">
      <c r="A2520" s="10">
        <v>46044</v>
      </c>
      <c r="B2520">
        <v>5956.17</v>
      </c>
    </row>
    <row r="2521" spans="1:2">
      <c r="A2521" s="10">
        <v>46045</v>
      </c>
      <c r="B2521">
        <v>5948.2</v>
      </c>
    </row>
    <row r="2522" spans="1:2">
      <c r="A2522" s="10">
        <v>46048</v>
      </c>
      <c r="B2522">
        <v>5957.8</v>
      </c>
    </row>
    <row r="2523" spans="1:2">
      <c r="A2523" s="10">
        <v>46049</v>
      </c>
      <c r="B2523">
        <v>5994.59</v>
      </c>
    </row>
    <row r="2524" spans="1:2">
      <c r="A2524" s="10">
        <v>46050</v>
      </c>
      <c r="B2524">
        <v>5933.2</v>
      </c>
    </row>
    <row r="2525" spans="1:2">
      <c r="A2525" s="10">
        <v>46051</v>
      </c>
      <c r="B2525">
        <v>5891.95</v>
      </c>
    </row>
    <row r="2526" spans="1:2">
      <c r="A2526" s="10">
        <v>46052</v>
      </c>
      <c r="B2526">
        <v>5947.81</v>
      </c>
    </row>
    <row r="2527" spans="1:2">
      <c r="A2527" s="10">
        <v>46055</v>
      </c>
      <c r="B2527">
        <v>6007.51</v>
      </c>
    </row>
    <row r="2528" spans="1:2">
      <c r="A2528" s="10">
        <v>46056</v>
      </c>
      <c r="B2528">
        <v>5995.35</v>
      </c>
    </row>
    <row r="2529" spans="1:2">
      <c r="A2529" s="10">
        <v>46057</v>
      </c>
      <c r="B2529">
        <v>5970.47</v>
      </c>
    </row>
    <row r="2530" spans="1:2">
      <c r="A2530" s="10">
        <v>46058</v>
      </c>
      <c r="B2530">
        <v>5925.7</v>
      </c>
    </row>
    <row r="2531" spans="1:2">
      <c r="A2531" s="10">
        <v>46059</v>
      </c>
      <c r="B2531">
        <v>5998.4</v>
      </c>
    </row>
    <row r="2532" spans="1:2">
      <c r="A2532" s="10">
        <v>46062</v>
      </c>
      <c r="B2532">
        <v>6059.01</v>
      </c>
    </row>
    <row r="2533" spans="1:2">
      <c r="A2533" s="10">
        <v>46063</v>
      </c>
      <c r="B2533">
        <v>6047.06</v>
      </c>
    </row>
    <row r="2534" spans="1:2">
      <c r="A2534" s="10">
        <v>46064</v>
      </c>
      <c r="B2534">
        <v>6035.64</v>
      </c>
    </row>
    <row r="2535" spans="1:2">
      <c r="A2535" s="10">
        <v>46065</v>
      </c>
      <c r="B2535">
        <v>6011.29</v>
      </c>
    </row>
    <row r="2536" spans="1:2">
      <c r="A2536" s="10">
        <v>46066</v>
      </c>
      <c r="B2536">
        <v>5985.23</v>
      </c>
    </row>
    <row r="2537" spans="1:2">
      <c r="A2537" s="10">
        <v>46069</v>
      </c>
      <c r="B2537">
        <v>5978.88</v>
      </c>
    </row>
    <row r="2538" spans="1:2">
      <c r="A2538" s="10">
        <v>46070</v>
      </c>
      <c r="B2538">
        <v>6021.85</v>
      </c>
    </row>
    <row r="2539" spans="1:2">
      <c r="A2539" s="10">
        <v>46071</v>
      </c>
      <c r="B2539">
        <v>6103.37</v>
      </c>
    </row>
    <row r="2540" spans="1:2">
      <c r="A2540" s="10">
        <v>46072</v>
      </c>
      <c r="B2540">
        <v>6059.62</v>
      </c>
    </row>
    <row r="2541" spans="1:2">
      <c r="A2541" s="10">
        <v>46073</v>
      </c>
      <c r="B2541">
        <v>6131.31</v>
      </c>
    </row>
    <row r="2542" spans="1:2">
      <c r="A2542" s="10">
        <v>46076</v>
      </c>
      <c r="B2542">
        <v>6113.92</v>
      </c>
    </row>
    <row r="2543" spans="1:2">
      <c r="A2543" s="10">
        <v>46077</v>
      </c>
      <c r="B2543">
        <v>6116.6</v>
      </c>
    </row>
    <row r="2544" spans="1:2">
      <c r="A2544" s="10">
        <v>46078</v>
      </c>
      <c r="B2544">
        <v>6173.32</v>
      </c>
    </row>
    <row r="2545" spans="1:2">
      <c r="A2545" s="10">
        <v>46079</v>
      </c>
      <c r="B2545">
        <v>6161.56</v>
      </c>
    </row>
    <row r="2546" spans="1:2">
      <c r="A2546" s="10">
        <v>46080</v>
      </c>
      <c r="B2546">
        <v>6138.41</v>
      </c>
    </row>
    <row r="2547" spans="1:2">
      <c r="A2547" s="10">
        <v>46083</v>
      </c>
      <c r="B2547">
        <v>5992.17</v>
      </c>
    </row>
    <row r="2548" spans="1:2">
      <c r="A2548" s="10">
        <v>46084</v>
      </c>
      <c r="B2548">
        <v>5771.73</v>
      </c>
    </row>
    <row r="2549" spans="1:2">
      <c r="A2549" s="10">
        <v>46085</v>
      </c>
      <c r="B2549">
        <v>5870.92</v>
      </c>
    </row>
    <row r="2550" spans="1:2">
      <c r="A2550" s="10">
        <v>46086</v>
      </c>
      <c r="B2550">
        <v>5782.89</v>
      </c>
    </row>
    <row r="2551" spans="1:2">
      <c r="A2551" s="10">
        <v>46087</v>
      </c>
      <c r="B2551">
        <v>5719.9</v>
      </c>
    </row>
    <row r="2552" spans="1:2">
      <c r="A2552" s="10">
        <v>46090</v>
      </c>
      <c r="B2552">
        <v>5685.2</v>
      </c>
    </row>
    <row r="2553" spans="1:2">
      <c r="A2553" s="10">
        <v>46091</v>
      </c>
      <c r="B2553">
        <v>5837.17</v>
      </c>
    </row>
    <row r="2554" spans="1:2">
      <c r="A2554" s="10">
        <v>46092</v>
      </c>
      <c r="B2554">
        <v>5794.68</v>
      </c>
    </row>
    <row r="2555" spans="1:2">
      <c r="A2555" s="10">
        <v>46093</v>
      </c>
      <c r="B2555">
        <v>5748.89</v>
      </c>
    </row>
    <row r="2556" spans="1:2">
      <c r="A2556" s="10">
        <v>46094</v>
      </c>
      <c r="B2556">
        <v>5716.61</v>
      </c>
    </row>
    <row r="2557" spans="1:2">
      <c r="A2557" s="10">
        <v>46097</v>
      </c>
      <c r="B2557">
        <v>5739.01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DBFB-6FCC-4AF5-A53E-A1405C56A7C1}">
  <dimension ref="A1:B2596"/>
  <sheetViews>
    <sheetView workbookViewId="0">
      <selection activeCell="B1" sqref="B1"/>
    </sheetView>
  </sheetViews>
  <sheetFormatPr baseColWidth="10" defaultRowHeight="14.4"/>
  <sheetData>
    <row r="1" spans="1:2" ht="93">
      <c r="A1" s="96" t="s">
        <v>196</v>
      </c>
      <c r="B1" s="95" t="s">
        <v>197</v>
      </c>
    </row>
    <row r="2" spans="1:2">
      <c r="A2" s="98">
        <v>42429</v>
      </c>
      <c r="B2" s="97">
        <v>1376.21</v>
      </c>
    </row>
    <row r="3" spans="1:2">
      <c r="A3" s="98">
        <v>42430</v>
      </c>
      <c r="B3" s="97">
        <v>1409.58</v>
      </c>
    </row>
    <row r="4" spans="1:2">
      <c r="A4" s="98">
        <v>42431</v>
      </c>
      <c r="B4" s="97">
        <v>1424.59</v>
      </c>
    </row>
    <row r="5" spans="1:2">
      <c r="A5" s="98">
        <v>42432</v>
      </c>
      <c r="B5" s="97">
        <v>1421.95</v>
      </c>
    </row>
    <row r="6" spans="1:2">
      <c r="A6" s="98">
        <v>42433</v>
      </c>
      <c r="B6" s="97">
        <v>1424.04</v>
      </c>
    </row>
    <row r="7" spans="1:2">
      <c r="A7" s="98">
        <v>42436</v>
      </c>
      <c r="B7" s="97">
        <v>1418.35</v>
      </c>
    </row>
    <row r="8" spans="1:2">
      <c r="A8" s="98">
        <v>42437</v>
      </c>
      <c r="B8" s="97">
        <v>1403.65</v>
      </c>
    </row>
    <row r="9" spans="1:2">
      <c r="A9" s="98">
        <v>42438</v>
      </c>
      <c r="B9" s="97">
        <v>1409.42</v>
      </c>
    </row>
    <row r="10" spans="1:2">
      <c r="A10" s="98">
        <v>42439</v>
      </c>
      <c r="B10" s="97">
        <v>1396.91</v>
      </c>
    </row>
    <row r="11" spans="1:2">
      <c r="A11" s="98">
        <v>42440</v>
      </c>
      <c r="B11" s="97">
        <v>1443.44</v>
      </c>
    </row>
    <row r="12" spans="1:2">
      <c r="A12" s="98">
        <v>42443</v>
      </c>
      <c r="B12" s="97">
        <v>1451.32</v>
      </c>
    </row>
    <row r="13" spans="1:2">
      <c r="A13" s="98">
        <v>42444</v>
      </c>
      <c r="B13" s="97">
        <v>1437.85</v>
      </c>
    </row>
    <row r="14" spans="1:2">
      <c r="A14" s="98">
        <v>42445</v>
      </c>
      <c r="B14" s="97">
        <v>1440.12</v>
      </c>
    </row>
    <row r="15" spans="1:2">
      <c r="A15" s="98">
        <v>42446</v>
      </c>
      <c r="B15" s="97">
        <v>1421.52</v>
      </c>
    </row>
    <row r="16" spans="1:2">
      <c r="A16" s="98">
        <v>42447</v>
      </c>
      <c r="B16" s="97">
        <v>1429.18</v>
      </c>
    </row>
    <row r="17" spans="1:2">
      <c r="A17" s="98">
        <v>42450</v>
      </c>
      <c r="B17" s="97">
        <v>1429.43</v>
      </c>
    </row>
    <row r="18" spans="1:2">
      <c r="A18" s="98">
        <v>42451</v>
      </c>
      <c r="B18" s="97">
        <v>1431.9</v>
      </c>
    </row>
    <row r="19" spans="1:2">
      <c r="A19" s="98">
        <v>42452</v>
      </c>
      <c r="B19" s="97">
        <v>1423.52</v>
      </c>
    </row>
    <row r="20" spans="1:2">
      <c r="A20" s="98">
        <v>42453</v>
      </c>
      <c r="B20" s="97">
        <v>1404.57</v>
      </c>
    </row>
    <row r="21" spans="1:2">
      <c r="A21" s="98">
        <v>42457</v>
      </c>
      <c r="B21" s="97">
        <v>1401.88</v>
      </c>
    </row>
    <row r="22" spans="1:2">
      <c r="A22" s="98">
        <v>42458</v>
      </c>
      <c r="B22" s="97">
        <v>1410.79</v>
      </c>
    </row>
    <row r="23" spans="1:2">
      <c r="A23" s="98">
        <v>42459</v>
      </c>
      <c r="B23" s="97">
        <v>1414.51</v>
      </c>
    </row>
    <row r="24" spans="1:2">
      <c r="A24" s="98">
        <v>42460</v>
      </c>
      <c r="B24" s="97">
        <v>1403.16</v>
      </c>
    </row>
    <row r="25" spans="1:2">
      <c r="A25" s="98">
        <v>42461</v>
      </c>
      <c r="B25" s="97">
        <v>1392.95</v>
      </c>
    </row>
    <row r="26" spans="1:2">
      <c r="A26" s="98">
        <v>42464</v>
      </c>
      <c r="B26" s="97">
        <v>1390.68</v>
      </c>
    </row>
    <row r="27" spans="1:2">
      <c r="A27" s="98">
        <v>42465</v>
      </c>
      <c r="B27" s="97">
        <v>1362.44</v>
      </c>
    </row>
    <row r="28" spans="1:2">
      <c r="A28" s="98">
        <v>42466</v>
      </c>
      <c r="B28" s="97">
        <v>1374.34</v>
      </c>
    </row>
    <row r="29" spans="1:2">
      <c r="A29" s="98">
        <v>42467</v>
      </c>
      <c r="B29" s="97">
        <v>1352.84</v>
      </c>
    </row>
    <row r="30" spans="1:2">
      <c r="A30" s="98">
        <v>42468</v>
      </c>
      <c r="B30" s="97">
        <v>1366.04</v>
      </c>
    </row>
    <row r="31" spans="1:2">
      <c r="A31" s="98">
        <v>42471</v>
      </c>
      <c r="B31" s="97">
        <v>1371.76</v>
      </c>
    </row>
    <row r="32" spans="1:2">
      <c r="A32" s="98">
        <v>42472</v>
      </c>
      <c r="B32" s="97">
        <v>1380.28</v>
      </c>
    </row>
    <row r="33" spans="1:2">
      <c r="A33" s="98">
        <v>42473</v>
      </c>
      <c r="B33" s="97">
        <v>1421.54</v>
      </c>
    </row>
    <row r="34" spans="1:2">
      <c r="A34" s="98">
        <v>42474</v>
      </c>
      <c r="B34" s="97">
        <v>1428.43</v>
      </c>
    </row>
    <row r="35" spans="1:2">
      <c r="A35" s="98">
        <v>42475</v>
      </c>
      <c r="B35" s="97">
        <v>1424.12</v>
      </c>
    </row>
    <row r="36" spans="1:2">
      <c r="A36" s="98">
        <v>42478</v>
      </c>
      <c r="B36" s="97">
        <v>1430.81</v>
      </c>
    </row>
    <row r="37" spans="1:2">
      <c r="A37" s="98">
        <v>42479</v>
      </c>
      <c r="B37" s="97">
        <v>1440.75</v>
      </c>
    </row>
    <row r="38" spans="1:2">
      <c r="A38" s="98">
        <v>42480</v>
      </c>
      <c r="B38" s="97">
        <v>1457.17</v>
      </c>
    </row>
    <row r="39" spans="1:2">
      <c r="A39" s="98">
        <v>42481</v>
      </c>
      <c r="B39" s="97">
        <v>1465.57</v>
      </c>
    </row>
    <row r="40" spans="1:2">
      <c r="A40" s="98">
        <v>42482</v>
      </c>
      <c r="B40" s="97">
        <v>1462.52</v>
      </c>
    </row>
    <row r="41" spans="1:2">
      <c r="A41" s="98">
        <v>42485</v>
      </c>
      <c r="B41" s="97">
        <v>1446.74</v>
      </c>
    </row>
    <row r="42" spans="1:2">
      <c r="A42" s="98">
        <v>42486</v>
      </c>
      <c r="B42" s="97">
        <v>1453.27</v>
      </c>
    </row>
    <row r="43" spans="1:2">
      <c r="A43" s="98">
        <v>42487</v>
      </c>
      <c r="B43" s="97">
        <v>1456.74</v>
      </c>
    </row>
    <row r="44" spans="1:2">
      <c r="A44" s="98">
        <v>42488</v>
      </c>
      <c r="B44" s="97">
        <v>1453.16</v>
      </c>
    </row>
    <row r="45" spans="1:2">
      <c r="A45" s="98">
        <v>42489</v>
      </c>
      <c r="B45" s="97">
        <v>1416.13</v>
      </c>
    </row>
    <row r="46" spans="1:2">
      <c r="A46" s="98">
        <v>42492</v>
      </c>
      <c r="B46" s="97">
        <v>1421.12</v>
      </c>
    </row>
    <row r="47" spans="1:2">
      <c r="A47" s="98">
        <v>42493</v>
      </c>
      <c r="B47" s="97">
        <v>1400.52</v>
      </c>
    </row>
    <row r="48" spans="1:2">
      <c r="A48" s="98">
        <v>42494</v>
      </c>
      <c r="B48" s="97">
        <v>1390.4</v>
      </c>
    </row>
    <row r="49" spans="1:2">
      <c r="A49" s="98">
        <v>42495</v>
      </c>
      <c r="B49" s="97">
        <v>1393.8</v>
      </c>
    </row>
    <row r="50" spans="1:2">
      <c r="A50" s="98">
        <v>42496</v>
      </c>
      <c r="B50" s="97">
        <v>1392.04</v>
      </c>
    </row>
    <row r="51" spans="1:2">
      <c r="A51" s="98">
        <v>42499</v>
      </c>
      <c r="B51" s="97">
        <v>1401.35</v>
      </c>
    </row>
    <row r="52" spans="1:2">
      <c r="A52" s="98">
        <v>42500</v>
      </c>
      <c r="B52" s="97">
        <v>1414.05</v>
      </c>
    </row>
    <row r="53" spans="1:2">
      <c r="A53" s="98">
        <v>42501</v>
      </c>
      <c r="B53" s="97">
        <v>1397.5</v>
      </c>
    </row>
    <row r="54" spans="1:2">
      <c r="A54" s="98">
        <v>42502</v>
      </c>
      <c r="B54" s="97">
        <v>1391.42</v>
      </c>
    </row>
    <row r="55" spans="1:2">
      <c r="A55" s="98">
        <v>42503</v>
      </c>
      <c r="B55" s="97">
        <v>1396.68</v>
      </c>
    </row>
    <row r="56" spans="1:2">
      <c r="A56" s="98">
        <v>42506</v>
      </c>
      <c r="B56" s="97">
        <v>1396.08</v>
      </c>
    </row>
    <row r="57" spans="1:2">
      <c r="A57" s="98">
        <v>42507</v>
      </c>
      <c r="B57" s="97">
        <v>1387.26</v>
      </c>
    </row>
    <row r="58" spans="1:2">
      <c r="A58" s="98">
        <v>42508</v>
      </c>
      <c r="B58" s="97">
        <v>1397.32</v>
      </c>
    </row>
    <row r="59" spans="1:2">
      <c r="A59" s="98">
        <v>42509</v>
      </c>
      <c r="B59" s="97">
        <v>1393.09</v>
      </c>
    </row>
    <row r="60" spans="1:2">
      <c r="A60" s="98">
        <v>42510</v>
      </c>
      <c r="B60" s="97">
        <v>1408.33</v>
      </c>
    </row>
    <row r="61" spans="1:2">
      <c r="A61" s="98">
        <v>42513</v>
      </c>
      <c r="B61" s="97">
        <v>1401.93</v>
      </c>
    </row>
    <row r="62" spans="1:2">
      <c r="A62" s="98">
        <v>42514</v>
      </c>
      <c r="B62" s="97">
        <v>1430.37</v>
      </c>
    </row>
    <row r="63" spans="1:2">
      <c r="A63" s="98">
        <v>42515</v>
      </c>
      <c r="B63" s="97">
        <v>1444.86</v>
      </c>
    </row>
    <row r="64" spans="1:2">
      <c r="A64" s="98">
        <v>42516</v>
      </c>
      <c r="B64" s="97">
        <v>1448.96</v>
      </c>
    </row>
    <row r="65" spans="1:2">
      <c r="A65" s="98">
        <v>42517</v>
      </c>
      <c r="B65" s="97">
        <v>1458.56</v>
      </c>
    </row>
    <row r="66" spans="1:2">
      <c r="A66" s="98">
        <v>42520</v>
      </c>
      <c r="B66" s="97">
        <v>1461.04</v>
      </c>
    </row>
    <row r="67" spans="1:2">
      <c r="A67" s="98">
        <v>42521</v>
      </c>
      <c r="B67" s="97">
        <v>1452.48</v>
      </c>
    </row>
    <row r="68" spans="1:2">
      <c r="A68" s="98">
        <v>42522</v>
      </c>
      <c r="B68" s="97">
        <v>1445.32</v>
      </c>
    </row>
    <row r="69" spans="1:2">
      <c r="A69" s="98">
        <v>42523</v>
      </c>
      <c r="B69" s="97">
        <v>1449.25</v>
      </c>
    </row>
    <row r="70" spans="1:2">
      <c r="A70" s="98">
        <v>42524</v>
      </c>
      <c r="B70" s="97">
        <v>1427.96</v>
      </c>
    </row>
    <row r="71" spans="1:2">
      <c r="A71" s="98">
        <v>42527</v>
      </c>
      <c r="B71" s="97">
        <v>1428.93</v>
      </c>
    </row>
    <row r="72" spans="1:2">
      <c r="A72" s="98">
        <v>42528</v>
      </c>
      <c r="B72" s="97">
        <v>1438.79</v>
      </c>
    </row>
    <row r="73" spans="1:2">
      <c r="A73" s="98">
        <v>42529</v>
      </c>
      <c r="B73" s="97">
        <v>1430</v>
      </c>
    </row>
    <row r="74" spans="1:2">
      <c r="A74" s="98">
        <v>42530</v>
      </c>
      <c r="B74" s="97">
        <v>1421.04</v>
      </c>
    </row>
    <row r="75" spans="1:2">
      <c r="A75" s="98">
        <v>42531</v>
      </c>
      <c r="B75" s="97">
        <v>1393.26</v>
      </c>
    </row>
    <row r="76" spans="1:2">
      <c r="A76" s="98">
        <v>42534</v>
      </c>
      <c r="B76" s="97">
        <v>1368.93</v>
      </c>
    </row>
    <row r="77" spans="1:2">
      <c r="A77" s="98">
        <v>42535</v>
      </c>
      <c r="B77" s="97">
        <v>1352.08</v>
      </c>
    </row>
    <row r="78" spans="1:2">
      <c r="A78" s="98">
        <v>42536</v>
      </c>
      <c r="B78" s="97">
        <v>1357.54</v>
      </c>
    </row>
    <row r="79" spans="1:2">
      <c r="A79" s="98">
        <v>42537</v>
      </c>
      <c r="B79" s="97">
        <v>1355.4</v>
      </c>
    </row>
    <row r="80" spans="1:2">
      <c r="A80" s="98">
        <v>42538</v>
      </c>
      <c r="B80" s="97">
        <v>1362.17</v>
      </c>
    </row>
    <row r="81" spans="1:2">
      <c r="A81" s="98">
        <v>42541</v>
      </c>
      <c r="B81" s="97">
        <v>1392.45</v>
      </c>
    </row>
    <row r="82" spans="1:2">
      <c r="A82" s="98">
        <v>42542</v>
      </c>
      <c r="B82" s="97">
        <v>1401.96</v>
      </c>
    </row>
    <row r="83" spans="1:2">
      <c r="A83" s="98">
        <v>42543</v>
      </c>
      <c r="B83" s="97">
        <v>1406.01</v>
      </c>
    </row>
    <row r="84" spans="1:2">
      <c r="A84" s="98">
        <v>42544</v>
      </c>
      <c r="B84" s="97">
        <v>1429.77</v>
      </c>
    </row>
    <row r="85" spans="1:2">
      <c r="A85" s="98">
        <v>42545</v>
      </c>
      <c r="B85" s="97">
        <v>1341.15</v>
      </c>
    </row>
    <row r="86" spans="1:2">
      <c r="A86" s="98">
        <v>42548</v>
      </c>
      <c r="B86" s="97">
        <v>1309.6300000000001</v>
      </c>
    </row>
    <row r="87" spans="1:2">
      <c r="A87" s="98">
        <v>42549</v>
      </c>
      <c r="B87" s="97">
        <v>1335.8</v>
      </c>
    </row>
    <row r="88" spans="1:2">
      <c r="A88" s="98">
        <v>42550</v>
      </c>
      <c r="B88" s="97">
        <v>1364.37</v>
      </c>
    </row>
    <row r="89" spans="1:2">
      <c r="A89" s="98">
        <v>42551</v>
      </c>
      <c r="B89" s="97">
        <v>1377.42</v>
      </c>
    </row>
    <row r="90" spans="1:2">
      <c r="A90" s="98">
        <v>42552</v>
      </c>
      <c r="B90" s="97">
        <v>1385.16</v>
      </c>
    </row>
    <row r="91" spans="1:2">
      <c r="A91" s="98">
        <v>42555</v>
      </c>
      <c r="B91" s="97">
        <v>1376.32</v>
      </c>
    </row>
    <row r="92" spans="1:2">
      <c r="A92" s="98">
        <v>42556</v>
      </c>
      <c r="B92" s="97">
        <v>1359.88</v>
      </c>
    </row>
    <row r="93" spans="1:2">
      <c r="A93" s="98">
        <v>42557</v>
      </c>
      <c r="B93" s="97">
        <v>1346.81</v>
      </c>
    </row>
    <row r="94" spans="1:2">
      <c r="A94" s="98">
        <v>42558</v>
      </c>
      <c r="B94" s="97">
        <v>1352.28</v>
      </c>
    </row>
    <row r="95" spans="1:2">
      <c r="A95" s="98">
        <v>42559</v>
      </c>
      <c r="B95" s="97">
        <v>1379.85</v>
      </c>
    </row>
    <row r="96" spans="1:2">
      <c r="A96" s="98">
        <v>42562</v>
      </c>
      <c r="B96" s="97">
        <v>1397.78</v>
      </c>
    </row>
    <row r="97" spans="1:2">
      <c r="A97" s="98">
        <v>42563</v>
      </c>
      <c r="B97" s="97">
        <v>1415.76</v>
      </c>
    </row>
    <row r="98" spans="1:2">
      <c r="A98" s="98">
        <v>42564</v>
      </c>
      <c r="B98" s="97">
        <v>1410.7</v>
      </c>
    </row>
    <row r="99" spans="1:2">
      <c r="A99" s="98">
        <v>42565</v>
      </c>
      <c r="B99" s="97">
        <v>1421.33</v>
      </c>
    </row>
    <row r="100" spans="1:2">
      <c r="A100" s="98">
        <v>42566</v>
      </c>
      <c r="B100" s="97">
        <v>1419.8</v>
      </c>
    </row>
    <row r="101" spans="1:2">
      <c r="A101" s="98">
        <v>42569</v>
      </c>
      <c r="B101" s="97">
        <v>1422.86</v>
      </c>
    </row>
    <row r="102" spans="1:2">
      <c r="A102" s="98">
        <v>42570</v>
      </c>
      <c r="B102" s="97">
        <v>1421.78</v>
      </c>
    </row>
    <row r="103" spans="1:2">
      <c r="A103" s="98">
        <v>42571</v>
      </c>
      <c r="B103" s="97">
        <v>1438.59</v>
      </c>
    </row>
    <row r="104" spans="1:2">
      <c r="A104" s="98">
        <v>42572</v>
      </c>
      <c r="B104" s="97">
        <v>1437.15</v>
      </c>
    </row>
    <row r="105" spans="1:2">
      <c r="A105" s="98">
        <v>42573</v>
      </c>
      <c r="B105" s="97">
        <v>1441.84</v>
      </c>
    </row>
    <row r="106" spans="1:2">
      <c r="A106" s="98">
        <v>42576</v>
      </c>
      <c r="B106" s="97">
        <v>1445.05</v>
      </c>
    </row>
    <row r="107" spans="1:2">
      <c r="A107" s="98">
        <v>42577</v>
      </c>
      <c r="B107" s="97">
        <v>1441.28</v>
      </c>
    </row>
    <row r="108" spans="1:2">
      <c r="A108" s="98">
        <v>42578</v>
      </c>
      <c r="B108" s="97">
        <v>1448.09</v>
      </c>
    </row>
    <row r="109" spans="1:2">
      <c r="A109" s="98">
        <v>42579</v>
      </c>
      <c r="B109" s="97">
        <v>1436.04</v>
      </c>
    </row>
    <row r="110" spans="1:2">
      <c r="A110" s="98">
        <v>42580</v>
      </c>
      <c r="B110" s="97">
        <v>1444</v>
      </c>
    </row>
    <row r="111" spans="1:2">
      <c r="A111" s="98">
        <v>42583</v>
      </c>
      <c r="B111" s="97">
        <v>1442.15</v>
      </c>
    </row>
    <row r="112" spans="1:2">
      <c r="A112" s="98">
        <v>42584</v>
      </c>
      <c r="B112" s="97">
        <v>1419.18</v>
      </c>
    </row>
    <row r="113" spans="1:2">
      <c r="A113" s="98">
        <v>42585</v>
      </c>
      <c r="B113" s="97">
        <v>1422.25</v>
      </c>
    </row>
    <row r="114" spans="1:2">
      <c r="A114" s="98">
        <v>42586</v>
      </c>
      <c r="B114" s="97">
        <v>1430.92</v>
      </c>
    </row>
    <row r="115" spans="1:2">
      <c r="A115" s="98">
        <v>42587</v>
      </c>
      <c r="B115" s="97">
        <v>1448.84</v>
      </c>
    </row>
    <row r="116" spans="1:2">
      <c r="A116" s="98">
        <v>42590</v>
      </c>
      <c r="B116" s="97">
        <v>1451.25</v>
      </c>
    </row>
    <row r="117" spans="1:2">
      <c r="A117" s="98">
        <v>42591</v>
      </c>
      <c r="B117" s="97">
        <v>1466.42</v>
      </c>
    </row>
    <row r="118" spans="1:2">
      <c r="A118" s="98">
        <v>42592</v>
      </c>
      <c r="B118" s="97">
        <v>1463.14</v>
      </c>
    </row>
    <row r="119" spans="1:2">
      <c r="A119" s="98">
        <v>42593</v>
      </c>
      <c r="B119" s="97">
        <v>1475.39</v>
      </c>
    </row>
    <row r="120" spans="1:2">
      <c r="A120" s="98">
        <v>42594</v>
      </c>
      <c r="B120" s="97">
        <v>1472.35</v>
      </c>
    </row>
    <row r="121" spans="1:2">
      <c r="A121" s="98">
        <v>42597</v>
      </c>
      <c r="B121" s="97">
        <v>1472.53</v>
      </c>
    </row>
    <row r="122" spans="1:2">
      <c r="A122" s="98">
        <v>42598</v>
      </c>
      <c r="B122" s="97">
        <v>1457.75</v>
      </c>
    </row>
    <row r="123" spans="1:2">
      <c r="A123" s="98">
        <v>42599</v>
      </c>
      <c r="B123" s="97">
        <v>1448.19</v>
      </c>
    </row>
    <row r="124" spans="1:2">
      <c r="A124" s="98">
        <v>42600</v>
      </c>
      <c r="B124" s="97">
        <v>1452.14</v>
      </c>
    </row>
    <row r="125" spans="1:2">
      <c r="A125" s="98">
        <v>42601</v>
      </c>
      <c r="B125" s="97">
        <v>1443.13</v>
      </c>
    </row>
    <row r="126" spans="1:2">
      <c r="A126" s="98">
        <v>42604</v>
      </c>
      <c r="B126" s="97">
        <v>1441.6</v>
      </c>
    </row>
    <row r="127" spans="1:2">
      <c r="A127" s="98">
        <v>42605</v>
      </c>
      <c r="B127" s="97">
        <v>1455.97</v>
      </c>
    </row>
    <row r="128" spans="1:2">
      <c r="A128" s="98">
        <v>42606</v>
      </c>
      <c r="B128" s="97">
        <v>1460.29</v>
      </c>
    </row>
    <row r="129" spans="1:2">
      <c r="A129" s="98">
        <v>42607</v>
      </c>
      <c r="B129" s="97">
        <v>1450.47</v>
      </c>
    </row>
    <row r="130" spans="1:2">
      <c r="A130" s="98">
        <v>42608</v>
      </c>
      <c r="B130" s="97">
        <v>1455.76</v>
      </c>
    </row>
    <row r="131" spans="1:2">
      <c r="A131" s="98">
        <v>42611</v>
      </c>
      <c r="B131" s="97">
        <v>1456.06</v>
      </c>
    </row>
    <row r="132" spans="1:2">
      <c r="A132" s="98">
        <v>42612</v>
      </c>
      <c r="B132" s="97">
        <v>1466.37</v>
      </c>
    </row>
    <row r="133" spans="1:2">
      <c r="A133" s="98">
        <v>42613</v>
      </c>
      <c r="B133" s="97">
        <v>1468.07</v>
      </c>
    </row>
    <row r="134" spans="1:2">
      <c r="A134" s="98">
        <v>42614</v>
      </c>
      <c r="B134" s="97">
        <v>1465.1</v>
      </c>
    </row>
    <row r="135" spans="1:2">
      <c r="A135" s="98">
        <v>42615</v>
      </c>
      <c r="B135" s="97">
        <v>1483.47</v>
      </c>
    </row>
    <row r="136" spans="1:2">
      <c r="A136" s="98">
        <v>42618</v>
      </c>
      <c r="B136" s="97">
        <v>1483.24</v>
      </c>
    </row>
    <row r="137" spans="1:2">
      <c r="A137" s="98">
        <v>42619</v>
      </c>
      <c r="B137" s="97">
        <v>1472.47</v>
      </c>
    </row>
    <row r="138" spans="1:2">
      <c r="A138" s="98">
        <v>42620</v>
      </c>
      <c r="B138" s="97">
        <v>1478.6</v>
      </c>
    </row>
    <row r="139" spans="1:2">
      <c r="A139" s="98">
        <v>42621</v>
      </c>
      <c r="B139" s="97">
        <v>1474.82</v>
      </c>
    </row>
    <row r="140" spans="1:2">
      <c r="A140" s="98">
        <v>42622</v>
      </c>
      <c r="B140" s="97">
        <v>1460.5</v>
      </c>
    </row>
    <row r="141" spans="1:2">
      <c r="A141" s="98">
        <v>42625</v>
      </c>
      <c r="B141" s="97">
        <v>1452.05</v>
      </c>
    </row>
    <row r="142" spans="1:2">
      <c r="A142" s="98">
        <v>42626</v>
      </c>
      <c r="B142" s="97">
        <v>1434.49</v>
      </c>
    </row>
    <row r="143" spans="1:2">
      <c r="A143" s="98">
        <v>42627</v>
      </c>
      <c r="B143" s="97">
        <v>1430.17</v>
      </c>
    </row>
    <row r="144" spans="1:2">
      <c r="A144" s="98">
        <v>42628</v>
      </c>
      <c r="B144" s="97">
        <v>1440.27</v>
      </c>
    </row>
    <row r="145" spans="1:2">
      <c r="A145" s="98">
        <v>42629</v>
      </c>
      <c r="B145" s="97">
        <v>1428.84</v>
      </c>
    </row>
    <row r="146" spans="1:2">
      <c r="A146" s="98">
        <v>42632</v>
      </c>
      <c r="B146" s="97">
        <v>1437.96</v>
      </c>
    </row>
    <row r="147" spans="1:2">
      <c r="A147" s="98">
        <v>42633</v>
      </c>
      <c r="B147" s="97">
        <v>1439.92</v>
      </c>
    </row>
    <row r="148" spans="1:2">
      <c r="A148" s="98">
        <v>42634</v>
      </c>
      <c r="B148" s="97">
        <v>1451.81</v>
      </c>
    </row>
    <row r="149" spans="1:2">
      <c r="A149" s="98">
        <v>42635</v>
      </c>
      <c r="B149" s="97">
        <v>1472.25</v>
      </c>
    </row>
    <row r="150" spans="1:2">
      <c r="A150" s="98">
        <v>42636</v>
      </c>
      <c r="B150" s="97">
        <v>1465.43</v>
      </c>
    </row>
    <row r="151" spans="1:2">
      <c r="A151" s="98">
        <v>42639</v>
      </c>
      <c r="B151" s="97">
        <v>1438.22</v>
      </c>
    </row>
    <row r="152" spans="1:2">
      <c r="A152" s="98">
        <v>42640</v>
      </c>
      <c r="B152" s="97">
        <v>1442.16</v>
      </c>
    </row>
    <row r="153" spans="1:2">
      <c r="A153" s="98">
        <v>42641</v>
      </c>
      <c r="B153" s="97">
        <v>1447.52</v>
      </c>
    </row>
    <row r="154" spans="1:2">
      <c r="A154" s="98">
        <v>42642</v>
      </c>
      <c r="B154" s="97">
        <v>1437.09</v>
      </c>
    </row>
    <row r="155" spans="1:2">
      <c r="A155" s="98">
        <v>42643</v>
      </c>
      <c r="B155" s="97">
        <v>1445.99</v>
      </c>
    </row>
    <row r="156" spans="1:2">
      <c r="A156" s="98">
        <v>42646</v>
      </c>
      <c r="B156" s="97">
        <v>1443.34</v>
      </c>
    </row>
    <row r="157" spans="1:2">
      <c r="A157" s="98">
        <v>42647</v>
      </c>
      <c r="B157" s="97">
        <v>1452.8</v>
      </c>
    </row>
    <row r="158" spans="1:2">
      <c r="A158" s="98">
        <v>42648</v>
      </c>
      <c r="B158" s="97">
        <v>1450.28</v>
      </c>
    </row>
    <row r="159" spans="1:2">
      <c r="A159" s="98">
        <v>42649</v>
      </c>
      <c r="B159" s="97">
        <v>1450.47</v>
      </c>
    </row>
    <row r="160" spans="1:2">
      <c r="A160" s="98">
        <v>42650</v>
      </c>
      <c r="B160" s="97">
        <v>1440.47</v>
      </c>
    </row>
    <row r="161" spans="1:2">
      <c r="A161" s="98">
        <v>42653</v>
      </c>
      <c r="B161" s="97">
        <v>1451.71</v>
      </c>
    </row>
    <row r="162" spans="1:2">
      <c r="A162" s="98">
        <v>42654</v>
      </c>
      <c r="B162" s="97">
        <v>1442.93</v>
      </c>
    </row>
    <row r="163" spans="1:2">
      <c r="A163" s="98">
        <v>42655</v>
      </c>
      <c r="B163" s="97">
        <v>1442.25</v>
      </c>
    </row>
    <row r="164" spans="1:2">
      <c r="A164" s="98">
        <v>42656</v>
      </c>
      <c r="B164" s="97">
        <v>1428.76</v>
      </c>
    </row>
    <row r="165" spans="1:2">
      <c r="A165" s="98">
        <v>42657</v>
      </c>
      <c r="B165" s="97">
        <v>1445.33</v>
      </c>
    </row>
    <row r="166" spans="1:2">
      <c r="A166" s="98">
        <v>42660</v>
      </c>
      <c r="B166" s="97">
        <v>1441.43</v>
      </c>
    </row>
    <row r="167" spans="1:2">
      <c r="A167" s="98">
        <v>42661</v>
      </c>
      <c r="B167" s="97">
        <v>1461.75</v>
      </c>
    </row>
    <row r="168" spans="1:2">
      <c r="A168" s="98">
        <v>42662</v>
      </c>
      <c r="B168" s="97">
        <v>1465.22</v>
      </c>
    </row>
    <row r="169" spans="1:2">
      <c r="A169" s="98">
        <v>42663</v>
      </c>
      <c r="B169" s="97">
        <v>1474.62</v>
      </c>
    </row>
    <row r="170" spans="1:2">
      <c r="A170" s="98">
        <v>42664</v>
      </c>
      <c r="B170" s="97">
        <v>1478.75</v>
      </c>
    </row>
    <row r="171" spans="1:2">
      <c r="A171" s="98">
        <v>42667</v>
      </c>
      <c r="B171" s="97">
        <v>1488.1</v>
      </c>
    </row>
    <row r="172" spans="1:2">
      <c r="A172" s="98">
        <v>42668</v>
      </c>
      <c r="B172" s="97">
        <v>1485.33</v>
      </c>
    </row>
    <row r="173" spans="1:2">
      <c r="A173" s="98">
        <v>42669</v>
      </c>
      <c r="B173" s="97">
        <v>1482.78</v>
      </c>
    </row>
    <row r="174" spans="1:2">
      <c r="A174" s="98">
        <v>42670</v>
      </c>
      <c r="B174" s="97">
        <v>1484.25</v>
      </c>
    </row>
    <row r="175" spans="1:2">
      <c r="A175" s="98">
        <v>42671</v>
      </c>
      <c r="B175" s="97">
        <v>1478.66</v>
      </c>
    </row>
    <row r="176" spans="1:2">
      <c r="A176" s="98">
        <v>42674</v>
      </c>
      <c r="B176" s="97">
        <v>1469.96</v>
      </c>
    </row>
    <row r="177" spans="1:2">
      <c r="A177" s="98">
        <v>42675</v>
      </c>
      <c r="B177" s="97">
        <v>1451.42</v>
      </c>
    </row>
    <row r="178" spans="1:2">
      <c r="A178" s="98">
        <v>42676</v>
      </c>
      <c r="B178" s="97">
        <v>1431.73</v>
      </c>
    </row>
    <row r="179" spans="1:2">
      <c r="A179" s="98">
        <v>42677</v>
      </c>
      <c r="B179" s="97">
        <v>1427.47</v>
      </c>
    </row>
    <row r="180" spans="1:2">
      <c r="A180" s="98">
        <v>42678</v>
      </c>
      <c r="B180" s="97">
        <v>1419.21</v>
      </c>
    </row>
    <row r="181" spans="1:2">
      <c r="A181" s="98">
        <v>42681</v>
      </c>
      <c r="B181" s="97">
        <v>1452.66</v>
      </c>
    </row>
    <row r="182" spans="1:2">
      <c r="A182" s="98">
        <v>42682</v>
      </c>
      <c r="B182" s="97">
        <v>1453.73</v>
      </c>
    </row>
    <row r="183" spans="1:2">
      <c r="A183" s="98">
        <v>42683</v>
      </c>
      <c r="B183" s="97">
        <v>1476.78</v>
      </c>
    </row>
    <row r="184" spans="1:2">
      <c r="A184" s="98">
        <v>42684</v>
      </c>
      <c r="B184" s="97">
        <v>1478.94</v>
      </c>
    </row>
    <row r="185" spans="1:2">
      <c r="A185" s="98">
        <v>42685</v>
      </c>
      <c r="B185" s="97">
        <v>1477.67</v>
      </c>
    </row>
    <row r="186" spans="1:2">
      <c r="A186" s="98">
        <v>42688</v>
      </c>
      <c r="B186" s="97">
        <v>1488.31</v>
      </c>
    </row>
    <row r="187" spans="1:2">
      <c r="A187" s="98">
        <v>42689</v>
      </c>
      <c r="B187" s="97">
        <v>1492.94</v>
      </c>
    </row>
    <row r="188" spans="1:2">
      <c r="A188" s="98">
        <v>42690</v>
      </c>
      <c r="B188" s="97">
        <v>1490.19</v>
      </c>
    </row>
    <row r="189" spans="1:2">
      <c r="A189" s="98">
        <v>42691</v>
      </c>
      <c r="B189" s="97">
        <v>1494.41</v>
      </c>
    </row>
    <row r="190" spans="1:2">
      <c r="A190" s="98">
        <v>42692</v>
      </c>
      <c r="B190" s="97">
        <v>1491.67</v>
      </c>
    </row>
    <row r="191" spans="1:2">
      <c r="A191" s="98">
        <v>42695</v>
      </c>
      <c r="B191" s="97">
        <v>1492.56</v>
      </c>
    </row>
    <row r="192" spans="1:2">
      <c r="A192" s="98">
        <v>42696</v>
      </c>
      <c r="B192" s="97">
        <v>1499.17</v>
      </c>
    </row>
    <row r="193" spans="1:2">
      <c r="A193" s="98">
        <v>42697</v>
      </c>
      <c r="B193" s="97">
        <v>1502.15</v>
      </c>
    </row>
    <row r="194" spans="1:2">
      <c r="A194" s="98">
        <v>42698</v>
      </c>
      <c r="B194" s="97">
        <v>1502.29</v>
      </c>
    </row>
    <row r="195" spans="1:2">
      <c r="A195" s="98">
        <v>42699</v>
      </c>
      <c r="B195" s="97">
        <v>1504.1</v>
      </c>
    </row>
    <row r="196" spans="1:2">
      <c r="A196" s="98">
        <v>42702</v>
      </c>
      <c r="B196" s="97">
        <v>1489.54</v>
      </c>
    </row>
    <row r="197" spans="1:2">
      <c r="A197" s="98">
        <v>42703</v>
      </c>
      <c r="B197" s="97">
        <v>1499.91</v>
      </c>
    </row>
    <row r="198" spans="1:2">
      <c r="A198" s="98">
        <v>42704</v>
      </c>
      <c r="B198" s="97">
        <v>1503.61</v>
      </c>
    </row>
    <row r="199" spans="1:2">
      <c r="A199" s="98">
        <v>42705</v>
      </c>
      <c r="B199" s="97">
        <v>1493.5</v>
      </c>
    </row>
    <row r="200" spans="1:2">
      <c r="A200" s="98">
        <v>42706</v>
      </c>
      <c r="B200" s="97">
        <v>1485.85</v>
      </c>
    </row>
    <row r="201" spans="1:2">
      <c r="A201" s="98">
        <v>42709</v>
      </c>
      <c r="B201" s="97">
        <v>1497.88</v>
      </c>
    </row>
    <row r="202" spans="1:2">
      <c r="A202" s="98">
        <v>42710</v>
      </c>
      <c r="B202" s="97">
        <v>1517.63</v>
      </c>
    </row>
    <row r="203" spans="1:2">
      <c r="A203" s="98">
        <v>42711</v>
      </c>
      <c r="B203" s="97">
        <v>1537.48</v>
      </c>
    </row>
    <row r="204" spans="1:2">
      <c r="A204" s="98">
        <v>42712</v>
      </c>
      <c r="B204" s="97">
        <v>1558.31</v>
      </c>
    </row>
    <row r="205" spans="1:2">
      <c r="A205" s="98">
        <v>42713</v>
      </c>
      <c r="B205" s="97">
        <v>1569.01</v>
      </c>
    </row>
    <row r="206" spans="1:2">
      <c r="A206" s="98">
        <v>42716</v>
      </c>
      <c r="B206" s="97">
        <v>1562.49</v>
      </c>
    </row>
    <row r="207" spans="1:2">
      <c r="A207" s="98">
        <v>42717</v>
      </c>
      <c r="B207" s="97">
        <v>1576.57</v>
      </c>
    </row>
    <row r="208" spans="1:2">
      <c r="A208" s="98">
        <v>42718</v>
      </c>
      <c r="B208" s="97">
        <v>1566.78</v>
      </c>
    </row>
    <row r="209" spans="1:2">
      <c r="A209" s="98">
        <v>42719</v>
      </c>
      <c r="B209" s="97">
        <v>1592.12</v>
      </c>
    </row>
    <row r="210" spans="1:2">
      <c r="A210" s="98">
        <v>42720</v>
      </c>
      <c r="B210" s="97">
        <v>1593.74</v>
      </c>
    </row>
    <row r="211" spans="1:2">
      <c r="A211" s="98">
        <v>42723</v>
      </c>
      <c r="B211" s="97">
        <v>1594.93</v>
      </c>
    </row>
    <row r="212" spans="1:2">
      <c r="A212" s="98">
        <v>42724</v>
      </c>
      <c r="B212" s="97">
        <v>1607.59</v>
      </c>
    </row>
    <row r="213" spans="1:2">
      <c r="A213" s="98">
        <v>42725</v>
      </c>
      <c r="B213" s="97">
        <v>1601.73</v>
      </c>
    </row>
    <row r="214" spans="1:2">
      <c r="A214" s="98">
        <v>42726</v>
      </c>
      <c r="B214" s="97">
        <v>1597.71</v>
      </c>
    </row>
    <row r="215" spans="1:2">
      <c r="A215" s="98">
        <v>42727</v>
      </c>
      <c r="B215" s="97">
        <v>1602.78</v>
      </c>
    </row>
    <row r="216" spans="1:2">
      <c r="A216" s="98">
        <v>42731</v>
      </c>
      <c r="B216" s="97">
        <v>1604.54</v>
      </c>
    </row>
    <row r="217" spans="1:2">
      <c r="A217" s="98">
        <v>42732</v>
      </c>
      <c r="B217" s="97">
        <v>1601.13</v>
      </c>
    </row>
    <row r="218" spans="1:2">
      <c r="A218" s="98">
        <v>42733</v>
      </c>
      <c r="B218" s="97">
        <v>1593.56</v>
      </c>
    </row>
    <row r="219" spans="1:2">
      <c r="A219" s="98">
        <v>42734</v>
      </c>
      <c r="B219" s="97">
        <v>1593.16</v>
      </c>
    </row>
    <row r="220" spans="1:2">
      <c r="A220" s="98">
        <v>42737</v>
      </c>
      <c r="B220" s="97">
        <v>1601.95</v>
      </c>
    </row>
    <row r="221" spans="1:2">
      <c r="A221" s="98">
        <v>42738</v>
      </c>
      <c r="B221" s="97">
        <v>1618.42</v>
      </c>
    </row>
    <row r="222" spans="1:2">
      <c r="A222" s="98">
        <v>42739</v>
      </c>
      <c r="B222" s="97">
        <v>1616.95</v>
      </c>
    </row>
    <row r="223" spans="1:2">
      <c r="A223" s="98">
        <v>42740</v>
      </c>
      <c r="B223" s="97">
        <v>1607.69</v>
      </c>
    </row>
    <row r="224" spans="1:2">
      <c r="A224" s="98">
        <v>42741</v>
      </c>
      <c r="B224" s="97">
        <v>1613.01</v>
      </c>
    </row>
    <row r="225" spans="1:2">
      <c r="A225" s="98">
        <v>42744</v>
      </c>
      <c r="B225" s="97">
        <v>1607.86</v>
      </c>
    </row>
    <row r="226" spans="1:2">
      <c r="A226" s="98">
        <v>42745</v>
      </c>
      <c r="B226" s="97">
        <v>1606.7</v>
      </c>
    </row>
    <row r="227" spans="1:2">
      <c r="A227" s="98">
        <v>42746</v>
      </c>
      <c r="B227" s="97">
        <v>1609.54</v>
      </c>
    </row>
    <row r="228" spans="1:2">
      <c r="A228" s="98">
        <v>42747</v>
      </c>
      <c r="B228" s="97">
        <v>1590.1</v>
      </c>
    </row>
    <row r="229" spans="1:2">
      <c r="A229" s="98">
        <v>42748</v>
      </c>
      <c r="B229" s="97">
        <v>1604.64</v>
      </c>
    </row>
    <row r="230" spans="1:2">
      <c r="A230" s="98">
        <v>42751</v>
      </c>
      <c r="B230" s="97">
        <v>1594.27</v>
      </c>
    </row>
    <row r="231" spans="1:2">
      <c r="A231" s="98">
        <v>42752</v>
      </c>
      <c r="B231" s="97">
        <v>1582.56</v>
      </c>
    </row>
    <row r="232" spans="1:2">
      <c r="A232" s="98">
        <v>42753</v>
      </c>
      <c r="B232" s="97">
        <v>1581.42</v>
      </c>
    </row>
    <row r="233" spans="1:2">
      <c r="A233" s="98">
        <v>42754</v>
      </c>
      <c r="B233" s="97">
        <v>1585.02</v>
      </c>
    </row>
    <row r="234" spans="1:2">
      <c r="A234" s="98">
        <v>42755</v>
      </c>
      <c r="B234" s="97">
        <v>1579.73</v>
      </c>
    </row>
    <row r="235" spans="1:2">
      <c r="A235" s="98">
        <v>42758</v>
      </c>
      <c r="B235" s="97">
        <v>1568.66</v>
      </c>
    </row>
    <row r="236" spans="1:2">
      <c r="A236" s="98">
        <v>42759</v>
      </c>
      <c r="B236" s="97">
        <v>1567.83</v>
      </c>
    </row>
    <row r="237" spans="1:2">
      <c r="A237" s="98">
        <v>42760</v>
      </c>
      <c r="B237" s="97">
        <v>1587.41</v>
      </c>
    </row>
    <row r="238" spans="1:2">
      <c r="A238" s="98">
        <v>42761</v>
      </c>
      <c r="B238" s="97">
        <v>1587.28</v>
      </c>
    </row>
    <row r="239" spans="1:2">
      <c r="A239" s="98">
        <v>42762</v>
      </c>
      <c r="B239" s="97">
        <v>1583.14</v>
      </c>
    </row>
    <row r="240" spans="1:2">
      <c r="A240" s="98">
        <v>42765</v>
      </c>
      <c r="B240" s="97">
        <v>1569.52</v>
      </c>
    </row>
    <row r="241" spans="1:2">
      <c r="A241" s="98">
        <v>42766</v>
      </c>
      <c r="B241" s="97">
        <v>1555.46</v>
      </c>
    </row>
    <row r="242" spans="1:2">
      <c r="A242" s="98">
        <v>42767</v>
      </c>
      <c r="B242" s="97">
        <v>1565.92</v>
      </c>
    </row>
    <row r="243" spans="1:2">
      <c r="A243" s="98">
        <v>42768</v>
      </c>
      <c r="B243" s="97">
        <v>1563.24</v>
      </c>
    </row>
    <row r="244" spans="1:2">
      <c r="A244" s="98">
        <v>42769</v>
      </c>
      <c r="B244" s="97">
        <v>1576.07</v>
      </c>
    </row>
    <row r="245" spans="1:2">
      <c r="A245" s="98">
        <v>42772</v>
      </c>
      <c r="B245" s="97">
        <v>1564.8</v>
      </c>
    </row>
    <row r="246" spans="1:2">
      <c r="A246" s="98">
        <v>42773</v>
      </c>
      <c r="B246" s="97">
        <v>1566.42</v>
      </c>
    </row>
    <row r="247" spans="1:2">
      <c r="A247" s="98">
        <v>42774</v>
      </c>
      <c r="B247" s="97">
        <v>1564.67</v>
      </c>
    </row>
    <row r="248" spans="1:2">
      <c r="A248" s="98">
        <v>42775</v>
      </c>
      <c r="B248" s="97">
        <v>1580.19</v>
      </c>
    </row>
    <row r="249" spans="1:2">
      <c r="A249" s="98">
        <v>42776</v>
      </c>
      <c r="B249" s="97">
        <v>1582.1</v>
      </c>
    </row>
    <row r="250" spans="1:2">
      <c r="A250" s="98">
        <v>42779</v>
      </c>
      <c r="B250" s="97">
        <v>1594.53</v>
      </c>
    </row>
    <row r="251" spans="1:2">
      <c r="A251" s="98">
        <v>42780</v>
      </c>
      <c r="B251" s="97">
        <v>1601.66</v>
      </c>
    </row>
    <row r="252" spans="1:2">
      <c r="A252" s="98">
        <v>42781</v>
      </c>
      <c r="B252" s="97">
        <v>1611.41</v>
      </c>
    </row>
    <row r="253" spans="1:2">
      <c r="A253" s="98">
        <v>42782</v>
      </c>
      <c r="B253" s="97">
        <v>1604.69</v>
      </c>
    </row>
    <row r="254" spans="1:2">
      <c r="A254" s="98">
        <v>42783</v>
      </c>
      <c r="B254" s="97">
        <v>1604.98</v>
      </c>
    </row>
    <row r="255" spans="1:2">
      <c r="A255" s="98">
        <v>42786</v>
      </c>
      <c r="B255" s="97">
        <v>1605.34</v>
      </c>
    </row>
    <row r="256" spans="1:2">
      <c r="A256" s="98">
        <v>42787</v>
      </c>
      <c r="B256" s="97">
        <v>1616.65</v>
      </c>
    </row>
    <row r="257" spans="1:2">
      <c r="A257" s="98">
        <v>42788</v>
      </c>
      <c r="B257" s="97">
        <v>1618.96</v>
      </c>
    </row>
    <row r="258" spans="1:2">
      <c r="A258" s="98">
        <v>42789</v>
      </c>
      <c r="B258" s="97">
        <v>1617.08</v>
      </c>
    </row>
    <row r="259" spans="1:2">
      <c r="A259" s="98">
        <v>42790</v>
      </c>
      <c r="B259" s="97">
        <v>1610.85</v>
      </c>
    </row>
    <row r="260" spans="1:2">
      <c r="A260" s="98">
        <v>42793</v>
      </c>
      <c r="B260" s="97">
        <v>1613.47</v>
      </c>
    </row>
    <row r="261" spans="1:2">
      <c r="A261" s="98">
        <v>42794</v>
      </c>
      <c r="B261" s="97">
        <v>1614.84</v>
      </c>
    </row>
    <row r="262" spans="1:2">
      <c r="A262" s="98">
        <v>42795</v>
      </c>
      <c r="B262" s="97">
        <v>1648.28</v>
      </c>
    </row>
    <row r="263" spans="1:2">
      <c r="A263" s="98">
        <v>42796</v>
      </c>
      <c r="B263" s="97">
        <v>1646.76</v>
      </c>
    </row>
    <row r="264" spans="1:2">
      <c r="A264" s="98">
        <v>42797</v>
      </c>
      <c r="B264" s="97">
        <v>1650.9</v>
      </c>
    </row>
    <row r="265" spans="1:2">
      <c r="A265" s="98">
        <v>42800</v>
      </c>
      <c r="B265" s="97">
        <v>1640.93</v>
      </c>
    </row>
    <row r="266" spans="1:2">
      <c r="A266" s="98">
        <v>42801</v>
      </c>
      <c r="B266" s="97">
        <v>1638.31</v>
      </c>
    </row>
    <row r="267" spans="1:2">
      <c r="A267" s="98">
        <v>42802</v>
      </c>
      <c r="B267" s="97">
        <v>1647.56</v>
      </c>
    </row>
    <row r="268" spans="1:2">
      <c r="A268" s="98">
        <v>42803</v>
      </c>
      <c r="B268" s="97">
        <v>1655.94</v>
      </c>
    </row>
    <row r="269" spans="1:2">
      <c r="A269" s="98">
        <v>42804</v>
      </c>
      <c r="B269" s="97">
        <v>1654.67</v>
      </c>
    </row>
    <row r="270" spans="1:2">
      <c r="A270" s="98">
        <v>42807</v>
      </c>
      <c r="B270" s="97">
        <v>1655.77</v>
      </c>
    </row>
    <row r="271" spans="1:2">
      <c r="A271" s="98">
        <v>42808</v>
      </c>
      <c r="B271" s="97">
        <v>1651.57</v>
      </c>
    </row>
    <row r="272" spans="1:2">
      <c r="A272" s="98">
        <v>42809</v>
      </c>
      <c r="B272" s="97">
        <v>1659.98</v>
      </c>
    </row>
    <row r="273" spans="1:2">
      <c r="A273" s="98">
        <v>42810</v>
      </c>
      <c r="B273" s="97">
        <v>1664.91</v>
      </c>
    </row>
    <row r="274" spans="1:2">
      <c r="A274" s="98">
        <v>42811</v>
      </c>
      <c r="B274" s="97">
        <v>1667.16</v>
      </c>
    </row>
    <row r="275" spans="1:2">
      <c r="A275" s="98">
        <v>42814</v>
      </c>
      <c r="B275" s="97">
        <v>1660.83</v>
      </c>
    </row>
    <row r="276" spans="1:2">
      <c r="A276" s="98">
        <v>42815</v>
      </c>
      <c r="B276" s="97">
        <v>1650.81</v>
      </c>
    </row>
    <row r="277" spans="1:2">
      <c r="A277" s="98">
        <v>42816</v>
      </c>
      <c r="B277" s="97">
        <v>1644.17</v>
      </c>
    </row>
    <row r="278" spans="1:2">
      <c r="A278" s="98">
        <v>42817</v>
      </c>
      <c r="B278" s="97">
        <v>1657.02</v>
      </c>
    </row>
    <row r="279" spans="1:2">
      <c r="A279" s="98">
        <v>42818</v>
      </c>
      <c r="B279" s="97">
        <v>1656.45</v>
      </c>
    </row>
    <row r="280" spans="1:2">
      <c r="A280" s="98">
        <v>42821</v>
      </c>
      <c r="B280" s="97">
        <v>1649.29</v>
      </c>
    </row>
    <row r="281" spans="1:2">
      <c r="A281" s="98">
        <v>42822</v>
      </c>
      <c r="B281" s="97">
        <v>1659.97</v>
      </c>
    </row>
    <row r="282" spans="1:2">
      <c r="A282" s="98">
        <v>42823</v>
      </c>
      <c r="B282" s="97">
        <v>1664.31</v>
      </c>
    </row>
    <row r="283" spans="1:2">
      <c r="A283" s="98">
        <v>42824</v>
      </c>
      <c r="B283" s="97">
        <v>1670.01</v>
      </c>
    </row>
    <row r="284" spans="1:2">
      <c r="A284" s="98">
        <v>42825</v>
      </c>
      <c r="B284" s="97">
        <v>1676.15</v>
      </c>
    </row>
    <row r="285" spans="1:2">
      <c r="A285" s="98">
        <v>42828</v>
      </c>
      <c r="B285" s="97">
        <v>1669.54</v>
      </c>
    </row>
    <row r="286" spans="1:2">
      <c r="A286" s="98">
        <v>42829</v>
      </c>
      <c r="B286" s="97">
        <v>1668.98</v>
      </c>
    </row>
    <row r="287" spans="1:2">
      <c r="A287" s="98">
        <v>42830</v>
      </c>
      <c r="B287" s="97">
        <v>1665.21</v>
      </c>
    </row>
    <row r="288" spans="1:2">
      <c r="A288" s="98">
        <v>42831</v>
      </c>
      <c r="B288" s="97">
        <v>1671.19</v>
      </c>
    </row>
    <row r="289" spans="1:2">
      <c r="A289" s="98">
        <v>42832</v>
      </c>
      <c r="B289" s="97">
        <v>1672.08</v>
      </c>
    </row>
    <row r="290" spans="1:2">
      <c r="A290" s="98">
        <v>42835</v>
      </c>
      <c r="B290" s="97">
        <v>1669.12</v>
      </c>
    </row>
    <row r="291" spans="1:2">
      <c r="A291" s="98">
        <v>42836</v>
      </c>
      <c r="B291" s="97">
        <v>1664.94</v>
      </c>
    </row>
    <row r="292" spans="1:2">
      <c r="A292" s="98">
        <v>42837</v>
      </c>
      <c r="B292" s="97">
        <v>1663.51</v>
      </c>
    </row>
    <row r="293" spans="1:2">
      <c r="A293" s="98">
        <v>42838</v>
      </c>
      <c r="B293" s="97">
        <v>1657.22</v>
      </c>
    </row>
    <row r="294" spans="1:2">
      <c r="A294" s="98">
        <v>42842</v>
      </c>
      <c r="B294" s="97">
        <v>1659.63</v>
      </c>
    </row>
    <row r="295" spans="1:2">
      <c r="A295" s="98">
        <v>42843</v>
      </c>
      <c r="B295" s="97">
        <v>1643.33</v>
      </c>
    </row>
    <row r="296" spans="1:2">
      <c r="A296" s="98">
        <v>42844</v>
      </c>
      <c r="B296" s="97">
        <v>1648.38</v>
      </c>
    </row>
    <row r="297" spans="1:2">
      <c r="A297" s="98">
        <v>42845</v>
      </c>
      <c r="B297" s="97">
        <v>1654.99</v>
      </c>
    </row>
    <row r="298" spans="1:2">
      <c r="A298" s="98">
        <v>42846</v>
      </c>
      <c r="B298" s="97">
        <v>1655.09</v>
      </c>
    </row>
    <row r="299" spans="1:2">
      <c r="A299" s="98">
        <v>42849</v>
      </c>
      <c r="B299" s="97">
        <v>1695.78</v>
      </c>
    </row>
    <row r="300" spans="1:2">
      <c r="A300" s="98">
        <v>42850</v>
      </c>
      <c r="B300" s="97">
        <v>1699.01</v>
      </c>
    </row>
    <row r="301" spans="1:2">
      <c r="A301" s="98">
        <v>42851</v>
      </c>
      <c r="B301" s="97">
        <v>1707.62</v>
      </c>
    </row>
    <row r="302" spans="1:2">
      <c r="A302" s="98">
        <v>42852</v>
      </c>
      <c r="B302" s="97">
        <v>1702.38</v>
      </c>
    </row>
    <row r="303" spans="1:2">
      <c r="A303" s="98">
        <v>42853</v>
      </c>
      <c r="B303" s="97">
        <v>1698.82</v>
      </c>
    </row>
    <row r="304" spans="1:2">
      <c r="A304" s="98">
        <v>42856</v>
      </c>
      <c r="B304" s="97">
        <v>1699.27</v>
      </c>
    </row>
    <row r="305" spans="1:2">
      <c r="A305" s="98">
        <v>42857</v>
      </c>
      <c r="B305" s="97">
        <v>1711.05</v>
      </c>
    </row>
    <row r="306" spans="1:2">
      <c r="A306" s="98">
        <v>42858</v>
      </c>
      <c r="B306" s="97">
        <v>1710.17</v>
      </c>
    </row>
    <row r="307" spans="1:2">
      <c r="A307" s="98">
        <v>42859</v>
      </c>
      <c r="B307" s="97">
        <v>1727.45</v>
      </c>
    </row>
    <row r="308" spans="1:2">
      <c r="A308" s="98">
        <v>42860</v>
      </c>
      <c r="B308" s="97">
        <v>1737.15</v>
      </c>
    </row>
    <row r="309" spans="1:2">
      <c r="A309" s="98">
        <v>42863</v>
      </c>
      <c r="B309" s="97">
        <v>1735.05</v>
      </c>
    </row>
    <row r="310" spans="1:2">
      <c r="A310" s="98">
        <v>42864</v>
      </c>
      <c r="B310" s="97">
        <v>1738.36</v>
      </c>
    </row>
    <row r="311" spans="1:2">
      <c r="A311" s="98">
        <v>42865</v>
      </c>
      <c r="B311" s="97">
        <v>1736.28</v>
      </c>
    </row>
    <row r="312" spans="1:2">
      <c r="A312" s="98">
        <v>42866</v>
      </c>
      <c r="B312" s="97">
        <v>1727.92</v>
      </c>
    </row>
    <row r="313" spans="1:2">
      <c r="A313" s="98">
        <v>42867</v>
      </c>
      <c r="B313" s="97">
        <v>1730.24</v>
      </c>
    </row>
    <row r="314" spans="1:2">
      <c r="A314" s="98">
        <v>42870</v>
      </c>
      <c r="B314" s="97">
        <v>1732.22</v>
      </c>
    </row>
    <row r="315" spans="1:2">
      <c r="A315" s="98">
        <v>42871</v>
      </c>
      <c r="B315" s="97">
        <v>1728.67</v>
      </c>
    </row>
    <row r="316" spans="1:2">
      <c r="A316" s="98">
        <v>42872</v>
      </c>
      <c r="B316" s="97">
        <v>1695.43</v>
      </c>
    </row>
    <row r="317" spans="1:2">
      <c r="A317" s="98">
        <v>42873</v>
      </c>
      <c r="B317" s="97">
        <v>1687.22</v>
      </c>
    </row>
    <row r="318" spans="1:2">
      <c r="A318" s="98">
        <v>42874</v>
      </c>
      <c r="B318" s="97">
        <v>1694.99</v>
      </c>
    </row>
    <row r="319" spans="1:2">
      <c r="A319" s="98">
        <v>42877</v>
      </c>
      <c r="B319" s="97">
        <v>1689.67</v>
      </c>
    </row>
    <row r="320" spans="1:2">
      <c r="A320" s="98">
        <v>42878</v>
      </c>
      <c r="B320" s="97">
        <v>1699.51</v>
      </c>
    </row>
    <row r="321" spans="1:2">
      <c r="A321" s="98">
        <v>42879</v>
      </c>
      <c r="B321" s="97">
        <v>1701.3</v>
      </c>
    </row>
    <row r="322" spans="1:2">
      <c r="A322" s="98">
        <v>42880</v>
      </c>
      <c r="B322" s="97">
        <v>1700.25</v>
      </c>
    </row>
    <row r="323" spans="1:2">
      <c r="A323" s="98">
        <v>42881</v>
      </c>
      <c r="B323" s="97">
        <v>1700.16</v>
      </c>
    </row>
    <row r="324" spans="1:2">
      <c r="A324" s="98">
        <v>42884</v>
      </c>
      <c r="B324" s="97">
        <v>1697.89</v>
      </c>
    </row>
    <row r="325" spans="1:2">
      <c r="A325" s="98">
        <v>42885</v>
      </c>
      <c r="B325" s="97">
        <v>1693.23</v>
      </c>
    </row>
    <row r="326" spans="1:2">
      <c r="A326" s="98">
        <v>42886</v>
      </c>
      <c r="B326" s="97">
        <v>1689.03</v>
      </c>
    </row>
    <row r="327" spans="1:2">
      <c r="A327" s="98">
        <v>42887</v>
      </c>
      <c r="B327" s="97">
        <v>1700.77</v>
      </c>
    </row>
    <row r="328" spans="1:2">
      <c r="A328" s="98">
        <v>42888</v>
      </c>
      <c r="B328" s="97">
        <v>1707.07</v>
      </c>
    </row>
    <row r="329" spans="1:2">
      <c r="A329" s="98">
        <v>42891</v>
      </c>
      <c r="B329" s="97">
        <v>1701.86</v>
      </c>
    </row>
    <row r="330" spans="1:2">
      <c r="A330" s="98">
        <v>42892</v>
      </c>
      <c r="B330" s="97">
        <v>1690.68</v>
      </c>
    </row>
    <row r="331" spans="1:2">
      <c r="A331" s="98">
        <v>42893</v>
      </c>
      <c r="B331" s="97">
        <v>1694.97</v>
      </c>
    </row>
    <row r="332" spans="1:2">
      <c r="A332" s="98">
        <v>42894</v>
      </c>
      <c r="B332" s="97">
        <v>1700.87</v>
      </c>
    </row>
    <row r="333" spans="1:2">
      <c r="A333" s="98">
        <v>42895</v>
      </c>
      <c r="B333" s="97">
        <v>1709.11</v>
      </c>
    </row>
    <row r="334" spans="1:2">
      <c r="A334" s="98">
        <v>42898</v>
      </c>
      <c r="B334" s="97">
        <v>1694</v>
      </c>
    </row>
    <row r="335" spans="1:2">
      <c r="A335" s="98">
        <v>42899</v>
      </c>
      <c r="B335" s="97">
        <v>1702.6</v>
      </c>
    </row>
    <row r="336" spans="1:2">
      <c r="A336" s="98">
        <v>42900</v>
      </c>
      <c r="B336" s="97">
        <v>1699.28</v>
      </c>
    </row>
    <row r="337" spans="1:2">
      <c r="A337" s="98">
        <v>42901</v>
      </c>
      <c r="B337" s="97">
        <v>1691.56</v>
      </c>
    </row>
    <row r="338" spans="1:2">
      <c r="A338" s="98">
        <v>42902</v>
      </c>
      <c r="B338" s="97">
        <v>1692.72</v>
      </c>
    </row>
    <row r="339" spans="1:2">
      <c r="A339" s="98">
        <v>42905</v>
      </c>
      <c r="B339" s="97">
        <v>1711.34</v>
      </c>
    </row>
    <row r="340" spans="1:2">
      <c r="A340" s="98">
        <v>42906</v>
      </c>
      <c r="B340" s="97">
        <v>1705.03</v>
      </c>
    </row>
    <row r="341" spans="1:2">
      <c r="A341" s="98">
        <v>42907</v>
      </c>
      <c r="B341" s="97">
        <v>1703.53</v>
      </c>
    </row>
    <row r="342" spans="1:2">
      <c r="A342" s="98">
        <v>42908</v>
      </c>
      <c r="B342" s="97">
        <v>1705.43</v>
      </c>
    </row>
    <row r="343" spans="1:2">
      <c r="A343" s="98">
        <v>42909</v>
      </c>
      <c r="B343" s="97">
        <v>1699.93</v>
      </c>
    </row>
    <row r="344" spans="1:2">
      <c r="A344" s="98">
        <v>42912</v>
      </c>
      <c r="B344" s="97">
        <v>1705.12</v>
      </c>
    </row>
    <row r="345" spans="1:2">
      <c r="A345" s="98">
        <v>42913</v>
      </c>
      <c r="B345" s="97">
        <v>1692.03</v>
      </c>
    </row>
    <row r="346" spans="1:2">
      <c r="A346" s="98">
        <v>42914</v>
      </c>
      <c r="B346" s="97">
        <v>1694.82</v>
      </c>
    </row>
    <row r="347" spans="1:2">
      <c r="A347" s="98">
        <v>42915</v>
      </c>
      <c r="B347" s="97">
        <v>1670.29</v>
      </c>
    </row>
    <row r="348" spans="1:2">
      <c r="A348" s="98">
        <v>42916</v>
      </c>
      <c r="B348" s="97">
        <v>1666.66</v>
      </c>
    </row>
    <row r="349" spans="1:2">
      <c r="A349" s="98">
        <v>42919</v>
      </c>
      <c r="B349" s="97">
        <v>1684.45</v>
      </c>
    </row>
    <row r="350" spans="1:2">
      <c r="A350" s="98">
        <v>42920</v>
      </c>
      <c r="B350" s="97">
        <v>1681.67</v>
      </c>
    </row>
    <row r="351" spans="1:2">
      <c r="A351" s="98">
        <v>42921</v>
      </c>
      <c r="B351" s="97">
        <v>1687.05</v>
      </c>
    </row>
    <row r="352" spans="1:2">
      <c r="A352" s="98">
        <v>42922</v>
      </c>
      <c r="B352" s="97">
        <v>1673.66</v>
      </c>
    </row>
    <row r="353" spans="1:2">
      <c r="A353" s="98">
        <v>42923</v>
      </c>
      <c r="B353" s="97">
        <v>1677</v>
      </c>
    </row>
    <row r="354" spans="1:2">
      <c r="A354" s="98">
        <v>42926</v>
      </c>
      <c r="B354" s="97">
        <v>1679.55</v>
      </c>
    </row>
    <row r="355" spans="1:2">
      <c r="A355" s="98">
        <v>42927</v>
      </c>
      <c r="B355" s="97">
        <v>1672.3</v>
      </c>
    </row>
    <row r="356" spans="1:2">
      <c r="A356" s="98">
        <v>42928</v>
      </c>
      <c r="B356" s="97">
        <v>1690.84</v>
      </c>
    </row>
    <row r="357" spans="1:2">
      <c r="A357" s="98">
        <v>42929</v>
      </c>
      <c r="B357" s="97">
        <v>1698.55</v>
      </c>
    </row>
    <row r="358" spans="1:2">
      <c r="A358" s="98">
        <v>42930</v>
      </c>
      <c r="B358" s="97">
        <v>1695.63</v>
      </c>
    </row>
    <row r="359" spans="1:2">
      <c r="A359" s="98">
        <v>42933</v>
      </c>
      <c r="B359" s="97">
        <v>1693.55</v>
      </c>
    </row>
    <row r="360" spans="1:2">
      <c r="A360" s="98">
        <v>42934</v>
      </c>
      <c r="B360" s="97">
        <v>1678.09</v>
      </c>
    </row>
    <row r="361" spans="1:2">
      <c r="A361" s="98">
        <v>42935</v>
      </c>
      <c r="B361" s="97">
        <v>1691.13</v>
      </c>
    </row>
    <row r="362" spans="1:2">
      <c r="A362" s="98">
        <v>42936</v>
      </c>
      <c r="B362" s="97">
        <v>1686.45</v>
      </c>
    </row>
    <row r="363" spans="1:2">
      <c r="A363" s="98">
        <v>42937</v>
      </c>
      <c r="B363" s="97">
        <v>1669.13</v>
      </c>
    </row>
    <row r="364" spans="1:2">
      <c r="A364" s="98">
        <v>42940</v>
      </c>
      <c r="B364" s="97">
        <v>1672.6</v>
      </c>
    </row>
    <row r="365" spans="1:2">
      <c r="A365" s="98">
        <v>42941</v>
      </c>
      <c r="B365" s="97">
        <v>1682.07</v>
      </c>
    </row>
    <row r="366" spans="1:2">
      <c r="A366" s="98">
        <v>42942</v>
      </c>
      <c r="B366" s="97">
        <v>1691.05</v>
      </c>
    </row>
    <row r="367" spans="1:2">
      <c r="A367" s="98">
        <v>42943</v>
      </c>
      <c r="B367" s="97">
        <v>1691.82</v>
      </c>
    </row>
    <row r="368" spans="1:2">
      <c r="A368" s="98">
        <v>42944</v>
      </c>
      <c r="B368" s="97">
        <v>1680.08</v>
      </c>
    </row>
    <row r="369" spans="1:2">
      <c r="A369" s="98">
        <v>42947</v>
      </c>
      <c r="B369" s="97">
        <v>1675.45</v>
      </c>
    </row>
    <row r="370" spans="1:2">
      <c r="A370" s="98">
        <v>42948</v>
      </c>
      <c r="B370" s="97">
        <v>1683.86</v>
      </c>
    </row>
    <row r="371" spans="1:2">
      <c r="A371" s="98">
        <v>42949</v>
      </c>
      <c r="B371" s="97">
        <v>1677.67</v>
      </c>
    </row>
    <row r="372" spans="1:2">
      <c r="A372" s="98">
        <v>42950</v>
      </c>
      <c r="B372" s="97">
        <v>1678.2</v>
      </c>
    </row>
    <row r="373" spans="1:2">
      <c r="A373" s="98">
        <v>42951</v>
      </c>
      <c r="B373" s="97">
        <v>1698.01</v>
      </c>
    </row>
    <row r="374" spans="1:2">
      <c r="A374" s="98">
        <v>42954</v>
      </c>
      <c r="B374" s="97">
        <v>1698.56</v>
      </c>
    </row>
    <row r="375" spans="1:2">
      <c r="A375" s="98">
        <v>42955</v>
      </c>
      <c r="B375" s="97">
        <v>1702.17</v>
      </c>
    </row>
    <row r="376" spans="1:2">
      <c r="A376" s="98">
        <v>42956</v>
      </c>
      <c r="B376" s="97">
        <v>1683.21</v>
      </c>
    </row>
    <row r="377" spans="1:2">
      <c r="A377" s="98">
        <v>42957</v>
      </c>
      <c r="B377" s="97">
        <v>1662.8</v>
      </c>
    </row>
    <row r="378" spans="1:2">
      <c r="A378" s="98">
        <v>42958</v>
      </c>
      <c r="B378" s="97">
        <v>1651.12</v>
      </c>
    </row>
    <row r="379" spans="1:2">
      <c r="A379" s="98">
        <v>42961</v>
      </c>
      <c r="B379" s="97">
        <v>1669.27</v>
      </c>
    </row>
    <row r="380" spans="1:2">
      <c r="A380" s="98">
        <v>42962</v>
      </c>
      <c r="B380" s="97">
        <v>1673.7</v>
      </c>
    </row>
    <row r="381" spans="1:2">
      <c r="A381" s="98">
        <v>42963</v>
      </c>
      <c r="B381" s="97">
        <v>1683.47</v>
      </c>
    </row>
    <row r="382" spans="1:2">
      <c r="A382" s="98">
        <v>42964</v>
      </c>
      <c r="B382" s="97">
        <v>1665.7</v>
      </c>
    </row>
    <row r="383" spans="1:2">
      <c r="A383" s="98">
        <v>42965</v>
      </c>
      <c r="B383" s="97">
        <v>1656.32</v>
      </c>
    </row>
    <row r="384" spans="1:2">
      <c r="A384" s="98">
        <v>42968</v>
      </c>
      <c r="B384" s="97">
        <v>1648.39</v>
      </c>
    </row>
    <row r="385" spans="1:2">
      <c r="A385" s="98">
        <v>42969</v>
      </c>
      <c r="B385" s="97">
        <v>1662.69</v>
      </c>
    </row>
    <row r="386" spans="1:2">
      <c r="A386" s="98">
        <v>42970</v>
      </c>
      <c r="B386" s="97">
        <v>1651.34</v>
      </c>
    </row>
    <row r="387" spans="1:2">
      <c r="A387" s="98">
        <v>42971</v>
      </c>
      <c r="B387" s="97">
        <v>1650.59</v>
      </c>
    </row>
    <row r="388" spans="1:2">
      <c r="A388" s="98">
        <v>42972</v>
      </c>
      <c r="B388" s="97">
        <v>1644.87</v>
      </c>
    </row>
    <row r="389" spans="1:2">
      <c r="A389" s="98">
        <v>42975</v>
      </c>
      <c r="B389" s="97">
        <v>1636.83</v>
      </c>
    </row>
    <row r="390" spans="1:2">
      <c r="A390" s="98">
        <v>42976</v>
      </c>
      <c r="B390" s="97">
        <v>1620.86</v>
      </c>
    </row>
    <row r="391" spans="1:2">
      <c r="A391" s="98">
        <v>42977</v>
      </c>
      <c r="B391" s="97">
        <v>1635.51</v>
      </c>
    </row>
    <row r="392" spans="1:2">
      <c r="A392" s="98">
        <v>42978</v>
      </c>
      <c r="B392" s="97">
        <v>1644.83</v>
      </c>
    </row>
    <row r="393" spans="1:2">
      <c r="A393" s="98">
        <v>42979</v>
      </c>
      <c r="B393" s="97">
        <v>1651.25</v>
      </c>
    </row>
    <row r="394" spans="1:2">
      <c r="A394" s="98">
        <v>42982</v>
      </c>
      <c r="B394" s="97">
        <v>1646.36</v>
      </c>
    </row>
    <row r="395" spans="1:2">
      <c r="A395" s="98">
        <v>42983</v>
      </c>
      <c r="B395" s="97">
        <v>1638.95</v>
      </c>
    </row>
    <row r="396" spans="1:2">
      <c r="A396" s="98">
        <v>42984</v>
      </c>
      <c r="B396" s="97">
        <v>1641.28</v>
      </c>
    </row>
    <row r="397" spans="1:2">
      <c r="A397" s="98">
        <v>42985</v>
      </c>
      <c r="B397" s="97">
        <v>1645.89</v>
      </c>
    </row>
    <row r="398" spans="1:2">
      <c r="A398" s="98">
        <v>42986</v>
      </c>
      <c r="B398" s="97">
        <v>1647.05</v>
      </c>
    </row>
    <row r="399" spans="1:2">
      <c r="A399" s="98">
        <v>42989</v>
      </c>
      <c r="B399" s="97">
        <v>1671.38</v>
      </c>
    </row>
    <row r="400" spans="1:2">
      <c r="A400" s="98">
        <v>42990</v>
      </c>
      <c r="B400" s="97">
        <v>1681.57</v>
      </c>
    </row>
    <row r="401" spans="1:2">
      <c r="A401" s="98">
        <v>42991</v>
      </c>
      <c r="B401" s="97">
        <v>1689.38</v>
      </c>
    </row>
    <row r="402" spans="1:2">
      <c r="A402" s="98">
        <v>42992</v>
      </c>
      <c r="B402" s="97">
        <v>1689.96</v>
      </c>
    </row>
    <row r="403" spans="1:2">
      <c r="A403" s="98">
        <v>42993</v>
      </c>
      <c r="B403" s="97">
        <v>1680.52</v>
      </c>
    </row>
    <row r="404" spans="1:2">
      <c r="A404" s="98">
        <v>42996</v>
      </c>
      <c r="B404" s="97">
        <v>1686.77</v>
      </c>
    </row>
    <row r="405" spans="1:2">
      <c r="A405" s="98">
        <v>42997</v>
      </c>
      <c r="B405" s="97">
        <v>1687.48</v>
      </c>
    </row>
    <row r="406" spans="1:2">
      <c r="A406" s="98">
        <v>42998</v>
      </c>
      <c r="B406" s="97">
        <v>1682.54</v>
      </c>
    </row>
    <row r="407" spans="1:2">
      <c r="A407" s="98">
        <v>42999</v>
      </c>
      <c r="B407" s="97">
        <v>1686.63</v>
      </c>
    </row>
    <row r="408" spans="1:2">
      <c r="A408" s="98">
        <v>43000</v>
      </c>
      <c r="B408" s="97">
        <v>1683.49</v>
      </c>
    </row>
    <row r="409" spans="1:2">
      <c r="A409" s="98">
        <v>43003</v>
      </c>
      <c r="B409" s="97">
        <v>1679.93</v>
      </c>
    </row>
    <row r="410" spans="1:2">
      <c r="A410" s="98">
        <v>43004</v>
      </c>
      <c r="B410" s="97">
        <v>1682.77</v>
      </c>
    </row>
    <row r="411" spans="1:2">
      <c r="A411" s="98">
        <v>43005</v>
      </c>
      <c r="B411" s="97">
        <v>1695.84</v>
      </c>
    </row>
    <row r="412" spans="1:2">
      <c r="A412" s="98">
        <v>43006</v>
      </c>
      <c r="B412" s="97">
        <v>1698.02</v>
      </c>
    </row>
    <row r="413" spans="1:2">
      <c r="A413" s="98">
        <v>43007</v>
      </c>
      <c r="B413" s="97">
        <v>1707.91</v>
      </c>
    </row>
    <row r="414" spans="1:2">
      <c r="A414" s="98">
        <v>43010</v>
      </c>
      <c r="B414" s="97">
        <v>1717.16</v>
      </c>
    </row>
    <row r="415" spans="1:2">
      <c r="A415" s="98">
        <v>43011</v>
      </c>
      <c r="B415" s="97">
        <v>1719.88</v>
      </c>
    </row>
    <row r="416" spans="1:2">
      <c r="A416" s="98">
        <v>43012</v>
      </c>
      <c r="B416" s="97">
        <v>1710.42</v>
      </c>
    </row>
    <row r="417" spans="1:2">
      <c r="A417" s="98">
        <v>43013</v>
      </c>
      <c r="B417" s="97">
        <v>1724.36</v>
      </c>
    </row>
    <row r="418" spans="1:2">
      <c r="A418" s="98">
        <v>43014</v>
      </c>
      <c r="B418" s="97">
        <v>1721.7</v>
      </c>
    </row>
    <row r="419" spans="1:2">
      <c r="A419" s="98">
        <v>43017</v>
      </c>
      <c r="B419" s="97">
        <v>1720.13</v>
      </c>
    </row>
    <row r="420" spans="1:2">
      <c r="A420" s="98">
        <v>43018</v>
      </c>
      <c r="B420" s="97">
        <v>1712.3</v>
      </c>
    </row>
    <row r="421" spans="1:2">
      <c r="A421" s="98">
        <v>43019</v>
      </c>
      <c r="B421" s="97">
        <v>1715</v>
      </c>
    </row>
    <row r="422" spans="1:2">
      <c r="A422" s="98">
        <v>43020</v>
      </c>
      <c r="B422" s="97">
        <v>1709.36</v>
      </c>
    </row>
    <row r="423" spans="1:2">
      <c r="A423" s="98">
        <v>43021</v>
      </c>
      <c r="B423" s="97">
        <v>1708.86</v>
      </c>
    </row>
    <row r="424" spans="1:2">
      <c r="A424" s="98">
        <v>43024</v>
      </c>
      <c r="B424" s="97">
        <v>1708.47</v>
      </c>
    </row>
    <row r="425" spans="1:2">
      <c r="A425" s="98">
        <v>43025</v>
      </c>
      <c r="B425" s="97">
        <v>1713.41</v>
      </c>
    </row>
    <row r="426" spans="1:2">
      <c r="A426" s="98">
        <v>43026</v>
      </c>
      <c r="B426" s="97">
        <v>1719.41</v>
      </c>
    </row>
    <row r="427" spans="1:2">
      <c r="A427" s="98">
        <v>43027</v>
      </c>
      <c r="B427" s="97">
        <v>1713.62</v>
      </c>
    </row>
    <row r="428" spans="1:2">
      <c r="A428" s="98">
        <v>43028</v>
      </c>
      <c r="B428" s="97">
        <v>1723.91</v>
      </c>
    </row>
    <row r="429" spans="1:2">
      <c r="A429" s="98">
        <v>43031</v>
      </c>
      <c r="B429" s="97">
        <v>1723.49</v>
      </c>
    </row>
    <row r="430" spans="1:2">
      <c r="A430" s="98">
        <v>43032</v>
      </c>
      <c r="B430" s="97">
        <v>1720.73</v>
      </c>
    </row>
    <row r="431" spans="1:2">
      <c r="A431" s="98">
        <v>43033</v>
      </c>
      <c r="B431" s="97">
        <v>1717.26</v>
      </c>
    </row>
    <row r="432" spans="1:2">
      <c r="A432" s="98">
        <v>43034</v>
      </c>
      <c r="B432" s="97">
        <v>1730.89</v>
      </c>
    </row>
    <row r="433" spans="1:2">
      <c r="A433" s="98">
        <v>43035</v>
      </c>
      <c r="B433" s="97">
        <v>1736.24</v>
      </c>
    </row>
    <row r="434" spans="1:2">
      <c r="A434" s="98">
        <v>43038</v>
      </c>
      <c r="B434" s="97">
        <v>1733.65</v>
      </c>
    </row>
    <row r="435" spans="1:2">
      <c r="A435" s="98">
        <v>43039</v>
      </c>
      <c r="B435" s="97">
        <v>1735.42</v>
      </c>
    </row>
    <row r="436" spans="1:2">
      <c r="A436" s="98">
        <v>43040</v>
      </c>
      <c r="B436" s="97">
        <v>1745.06</v>
      </c>
    </row>
    <row r="437" spans="1:2">
      <c r="A437" s="98">
        <v>43041</v>
      </c>
      <c r="B437" s="97">
        <v>1740.1</v>
      </c>
    </row>
    <row r="438" spans="1:2">
      <c r="A438" s="98">
        <v>43042</v>
      </c>
      <c r="B438" s="97">
        <v>1741.76</v>
      </c>
    </row>
    <row r="439" spans="1:2">
      <c r="A439" s="98">
        <v>43045</v>
      </c>
      <c r="B439" s="97">
        <v>1740.54</v>
      </c>
    </row>
    <row r="440" spans="1:2">
      <c r="A440" s="98">
        <v>43046</v>
      </c>
      <c r="B440" s="97">
        <v>1729.68</v>
      </c>
    </row>
    <row r="441" spans="1:2">
      <c r="A441" s="98">
        <v>43047</v>
      </c>
      <c r="B441" s="97">
        <v>1733.53</v>
      </c>
    </row>
    <row r="442" spans="1:2">
      <c r="A442" s="98">
        <v>43048</v>
      </c>
      <c r="B442" s="97">
        <v>1719.57</v>
      </c>
    </row>
    <row r="443" spans="1:2">
      <c r="A443" s="98">
        <v>43049</v>
      </c>
      <c r="B443" s="97">
        <v>1713.23</v>
      </c>
    </row>
    <row r="444" spans="1:2">
      <c r="A444" s="98">
        <v>43052</v>
      </c>
      <c r="B444" s="97">
        <v>1706.71</v>
      </c>
    </row>
    <row r="445" spans="1:2">
      <c r="A445" s="98">
        <v>43053</v>
      </c>
      <c r="B445" s="97">
        <v>1698</v>
      </c>
    </row>
    <row r="446" spans="1:2">
      <c r="A446" s="98">
        <v>43054</v>
      </c>
      <c r="B446" s="97">
        <v>1693.84</v>
      </c>
    </row>
    <row r="447" spans="1:2">
      <c r="A447" s="98">
        <v>43055</v>
      </c>
      <c r="B447" s="97">
        <v>1706.7</v>
      </c>
    </row>
    <row r="448" spans="1:2">
      <c r="A448" s="98">
        <v>43056</v>
      </c>
      <c r="B448" s="97">
        <v>1700.96</v>
      </c>
    </row>
    <row r="449" spans="1:2">
      <c r="A449" s="98">
        <v>43059</v>
      </c>
      <c r="B449" s="97">
        <v>1706.45</v>
      </c>
    </row>
    <row r="450" spans="1:2">
      <c r="A450" s="98">
        <v>43060</v>
      </c>
      <c r="B450" s="97">
        <v>1716.15</v>
      </c>
    </row>
    <row r="451" spans="1:2">
      <c r="A451" s="98">
        <v>43061</v>
      </c>
      <c r="B451" s="97">
        <v>1707.76</v>
      </c>
    </row>
    <row r="452" spans="1:2">
      <c r="A452" s="98">
        <v>43062</v>
      </c>
      <c r="B452" s="97">
        <v>1707.77</v>
      </c>
    </row>
    <row r="453" spans="1:2">
      <c r="A453" s="98">
        <v>43063</v>
      </c>
      <c r="B453" s="97">
        <v>1707.18</v>
      </c>
    </row>
    <row r="454" spans="1:2">
      <c r="A454" s="98">
        <v>43066</v>
      </c>
      <c r="B454" s="97">
        <v>1701.85</v>
      </c>
    </row>
    <row r="455" spans="1:2">
      <c r="A455" s="98">
        <v>43067</v>
      </c>
      <c r="B455" s="97">
        <v>1716.17</v>
      </c>
    </row>
    <row r="456" spans="1:2">
      <c r="A456" s="98">
        <v>43068</v>
      </c>
      <c r="B456" s="97">
        <v>1723.05</v>
      </c>
    </row>
    <row r="457" spans="1:2">
      <c r="A457" s="98">
        <v>43069</v>
      </c>
      <c r="B457" s="97">
        <v>1721.02</v>
      </c>
    </row>
    <row r="458" spans="1:2">
      <c r="A458" s="98">
        <v>43070</v>
      </c>
      <c r="B458" s="97">
        <v>1709.65</v>
      </c>
    </row>
    <row r="459" spans="1:2">
      <c r="A459" s="98">
        <v>43073</v>
      </c>
      <c r="B459" s="97">
        <v>1722.54</v>
      </c>
    </row>
    <row r="460" spans="1:2">
      <c r="A460" s="98">
        <v>43074</v>
      </c>
      <c r="B460" s="97">
        <v>1719.61</v>
      </c>
    </row>
    <row r="461" spans="1:2">
      <c r="A461" s="98">
        <v>43075</v>
      </c>
      <c r="B461" s="97">
        <v>1719.1</v>
      </c>
    </row>
    <row r="462" spans="1:2">
      <c r="A462" s="98">
        <v>43076</v>
      </c>
      <c r="B462" s="97">
        <v>1724.05</v>
      </c>
    </row>
    <row r="463" spans="1:2">
      <c r="A463" s="98">
        <v>43077</v>
      </c>
      <c r="B463" s="97">
        <v>1738.12</v>
      </c>
    </row>
    <row r="464" spans="1:2">
      <c r="A464" s="98">
        <v>43080</v>
      </c>
      <c r="B464" s="97">
        <v>1735.48</v>
      </c>
    </row>
    <row r="465" spans="1:2">
      <c r="A465" s="98">
        <v>43081</v>
      </c>
      <c r="B465" s="97">
        <v>1744.83</v>
      </c>
    </row>
    <row r="466" spans="1:2">
      <c r="A466" s="98">
        <v>43082</v>
      </c>
      <c r="B466" s="97">
        <v>1737.7</v>
      </c>
    </row>
    <row r="467" spans="1:2">
      <c r="A467" s="98">
        <v>43083</v>
      </c>
      <c r="B467" s="97">
        <v>1725.94</v>
      </c>
    </row>
    <row r="468" spans="1:2">
      <c r="A468" s="98">
        <v>43084</v>
      </c>
      <c r="B468" s="97">
        <v>1730.58</v>
      </c>
    </row>
    <row r="469" spans="1:2">
      <c r="A469" s="98">
        <v>43087</v>
      </c>
      <c r="B469" s="97">
        <v>1742.45</v>
      </c>
    </row>
    <row r="470" spans="1:2">
      <c r="A470" s="98">
        <v>43088</v>
      </c>
      <c r="B470" s="97">
        <v>1736.09</v>
      </c>
    </row>
    <row r="471" spans="1:2">
      <c r="A471" s="98">
        <v>43089</v>
      </c>
      <c r="B471" s="97">
        <v>1722.26</v>
      </c>
    </row>
    <row r="472" spans="1:2">
      <c r="A472" s="98">
        <v>43090</v>
      </c>
      <c r="B472" s="97">
        <v>1731.3</v>
      </c>
    </row>
    <row r="473" spans="1:2">
      <c r="A473" s="98">
        <v>43091</v>
      </c>
      <c r="B473" s="97">
        <v>1725.22</v>
      </c>
    </row>
    <row r="474" spans="1:2">
      <c r="A474" s="98">
        <v>43095</v>
      </c>
      <c r="B474" s="97">
        <v>1723.01</v>
      </c>
    </row>
    <row r="475" spans="1:2">
      <c r="A475" s="98">
        <v>43096</v>
      </c>
      <c r="B475" s="97">
        <v>1720.71</v>
      </c>
    </row>
    <row r="476" spans="1:2">
      <c r="A476" s="98">
        <v>43097</v>
      </c>
      <c r="B476" s="97">
        <v>1714.47</v>
      </c>
    </row>
    <row r="477" spans="1:2">
      <c r="A477" s="98">
        <v>43098</v>
      </c>
      <c r="B477" s="97">
        <v>1701.26</v>
      </c>
    </row>
    <row r="478" spans="1:2">
      <c r="A478" s="98">
        <v>43102</v>
      </c>
      <c r="B478" s="97">
        <v>1703.67</v>
      </c>
    </row>
    <row r="479" spans="1:2">
      <c r="A479" s="98">
        <v>43103</v>
      </c>
      <c r="B479" s="97">
        <v>1712.69</v>
      </c>
    </row>
    <row r="480" spans="1:2">
      <c r="A480" s="98">
        <v>43104</v>
      </c>
      <c r="B480" s="97">
        <v>1732.14</v>
      </c>
    </row>
    <row r="481" spans="1:2">
      <c r="A481" s="98">
        <v>43105</v>
      </c>
      <c r="B481" s="97">
        <v>1748.87</v>
      </c>
    </row>
    <row r="482" spans="1:2">
      <c r="A482" s="98">
        <v>43108</v>
      </c>
      <c r="B482" s="97">
        <v>1750.94</v>
      </c>
    </row>
    <row r="483" spans="1:2">
      <c r="A483" s="98">
        <v>43109</v>
      </c>
      <c r="B483" s="97">
        <v>1755.91</v>
      </c>
    </row>
    <row r="484" spans="1:2">
      <c r="A484" s="98">
        <v>43110</v>
      </c>
      <c r="B484" s="97">
        <v>1753.57</v>
      </c>
    </row>
    <row r="485" spans="1:2">
      <c r="A485" s="98">
        <v>43111</v>
      </c>
      <c r="B485" s="97">
        <v>1746</v>
      </c>
    </row>
    <row r="486" spans="1:2">
      <c r="A486" s="98">
        <v>43112</v>
      </c>
      <c r="B486" s="97">
        <v>1751.08</v>
      </c>
    </row>
    <row r="487" spans="1:2">
      <c r="A487" s="98">
        <v>43115</v>
      </c>
      <c r="B487" s="97">
        <v>1744.42</v>
      </c>
    </row>
    <row r="488" spans="1:2">
      <c r="A488" s="98">
        <v>43116</v>
      </c>
      <c r="B488" s="97">
        <v>1753.47</v>
      </c>
    </row>
    <row r="489" spans="1:2">
      <c r="A489" s="98">
        <v>43117</v>
      </c>
      <c r="B489" s="97">
        <v>1756.76</v>
      </c>
    </row>
    <row r="490" spans="1:2">
      <c r="A490" s="98">
        <v>43118</v>
      </c>
      <c r="B490" s="97">
        <v>1759.87</v>
      </c>
    </row>
    <row r="491" spans="1:2">
      <c r="A491" s="98">
        <v>43119</v>
      </c>
      <c r="B491" s="97">
        <v>1774.47</v>
      </c>
    </row>
    <row r="492" spans="1:2">
      <c r="A492" s="98">
        <v>43122</v>
      </c>
      <c r="B492" s="97">
        <v>1782.68</v>
      </c>
    </row>
    <row r="493" spans="1:2">
      <c r="A493" s="98">
        <v>43123</v>
      </c>
      <c r="B493" s="97">
        <v>1786.8</v>
      </c>
    </row>
    <row r="494" spans="1:2">
      <c r="A494" s="98">
        <v>43124</v>
      </c>
      <c r="B494" s="97">
        <v>1775.32</v>
      </c>
    </row>
    <row r="495" spans="1:2">
      <c r="A495" s="98">
        <v>43125</v>
      </c>
      <c r="B495" s="97">
        <v>1768.33</v>
      </c>
    </row>
    <row r="496" spans="1:2">
      <c r="A496" s="98">
        <v>43126</v>
      </c>
      <c r="B496" s="97">
        <v>1786.96</v>
      </c>
    </row>
    <row r="497" spans="1:2">
      <c r="A497" s="98">
        <v>43129</v>
      </c>
      <c r="B497" s="97">
        <v>1786.87</v>
      </c>
    </row>
    <row r="498" spans="1:2">
      <c r="A498" s="98">
        <v>43130</v>
      </c>
      <c r="B498" s="97">
        <v>1761.29</v>
      </c>
    </row>
    <row r="499" spans="1:2">
      <c r="A499" s="98">
        <v>43131</v>
      </c>
      <c r="B499" s="97">
        <v>1755.09</v>
      </c>
    </row>
    <row r="500" spans="1:2">
      <c r="A500" s="98">
        <v>43132</v>
      </c>
      <c r="B500" s="97">
        <v>1751.52</v>
      </c>
    </row>
    <row r="501" spans="1:2">
      <c r="A501" s="98">
        <v>43133</v>
      </c>
      <c r="B501" s="97">
        <v>1725.35</v>
      </c>
    </row>
    <row r="502" spans="1:2">
      <c r="A502" s="98">
        <v>43136</v>
      </c>
      <c r="B502" s="97">
        <v>1689.54</v>
      </c>
    </row>
    <row r="503" spans="1:2">
      <c r="A503" s="98">
        <v>43137</v>
      </c>
      <c r="B503" s="97">
        <v>1673.77</v>
      </c>
    </row>
    <row r="504" spans="1:2">
      <c r="A504" s="98">
        <v>43138</v>
      </c>
      <c r="B504" s="97">
        <v>1699.42</v>
      </c>
    </row>
    <row r="505" spans="1:2">
      <c r="A505" s="98">
        <v>43139</v>
      </c>
      <c r="B505" s="97">
        <v>1654.41</v>
      </c>
    </row>
    <row r="506" spans="1:2">
      <c r="A506" s="98">
        <v>43140</v>
      </c>
      <c r="B506" s="97">
        <v>1646.49</v>
      </c>
    </row>
    <row r="507" spans="1:2">
      <c r="A507" s="98">
        <v>43143</v>
      </c>
      <c r="B507" s="97">
        <v>1666.24</v>
      </c>
    </row>
    <row r="508" spans="1:2">
      <c r="A508" s="98">
        <v>43144</v>
      </c>
      <c r="B508" s="97">
        <v>1651.51</v>
      </c>
    </row>
    <row r="509" spans="1:2">
      <c r="A509" s="98">
        <v>43145</v>
      </c>
      <c r="B509" s="97">
        <v>1668.7</v>
      </c>
    </row>
    <row r="510" spans="1:2">
      <c r="A510" s="98">
        <v>43146</v>
      </c>
      <c r="B510" s="97">
        <v>1681.4</v>
      </c>
    </row>
    <row r="511" spans="1:2">
      <c r="A511" s="98">
        <v>43147</v>
      </c>
      <c r="B511" s="97">
        <v>1698.12</v>
      </c>
    </row>
    <row r="512" spans="1:2">
      <c r="A512" s="98">
        <v>43150</v>
      </c>
      <c r="B512" s="97">
        <v>1696.11</v>
      </c>
    </row>
    <row r="513" spans="1:2">
      <c r="A513" s="98">
        <v>43151</v>
      </c>
      <c r="B513" s="97">
        <v>1701.2</v>
      </c>
    </row>
    <row r="514" spans="1:2">
      <c r="A514" s="98">
        <v>43152</v>
      </c>
      <c r="B514" s="97">
        <v>1697.05</v>
      </c>
    </row>
    <row r="515" spans="1:2">
      <c r="A515" s="98">
        <v>43153</v>
      </c>
      <c r="B515" s="97">
        <v>1694.48</v>
      </c>
    </row>
    <row r="516" spans="1:2">
      <c r="A516" s="98">
        <v>43154</v>
      </c>
      <c r="B516" s="97">
        <v>1703.17</v>
      </c>
    </row>
    <row r="517" spans="1:2">
      <c r="A517" s="98">
        <v>43157</v>
      </c>
      <c r="B517" s="97">
        <v>1716.28</v>
      </c>
    </row>
    <row r="518" spans="1:2">
      <c r="A518" s="98">
        <v>43158</v>
      </c>
      <c r="B518" s="97">
        <v>1709.94</v>
      </c>
    </row>
    <row r="519" spans="1:2">
      <c r="A519" s="98">
        <v>43159</v>
      </c>
      <c r="B519" s="97">
        <v>1704.84</v>
      </c>
    </row>
    <row r="520" spans="1:2">
      <c r="A520" s="98">
        <v>43160</v>
      </c>
      <c r="B520" s="97">
        <v>1681.39</v>
      </c>
    </row>
    <row r="521" spans="1:2">
      <c r="A521" s="98">
        <v>43161</v>
      </c>
      <c r="B521" s="97">
        <v>1653.18</v>
      </c>
    </row>
    <row r="522" spans="1:2">
      <c r="A522" s="98">
        <v>43164</v>
      </c>
      <c r="B522" s="97">
        <v>1667.27</v>
      </c>
    </row>
    <row r="523" spans="1:2">
      <c r="A523" s="98">
        <v>43165</v>
      </c>
      <c r="B523" s="97">
        <v>1669.05</v>
      </c>
    </row>
    <row r="524" spans="1:2">
      <c r="A524" s="98">
        <v>43166</v>
      </c>
      <c r="B524" s="97">
        <v>1676.67</v>
      </c>
    </row>
    <row r="525" spans="1:2">
      <c r="A525" s="98">
        <v>43167</v>
      </c>
      <c r="B525" s="97">
        <v>1693.91</v>
      </c>
    </row>
    <row r="526" spans="1:2">
      <c r="A526" s="98">
        <v>43168</v>
      </c>
      <c r="B526" s="97">
        <v>1707.43</v>
      </c>
    </row>
    <row r="527" spans="1:2">
      <c r="A527" s="98">
        <v>43171</v>
      </c>
      <c r="B527" s="97">
        <v>1709.49</v>
      </c>
    </row>
    <row r="528" spans="1:2">
      <c r="A528" s="98">
        <v>43172</v>
      </c>
      <c r="B528" s="97">
        <v>1690.65</v>
      </c>
    </row>
    <row r="529" spans="1:2">
      <c r="A529" s="98">
        <v>43173</v>
      </c>
      <c r="B529" s="97">
        <v>1688.82</v>
      </c>
    </row>
    <row r="530" spans="1:2">
      <c r="A530" s="98">
        <v>43174</v>
      </c>
      <c r="B530" s="97">
        <v>1696.46</v>
      </c>
    </row>
    <row r="531" spans="1:2">
      <c r="A531" s="98">
        <v>43175</v>
      </c>
      <c r="B531" s="97">
        <v>1704.33</v>
      </c>
    </row>
    <row r="532" spans="1:2">
      <c r="A532" s="98">
        <v>43178</v>
      </c>
      <c r="B532" s="97">
        <v>1682.91</v>
      </c>
    </row>
    <row r="533" spans="1:2">
      <c r="A533" s="98">
        <v>43179</v>
      </c>
      <c r="B533" s="97">
        <v>1687.1</v>
      </c>
    </row>
    <row r="534" spans="1:2">
      <c r="A534" s="98">
        <v>43180</v>
      </c>
      <c r="B534" s="97">
        <v>1681.94</v>
      </c>
    </row>
    <row r="535" spans="1:2">
      <c r="A535" s="98">
        <v>43181</v>
      </c>
      <c r="B535" s="97">
        <v>1646.17</v>
      </c>
    </row>
    <row r="536" spans="1:2">
      <c r="A536" s="98">
        <v>43182</v>
      </c>
      <c r="B536" s="97">
        <v>1619.14</v>
      </c>
    </row>
    <row r="537" spans="1:2">
      <c r="A537" s="98">
        <v>43185</v>
      </c>
      <c r="B537" s="97">
        <v>1618.89</v>
      </c>
    </row>
    <row r="538" spans="1:2">
      <c r="A538" s="98">
        <v>43186</v>
      </c>
      <c r="B538" s="97">
        <v>1623.95</v>
      </c>
    </row>
    <row r="539" spans="1:2">
      <c r="A539" s="98">
        <v>43187</v>
      </c>
      <c r="B539" s="97">
        <v>1629.96</v>
      </c>
    </row>
    <row r="540" spans="1:2">
      <c r="A540" s="98">
        <v>43188</v>
      </c>
      <c r="B540" s="97">
        <v>1640.07</v>
      </c>
    </row>
    <row r="541" spans="1:2">
      <c r="A541" s="98">
        <v>43192</v>
      </c>
      <c r="B541" s="97">
        <v>1628.92</v>
      </c>
    </row>
    <row r="542" spans="1:2">
      <c r="A542" s="98">
        <v>43193</v>
      </c>
      <c r="B542" s="97">
        <v>1628.51</v>
      </c>
    </row>
    <row r="543" spans="1:2">
      <c r="A543" s="98">
        <v>43194</v>
      </c>
      <c r="B543" s="97">
        <v>1627.94</v>
      </c>
    </row>
    <row r="544" spans="1:2">
      <c r="A544" s="98">
        <v>43195</v>
      </c>
      <c r="B544" s="97">
        <v>1665.16</v>
      </c>
    </row>
    <row r="545" spans="1:2">
      <c r="A545" s="98">
        <v>43196</v>
      </c>
      <c r="B545" s="97">
        <v>1651.02</v>
      </c>
    </row>
    <row r="546" spans="1:2">
      <c r="A546" s="98">
        <v>43199</v>
      </c>
      <c r="B546" s="97">
        <v>1658.51</v>
      </c>
    </row>
    <row r="547" spans="1:2">
      <c r="A547" s="98">
        <v>43200</v>
      </c>
      <c r="B547" s="97">
        <v>1673.77</v>
      </c>
    </row>
    <row r="548" spans="1:2">
      <c r="A548" s="98">
        <v>43201</v>
      </c>
      <c r="B548" s="97">
        <v>1662.76</v>
      </c>
    </row>
    <row r="549" spans="1:2">
      <c r="A549" s="98">
        <v>43202</v>
      </c>
      <c r="B549" s="97">
        <v>1673.21</v>
      </c>
    </row>
    <row r="550" spans="1:2">
      <c r="A550" s="98">
        <v>43203</v>
      </c>
      <c r="B550" s="97">
        <v>1671.06</v>
      </c>
    </row>
    <row r="551" spans="1:2">
      <c r="A551" s="98">
        <v>43206</v>
      </c>
      <c r="B551" s="97">
        <v>1669.7</v>
      </c>
    </row>
    <row r="552" spans="1:2">
      <c r="A552" s="98">
        <v>43207</v>
      </c>
      <c r="B552" s="97">
        <v>1687.34</v>
      </c>
    </row>
    <row r="553" spans="1:2">
      <c r="A553" s="98">
        <v>43208</v>
      </c>
      <c r="B553" s="97">
        <v>1688.88</v>
      </c>
    </row>
    <row r="554" spans="1:2">
      <c r="A554" s="98">
        <v>43209</v>
      </c>
      <c r="B554" s="97">
        <v>1689.02</v>
      </c>
    </row>
    <row r="555" spans="1:2">
      <c r="A555" s="98">
        <v>43210</v>
      </c>
      <c r="B555" s="97">
        <v>1693.21</v>
      </c>
    </row>
    <row r="556" spans="1:2">
      <c r="A556" s="98">
        <v>43213</v>
      </c>
      <c r="B556" s="97">
        <v>1704.51</v>
      </c>
    </row>
    <row r="557" spans="1:2">
      <c r="A557" s="98">
        <v>43214</v>
      </c>
      <c r="B557" s="97">
        <v>1697.66</v>
      </c>
    </row>
    <row r="558" spans="1:2">
      <c r="A558" s="98">
        <v>43215</v>
      </c>
      <c r="B558" s="97">
        <v>1695.36</v>
      </c>
    </row>
    <row r="559" spans="1:2">
      <c r="A559" s="98">
        <v>43216</v>
      </c>
      <c r="B559" s="97">
        <v>1712.57</v>
      </c>
    </row>
    <row r="560" spans="1:2">
      <c r="A560" s="98">
        <v>43217</v>
      </c>
      <c r="B560" s="97">
        <v>1718.22</v>
      </c>
    </row>
    <row r="561" spans="1:2">
      <c r="A561" s="98">
        <v>43220</v>
      </c>
      <c r="B561" s="97">
        <v>1718.91</v>
      </c>
    </row>
    <row r="562" spans="1:2">
      <c r="A562" s="98">
        <v>43221</v>
      </c>
      <c r="B562" s="97">
        <v>1725.77</v>
      </c>
    </row>
    <row r="563" spans="1:2">
      <c r="A563" s="98">
        <v>43222</v>
      </c>
      <c r="B563" s="97">
        <v>1730.77</v>
      </c>
    </row>
    <row r="564" spans="1:2">
      <c r="A564" s="98">
        <v>43223</v>
      </c>
      <c r="B564" s="97">
        <v>1723.23</v>
      </c>
    </row>
    <row r="565" spans="1:2">
      <c r="A565" s="98">
        <v>43224</v>
      </c>
      <c r="B565" s="97">
        <v>1732.97</v>
      </c>
    </row>
    <row r="566" spans="1:2">
      <c r="A566" s="98">
        <v>43227</v>
      </c>
      <c r="B566" s="97">
        <v>1742.71</v>
      </c>
    </row>
    <row r="567" spans="1:2">
      <c r="A567" s="98">
        <v>43228</v>
      </c>
      <c r="B567" s="97">
        <v>1746.04</v>
      </c>
    </row>
    <row r="568" spans="1:2">
      <c r="A568" s="98">
        <v>43229</v>
      </c>
      <c r="B568" s="97">
        <v>1750.1</v>
      </c>
    </row>
    <row r="569" spans="1:2">
      <c r="A569" s="98">
        <v>43230</v>
      </c>
      <c r="B569" s="97">
        <v>1754.68</v>
      </c>
    </row>
    <row r="570" spans="1:2">
      <c r="A570" s="98">
        <v>43231</v>
      </c>
      <c r="B570" s="97">
        <v>1754.28</v>
      </c>
    </row>
    <row r="571" spans="1:2">
      <c r="A571" s="98">
        <v>43234</v>
      </c>
      <c r="B571" s="97">
        <v>1754.44</v>
      </c>
    </row>
    <row r="572" spans="1:2">
      <c r="A572" s="98">
        <v>43235</v>
      </c>
      <c r="B572" s="97">
        <v>1754.92</v>
      </c>
    </row>
    <row r="573" spans="1:2">
      <c r="A573" s="98">
        <v>43236</v>
      </c>
      <c r="B573" s="97">
        <v>1757.95</v>
      </c>
    </row>
    <row r="574" spans="1:2">
      <c r="A574" s="98">
        <v>43237</v>
      </c>
      <c r="B574" s="97">
        <v>1760.73</v>
      </c>
    </row>
    <row r="575" spans="1:2">
      <c r="A575" s="98">
        <v>43238</v>
      </c>
      <c r="B575" s="97">
        <v>1749.86</v>
      </c>
    </row>
    <row r="576" spans="1:2">
      <c r="A576" s="98">
        <v>43241</v>
      </c>
      <c r="B576" s="97">
        <v>1749.42</v>
      </c>
    </row>
    <row r="577" spans="1:2">
      <c r="A577" s="98">
        <v>43242</v>
      </c>
      <c r="B577" s="97">
        <v>1754.16</v>
      </c>
    </row>
    <row r="578" spans="1:2">
      <c r="A578" s="98">
        <v>43243</v>
      </c>
      <c r="B578" s="97">
        <v>1745.44</v>
      </c>
    </row>
    <row r="579" spans="1:2">
      <c r="A579" s="98">
        <v>43244</v>
      </c>
      <c r="B579" s="97">
        <v>1738.58</v>
      </c>
    </row>
    <row r="580" spans="1:2">
      <c r="A580" s="98">
        <v>43245</v>
      </c>
      <c r="B580" s="97">
        <v>1739.09</v>
      </c>
    </row>
    <row r="581" spans="1:2">
      <c r="A581" s="98">
        <v>43248</v>
      </c>
      <c r="B581" s="97">
        <v>1732.02</v>
      </c>
    </row>
    <row r="582" spans="1:2">
      <c r="A582" s="98">
        <v>43249</v>
      </c>
      <c r="B582" s="97">
        <v>1705.35</v>
      </c>
    </row>
    <row r="583" spans="1:2">
      <c r="A583" s="98">
        <v>43250</v>
      </c>
      <c r="B583" s="97">
        <v>1711.21</v>
      </c>
    </row>
    <row r="584" spans="1:2">
      <c r="A584" s="98">
        <v>43251</v>
      </c>
      <c r="B584" s="97">
        <v>1695.79</v>
      </c>
    </row>
    <row r="585" spans="1:2">
      <c r="A585" s="98">
        <v>43252</v>
      </c>
      <c r="B585" s="97">
        <v>1717.22</v>
      </c>
    </row>
    <row r="586" spans="1:2">
      <c r="A586" s="98">
        <v>43255</v>
      </c>
      <c r="B586" s="97">
        <v>1725.92</v>
      </c>
    </row>
    <row r="587" spans="1:2">
      <c r="A587" s="98">
        <v>43256</v>
      </c>
      <c r="B587" s="97">
        <v>1721.64</v>
      </c>
    </row>
    <row r="588" spans="1:2">
      <c r="A588" s="98">
        <v>43257</v>
      </c>
      <c r="B588" s="97">
        <v>1725.88</v>
      </c>
    </row>
    <row r="589" spans="1:2">
      <c r="A589" s="98">
        <v>43258</v>
      </c>
      <c r="B589" s="97">
        <v>1718.3</v>
      </c>
    </row>
    <row r="590" spans="1:2">
      <c r="A590" s="98">
        <v>43259</v>
      </c>
      <c r="B590" s="97">
        <v>1720.92</v>
      </c>
    </row>
    <row r="591" spans="1:2">
      <c r="A591" s="98">
        <v>43262</v>
      </c>
      <c r="B591" s="97">
        <v>1731.74</v>
      </c>
    </row>
    <row r="592" spans="1:2">
      <c r="A592" s="98">
        <v>43263</v>
      </c>
      <c r="B592" s="97">
        <v>1735.23</v>
      </c>
    </row>
    <row r="593" spans="1:2">
      <c r="A593" s="98">
        <v>43264</v>
      </c>
      <c r="B593" s="97">
        <v>1736.15</v>
      </c>
    </row>
    <row r="594" spans="1:2">
      <c r="A594" s="98">
        <v>43265</v>
      </c>
      <c r="B594" s="97">
        <v>1759.54</v>
      </c>
    </row>
    <row r="595" spans="1:2">
      <c r="A595" s="98">
        <v>43266</v>
      </c>
      <c r="B595" s="97">
        <v>1752.14</v>
      </c>
    </row>
    <row r="596" spans="1:2">
      <c r="A596" s="98">
        <v>43269</v>
      </c>
      <c r="B596" s="97">
        <v>1739.29</v>
      </c>
    </row>
    <row r="597" spans="1:2">
      <c r="A597" s="98">
        <v>43270</v>
      </c>
      <c r="B597" s="97">
        <v>1730.89</v>
      </c>
    </row>
    <row r="598" spans="1:2">
      <c r="A598" s="98">
        <v>43271</v>
      </c>
      <c r="B598" s="97">
        <v>1732.48</v>
      </c>
    </row>
    <row r="599" spans="1:2">
      <c r="A599" s="98">
        <v>43272</v>
      </c>
      <c r="B599" s="97">
        <v>1715.86</v>
      </c>
    </row>
    <row r="600" spans="1:2">
      <c r="A600" s="98">
        <v>43273</v>
      </c>
      <c r="B600" s="97">
        <v>1722.31</v>
      </c>
    </row>
    <row r="601" spans="1:2">
      <c r="A601" s="98">
        <v>43276</v>
      </c>
      <c r="B601" s="97">
        <v>1688.49</v>
      </c>
    </row>
    <row r="602" spans="1:2">
      <c r="A602" s="98">
        <v>43277</v>
      </c>
      <c r="B602" s="97">
        <v>1689.32</v>
      </c>
    </row>
    <row r="603" spans="1:2">
      <c r="A603" s="98">
        <v>43278</v>
      </c>
      <c r="B603" s="97">
        <v>1692.87</v>
      </c>
    </row>
    <row r="604" spans="1:2">
      <c r="A604" s="98">
        <v>43279</v>
      </c>
      <c r="B604" s="97">
        <v>1686.74</v>
      </c>
    </row>
    <row r="605" spans="1:2">
      <c r="A605" s="98">
        <v>43280</v>
      </c>
      <c r="B605" s="97">
        <v>1692.8</v>
      </c>
    </row>
    <row r="606" spans="1:2">
      <c r="A606" s="98">
        <v>43283</v>
      </c>
      <c r="B606" s="97">
        <v>1688.24</v>
      </c>
    </row>
    <row r="607" spans="1:2">
      <c r="A607" s="98">
        <v>43284</v>
      </c>
      <c r="B607" s="97">
        <v>1694.83</v>
      </c>
    </row>
    <row r="608" spans="1:2">
      <c r="A608" s="98">
        <v>43285</v>
      </c>
      <c r="B608" s="97">
        <v>1697.48</v>
      </c>
    </row>
    <row r="609" spans="1:2">
      <c r="A609" s="98">
        <v>43286</v>
      </c>
      <c r="B609" s="97">
        <v>1708.24</v>
      </c>
    </row>
    <row r="610" spans="1:2">
      <c r="A610" s="98">
        <v>43287</v>
      </c>
      <c r="B610" s="97">
        <v>1714.13</v>
      </c>
    </row>
    <row r="611" spans="1:2">
      <c r="A611" s="98">
        <v>43290</v>
      </c>
      <c r="B611" s="97">
        <v>1724.41</v>
      </c>
    </row>
    <row r="612" spans="1:2">
      <c r="A612" s="98">
        <v>43291</v>
      </c>
      <c r="B612" s="97">
        <v>1731.54</v>
      </c>
    </row>
    <row r="613" spans="1:2">
      <c r="A613" s="98">
        <v>43292</v>
      </c>
      <c r="B613" s="97">
        <v>1711.79</v>
      </c>
    </row>
    <row r="614" spans="1:2">
      <c r="A614" s="98">
        <v>43293</v>
      </c>
      <c r="B614" s="97">
        <v>1727.12</v>
      </c>
    </row>
    <row r="615" spans="1:2">
      <c r="A615" s="98">
        <v>43294</v>
      </c>
      <c r="B615" s="97">
        <v>1730.15</v>
      </c>
    </row>
    <row r="616" spans="1:2">
      <c r="A616" s="98">
        <v>43297</v>
      </c>
      <c r="B616" s="97">
        <v>1729.18</v>
      </c>
    </row>
    <row r="617" spans="1:2">
      <c r="A617" s="98">
        <v>43298</v>
      </c>
      <c r="B617" s="97">
        <v>1734.3</v>
      </c>
    </row>
    <row r="618" spans="1:2">
      <c r="A618" s="98">
        <v>43299</v>
      </c>
      <c r="B618" s="97">
        <v>1745.98</v>
      </c>
    </row>
    <row r="619" spans="1:2">
      <c r="A619" s="98">
        <v>43300</v>
      </c>
      <c r="B619" s="97">
        <v>1737.87</v>
      </c>
    </row>
    <row r="620" spans="1:2">
      <c r="A620" s="98">
        <v>43301</v>
      </c>
      <c r="B620" s="97">
        <v>1728.28</v>
      </c>
    </row>
    <row r="621" spans="1:2">
      <c r="A621" s="98">
        <v>43304</v>
      </c>
      <c r="B621" s="97">
        <v>1726.51</v>
      </c>
    </row>
    <row r="622" spans="1:2">
      <c r="A622" s="98">
        <v>43305</v>
      </c>
      <c r="B622" s="97">
        <v>1739.21</v>
      </c>
    </row>
    <row r="623" spans="1:2">
      <c r="A623" s="98">
        <v>43306</v>
      </c>
      <c r="B623" s="97">
        <v>1744.01</v>
      </c>
    </row>
    <row r="624" spans="1:2">
      <c r="A624" s="98">
        <v>43307</v>
      </c>
      <c r="B624" s="97">
        <v>1754.13</v>
      </c>
    </row>
    <row r="625" spans="1:2">
      <c r="A625" s="98">
        <v>43308</v>
      </c>
      <c r="B625" s="97">
        <v>1756.47</v>
      </c>
    </row>
    <row r="626" spans="1:2">
      <c r="A626" s="98">
        <v>43311</v>
      </c>
      <c r="B626" s="97">
        <v>1748.71</v>
      </c>
    </row>
    <row r="627" spans="1:2">
      <c r="A627" s="98">
        <v>43312</v>
      </c>
      <c r="B627" s="97">
        <v>1754.47</v>
      </c>
    </row>
    <row r="628" spans="1:2">
      <c r="A628" s="98">
        <v>43313</v>
      </c>
      <c r="B628" s="97">
        <v>1752.39</v>
      </c>
    </row>
    <row r="629" spans="1:2">
      <c r="A629" s="98">
        <v>43314</v>
      </c>
      <c r="B629" s="97">
        <v>1744.48</v>
      </c>
    </row>
    <row r="630" spans="1:2">
      <c r="A630" s="98">
        <v>43315</v>
      </c>
      <c r="B630" s="97">
        <v>1755.79</v>
      </c>
    </row>
    <row r="631" spans="1:2">
      <c r="A631" s="98">
        <v>43318</v>
      </c>
      <c r="B631" s="97">
        <v>1757.72</v>
      </c>
    </row>
    <row r="632" spans="1:2">
      <c r="A632" s="98">
        <v>43319</v>
      </c>
      <c r="B632" s="97">
        <v>1758.52</v>
      </c>
    </row>
    <row r="633" spans="1:2">
      <c r="A633" s="98">
        <v>43320</v>
      </c>
      <c r="B633" s="97">
        <v>1756.82</v>
      </c>
    </row>
    <row r="634" spans="1:2">
      <c r="A634" s="98">
        <v>43321</v>
      </c>
      <c r="B634" s="97">
        <v>1760.14</v>
      </c>
    </row>
    <row r="635" spans="1:2">
      <c r="A635" s="98">
        <v>43322</v>
      </c>
      <c r="B635" s="97">
        <v>1742.24</v>
      </c>
    </row>
    <row r="636" spans="1:2">
      <c r="A636" s="98">
        <v>43325</v>
      </c>
      <c r="B636" s="97">
        <v>1737.39</v>
      </c>
    </row>
    <row r="637" spans="1:2">
      <c r="A637" s="98">
        <v>43326</v>
      </c>
      <c r="B637" s="97">
        <v>1738.74</v>
      </c>
    </row>
    <row r="638" spans="1:2">
      <c r="A638" s="98">
        <v>43327</v>
      </c>
      <c r="B638" s="97">
        <v>1725.23</v>
      </c>
    </row>
    <row r="639" spans="1:2">
      <c r="A639" s="98">
        <v>43328</v>
      </c>
      <c r="B639" s="97">
        <v>1723.99</v>
      </c>
    </row>
    <row r="640" spans="1:2">
      <c r="A640" s="98">
        <v>43329</v>
      </c>
      <c r="B640" s="97">
        <v>1720.55</v>
      </c>
    </row>
    <row r="641" spans="1:2">
      <c r="A641" s="98">
        <v>43332</v>
      </c>
      <c r="B641" s="97">
        <v>1727.29</v>
      </c>
    </row>
    <row r="642" spans="1:2">
      <c r="A642" s="98">
        <v>43333</v>
      </c>
      <c r="B642" s="97">
        <v>1734.78</v>
      </c>
    </row>
    <row r="643" spans="1:2">
      <c r="A643" s="98">
        <v>43334</v>
      </c>
      <c r="B643" s="97">
        <v>1738.16</v>
      </c>
    </row>
    <row r="644" spans="1:2">
      <c r="A644" s="98">
        <v>43335</v>
      </c>
      <c r="B644" s="97">
        <v>1738.58</v>
      </c>
    </row>
    <row r="645" spans="1:2">
      <c r="A645" s="98">
        <v>43336</v>
      </c>
      <c r="B645" s="97">
        <v>1741.8</v>
      </c>
    </row>
    <row r="646" spans="1:2">
      <c r="A646" s="98">
        <v>43339</v>
      </c>
      <c r="B646" s="97">
        <v>1754.63</v>
      </c>
    </row>
    <row r="647" spans="1:2">
      <c r="A647" s="98">
        <v>43340</v>
      </c>
      <c r="B647" s="97">
        <v>1749.54</v>
      </c>
    </row>
    <row r="648" spans="1:2">
      <c r="A648" s="98">
        <v>43341</v>
      </c>
      <c r="B648" s="97">
        <v>1753.23</v>
      </c>
    </row>
    <row r="649" spans="1:2">
      <c r="A649" s="98">
        <v>43342</v>
      </c>
      <c r="B649" s="97">
        <v>1744.2</v>
      </c>
    </row>
    <row r="650" spans="1:2">
      <c r="A650" s="98">
        <v>43343</v>
      </c>
      <c r="B650" s="97">
        <v>1733.27</v>
      </c>
    </row>
    <row r="651" spans="1:2">
      <c r="A651" s="98">
        <v>43346</v>
      </c>
      <c r="B651" s="97">
        <v>1736.25</v>
      </c>
    </row>
    <row r="652" spans="1:2">
      <c r="A652" s="98">
        <v>43347</v>
      </c>
      <c r="B652" s="97">
        <v>1729.34</v>
      </c>
    </row>
    <row r="653" spans="1:2">
      <c r="A653" s="98">
        <v>43348</v>
      </c>
      <c r="B653" s="97">
        <v>1708.49</v>
      </c>
    </row>
    <row r="654" spans="1:2">
      <c r="A654" s="98">
        <v>43349</v>
      </c>
      <c r="B654" s="97">
        <v>1701.17</v>
      </c>
    </row>
    <row r="655" spans="1:2">
      <c r="A655" s="98">
        <v>43350</v>
      </c>
      <c r="B655" s="97">
        <v>1703.1</v>
      </c>
    </row>
    <row r="656" spans="1:2">
      <c r="A656" s="98">
        <v>43353</v>
      </c>
      <c r="B656" s="97">
        <v>1713.25</v>
      </c>
    </row>
    <row r="657" spans="1:2">
      <c r="A657" s="98">
        <v>43354</v>
      </c>
      <c r="B657" s="97">
        <v>1712.51</v>
      </c>
    </row>
    <row r="658" spans="1:2">
      <c r="A658" s="98">
        <v>43355</v>
      </c>
      <c r="B658" s="97">
        <v>1717.84</v>
      </c>
    </row>
    <row r="659" spans="1:2">
      <c r="A659" s="98">
        <v>43356</v>
      </c>
      <c r="B659" s="97">
        <v>1719.82</v>
      </c>
    </row>
    <row r="660" spans="1:2">
      <c r="A660" s="98">
        <v>43357</v>
      </c>
      <c r="B660" s="97">
        <v>1723.29</v>
      </c>
    </row>
    <row r="661" spans="1:2">
      <c r="A661" s="98">
        <v>43360</v>
      </c>
      <c r="B661" s="97">
        <v>1722.92</v>
      </c>
    </row>
    <row r="662" spans="1:2">
      <c r="A662" s="98">
        <v>43361</v>
      </c>
      <c r="B662" s="97">
        <v>1729.56</v>
      </c>
    </row>
    <row r="663" spans="1:2">
      <c r="A663" s="98">
        <v>43362</v>
      </c>
      <c r="B663" s="97">
        <v>1733.75</v>
      </c>
    </row>
    <row r="664" spans="1:2">
      <c r="A664" s="98">
        <v>43363</v>
      </c>
      <c r="B664" s="97">
        <v>1742.21</v>
      </c>
    </row>
    <row r="665" spans="1:2">
      <c r="A665" s="98">
        <v>43364</v>
      </c>
      <c r="B665" s="97">
        <v>1749.15</v>
      </c>
    </row>
    <row r="666" spans="1:2">
      <c r="A666" s="98">
        <v>43367</v>
      </c>
      <c r="B666" s="97">
        <v>1742.96</v>
      </c>
    </row>
    <row r="667" spans="1:2">
      <c r="A667" s="98">
        <v>43368</v>
      </c>
      <c r="B667" s="97">
        <v>1748.87</v>
      </c>
    </row>
    <row r="668" spans="1:2">
      <c r="A668" s="98">
        <v>43369</v>
      </c>
      <c r="B668" s="97">
        <v>1750.85</v>
      </c>
    </row>
    <row r="669" spans="1:2">
      <c r="A669" s="98">
        <v>43370</v>
      </c>
      <c r="B669" s="97">
        <v>1758.94</v>
      </c>
    </row>
    <row r="670" spans="1:2">
      <c r="A670" s="98">
        <v>43371</v>
      </c>
      <c r="B670" s="97">
        <v>1742</v>
      </c>
    </row>
    <row r="671" spans="1:2">
      <c r="A671" s="98">
        <v>43374</v>
      </c>
      <c r="B671" s="97">
        <v>1748.24</v>
      </c>
    </row>
    <row r="672" spans="1:2">
      <c r="A672" s="98">
        <v>43375</v>
      </c>
      <c r="B672" s="97">
        <v>1740.06</v>
      </c>
    </row>
    <row r="673" spans="1:2">
      <c r="A673" s="98">
        <v>43376</v>
      </c>
      <c r="B673" s="97">
        <v>1744.57</v>
      </c>
    </row>
    <row r="674" spans="1:2">
      <c r="A674" s="98">
        <v>43377</v>
      </c>
      <c r="B674" s="97">
        <v>1736.47</v>
      </c>
    </row>
    <row r="675" spans="1:2">
      <c r="A675" s="98">
        <v>43378</v>
      </c>
      <c r="B675" s="97">
        <v>1722.62</v>
      </c>
    </row>
    <row r="676" spans="1:2">
      <c r="A676" s="98">
        <v>43381</v>
      </c>
      <c r="B676" s="97">
        <v>1708.09</v>
      </c>
    </row>
    <row r="677" spans="1:2">
      <c r="A677" s="98">
        <v>43382</v>
      </c>
      <c r="B677" s="97">
        <v>1710.69</v>
      </c>
    </row>
    <row r="678" spans="1:2">
      <c r="A678" s="98">
        <v>43383</v>
      </c>
      <c r="B678" s="97">
        <v>1674.41</v>
      </c>
    </row>
    <row r="679" spans="1:2">
      <c r="A679" s="98">
        <v>43384</v>
      </c>
      <c r="B679" s="97">
        <v>1642.91</v>
      </c>
    </row>
    <row r="680" spans="1:2">
      <c r="A680" s="98">
        <v>43385</v>
      </c>
      <c r="B680" s="97">
        <v>1650.53</v>
      </c>
    </row>
    <row r="681" spans="1:2">
      <c r="A681" s="98">
        <v>43388</v>
      </c>
      <c r="B681" s="97">
        <v>1647.56</v>
      </c>
    </row>
    <row r="682" spans="1:2">
      <c r="A682" s="98">
        <v>43389</v>
      </c>
      <c r="B682" s="97">
        <v>1678.83</v>
      </c>
    </row>
    <row r="683" spans="1:2">
      <c r="A683" s="98">
        <v>43390</v>
      </c>
      <c r="B683" s="97">
        <v>1680.27</v>
      </c>
    </row>
    <row r="684" spans="1:2">
      <c r="A684" s="98">
        <v>43391</v>
      </c>
      <c r="B684" s="97">
        <v>1669.89</v>
      </c>
    </row>
    <row r="685" spans="1:2">
      <c r="A685" s="98">
        <v>43392</v>
      </c>
      <c r="B685" s="97">
        <v>1663.85</v>
      </c>
    </row>
    <row r="686" spans="1:2">
      <c r="A686" s="98">
        <v>43395</v>
      </c>
      <c r="B686" s="97">
        <v>1649.65</v>
      </c>
    </row>
    <row r="687" spans="1:2">
      <c r="A687" s="98">
        <v>43396</v>
      </c>
      <c r="B687" s="97">
        <v>1625.9</v>
      </c>
    </row>
    <row r="688" spans="1:2">
      <c r="A688" s="98">
        <v>43397</v>
      </c>
      <c r="B688" s="97">
        <v>1599.48</v>
      </c>
    </row>
    <row r="689" spans="1:2">
      <c r="A689" s="98">
        <v>43398</v>
      </c>
      <c r="B689" s="97">
        <v>1623.63</v>
      </c>
    </row>
    <row r="690" spans="1:2">
      <c r="A690" s="98">
        <v>43399</v>
      </c>
      <c r="B690" s="97">
        <v>1607.43</v>
      </c>
    </row>
    <row r="691" spans="1:2">
      <c r="A691" s="98">
        <v>43402</v>
      </c>
      <c r="B691" s="97">
        <v>1614.67</v>
      </c>
    </row>
    <row r="692" spans="1:2">
      <c r="A692" s="98">
        <v>43403</v>
      </c>
      <c r="B692" s="97">
        <v>1621.36</v>
      </c>
    </row>
    <row r="693" spans="1:2">
      <c r="A693" s="98">
        <v>43404</v>
      </c>
      <c r="B693" s="97">
        <v>1645.96</v>
      </c>
    </row>
    <row r="694" spans="1:2">
      <c r="A694" s="98">
        <v>43405</v>
      </c>
      <c r="B694" s="97">
        <v>1654.39</v>
      </c>
    </row>
    <row r="695" spans="1:2">
      <c r="A695" s="98">
        <v>43406</v>
      </c>
      <c r="B695" s="97">
        <v>1660.08</v>
      </c>
    </row>
    <row r="696" spans="1:2">
      <c r="A696" s="98">
        <v>43409</v>
      </c>
      <c r="B696" s="97">
        <v>1660.13</v>
      </c>
    </row>
    <row r="697" spans="1:2">
      <c r="A697" s="98">
        <v>43410</v>
      </c>
      <c r="B697" s="97">
        <v>1658.02</v>
      </c>
    </row>
    <row r="698" spans="1:2">
      <c r="A698" s="98">
        <v>43411</v>
      </c>
      <c r="B698" s="97">
        <v>1682.66</v>
      </c>
    </row>
    <row r="699" spans="1:2">
      <c r="A699" s="98">
        <v>43412</v>
      </c>
      <c r="B699" s="97">
        <v>1685.47</v>
      </c>
    </row>
    <row r="700" spans="1:2">
      <c r="A700" s="98">
        <v>43413</v>
      </c>
      <c r="B700" s="97">
        <v>1681.3</v>
      </c>
    </row>
    <row r="701" spans="1:2">
      <c r="A701" s="98">
        <v>43416</v>
      </c>
      <c r="B701" s="97">
        <v>1662.38</v>
      </c>
    </row>
    <row r="702" spans="1:2">
      <c r="A702" s="98">
        <v>43417</v>
      </c>
      <c r="B702" s="97">
        <v>1674.33</v>
      </c>
    </row>
    <row r="703" spans="1:2">
      <c r="A703" s="98">
        <v>43418</v>
      </c>
      <c r="B703" s="97">
        <v>1661.66</v>
      </c>
    </row>
    <row r="704" spans="1:2">
      <c r="A704" s="98">
        <v>43419</v>
      </c>
      <c r="B704" s="97">
        <v>1660.6</v>
      </c>
    </row>
    <row r="705" spans="1:2">
      <c r="A705" s="98">
        <v>43420</v>
      </c>
      <c r="B705" s="97">
        <v>1654.85</v>
      </c>
    </row>
    <row r="706" spans="1:2">
      <c r="A706" s="98">
        <v>43423</v>
      </c>
      <c r="B706" s="97">
        <v>1632.66</v>
      </c>
    </row>
    <row r="707" spans="1:2">
      <c r="A707" s="98">
        <v>43424</v>
      </c>
      <c r="B707" s="97">
        <v>1609.69</v>
      </c>
    </row>
    <row r="708" spans="1:2">
      <c r="A708" s="98">
        <v>43425</v>
      </c>
      <c r="B708" s="97">
        <v>1624.89</v>
      </c>
    </row>
    <row r="709" spans="1:2">
      <c r="A709" s="98">
        <v>43426</v>
      </c>
      <c r="B709" s="97">
        <v>1615.59</v>
      </c>
    </row>
    <row r="710" spans="1:2">
      <c r="A710" s="98">
        <v>43427</v>
      </c>
      <c r="B710" s="97">
        <v>1621.94</v>
      </c>
    </row>
    <row r="711" spans="1:2">
      <c r="A711" s="98">
        <v>43430</v>
      </c>
      <c r="B711" s="97">
        <v>1649.92</v>
      </c>
    </row>
    <row r="712" spans="1:2">
      <c r="A712" s="98">
        <v>43431</v>
      </c>
      <c r="B712" s="97">
        <v>1654.86</v>
      </c>
    </row>
    <row r="713" spans="1:2">
      <c r="A713" s="98">
        <v>43432</v>
      </c>
      <c r="B713" s="97">
        <v>1669.11</v>
      </c>
    </row>
    <row r="714" spans="1:2">
      <c r="A714" s="98">
        <v>43433</v>
      </c>
      <c r="B714" s="97">
        <v>1663.77</v>
      </c>
    </row>
    <row r="715" spans="1:2">
      <c r="A715" s="98">
        <v>43434</v>
      </c>
      <c r="B715" s="97">
        <v>1673.8</v>
      </c>
    </row>
    <row r="716" spans="1:2">
      <c r="A716" s="98">
        <v>43437</v>
      </c>
      <c r="B716" s="97">
        <v>1690.84</v>
      </c>
    </row>
    <row r="717" spans="1:2">
      <c r="A717" s="98">
        <v>43438</v>
      </c>
      <c r="B717" s="97">
        <v>1662.67</v>
      </c>
    </row>
    <row r="718" spans="1:2">
      <c r="A718" s="98">
        <v>43439</v>
      </c>
      <c r="B718" s="97">
        <v>1651.07</v>
      </c>
    </row>
    <row r="719" spans="1:2">
      <c r="A719" s="98">
        <v>43440</v>
      </c>
      <c r="B719" s="97">
        <v>1614.22</v>
      </c>
    </row>
    <row r="720" spans="1:2">
      <c r="A720" s="98">
        <v>43441</v>
      </c>
      <c r="B720" s="97">
        <v>1604.33</v>
      </c>
    </row>
    <row r="721" spans="1:2">
      <c r="A721" s="98">
        <v>43444</v>
      </c>
      <c r="B721" s="97">
        <v>1591.46</v>
      </c>
    </row>
    <row r="722" spans="1:2">
      <c r="A722" s="98">
        <v>43445</v>
      </c>
      <c r="B722" s="97">
        <v>1605.25</v>
      </c>
    </row>
    <row r="723" spans="1:2">
      <c r="A723" s="98">
        <v>43446</v>
      </c>
      <c r="B723" s="97">
        <v>1625.87</v>
      </c>
    </row>
    <row r="724" spans="1:2">
      <c r="A724" s="98">
        <v>43447</v>
      </c>
      <c r="B724" s="97">
        <v>1627.03</v>
      </c>
    </row>
    <row r="725" spans="1:2">
      <c r="A725" s="98">
        <v>43448</v>
      </c>
      <c r="B725" s="97">
        <v>1609.42</v>
      </c>
    </row>
    <row r="726" spans="1:2">
      <c r="A726" s="98">
        <v>43451</v>
      </c>
      <c r="B726" s="97">
        <v>1584.52</v>
      </c>
    </row>
    <row r="727" spans="1:2">
      <c r="A727" s="98">
        <v>43452</v>
      </c>
      <c r="B727" s="97">
        <v>1576.98</v>
      </c>
    </row>
    <row r="728" spans="1:2">
      <c r="A728" s="98">
        <v>43453</v>
      </c>
      <c r="B728" s="97">
        <v>1576.32</v>
      </c>
    </row>
    <row r="729" spans="1:2">
      <c r="A729" s="98">
        <v>43454</v>
      </c>
      <c r="B729" s="97">
        <v>1549.5</v>
      </c>
    </row>
    <row r="730" spans="1:2">
      <c r="A730" s="98">
        <v>43455</v>
      </c>
      <c r="B730" s="97">
        <v>1535.32</v>
      </c>
    </row>
    <row r="731" spans="1:2">
      <c r="A731" s="98">
        <v>43458</v>
      </c>
      <c r="B731" s="97">
        <v>1515.55</v>
      </c>
    </row>
    <row r="732" spans="1:2">
      <c r="A732" s="98">
        <v>43460</v>
      </c>
      <c r="B732" s="97">
        <v>1537.77</v>
      </c>
    </row>
    <row r="733" spans="1:2">
      <c r="A733" s="98">
        <v>43461</v>
      </c>
      <c r="B733" s="97">
        <v>1528.63</v>
      </c>
    </row>
    <row r="734" spans="1:2">
      <c r="A734" s="98">
        <v>43462</v>
      </c>
      <c r="B734" s="97">
        <v>1546.76</v>
      </c>
    </row>
    <row r="735" spans="1:2">
      <c r="A735" s="98">
        <v>43465</v>
      </c>
      <c r="B735" s="97">
        <v>1556.67</v>
      </c>
    </row>
    <row r="736" spans="1:2">
      <c r="A736" s="98">
        <v>43467</v>
      </c>
      <c r="B736" s="97">
        <v>1556.03</v>
      </c>
    </row>
    <row r="737" spans="1:2">
      <c r="A737" s="98">
        <v>43468</v>
      </c>
      <c r="B737" s="97">
        <v>1526.21</v>
      </c>
    </row>
    <row r="738" spans="1:2">
      <c r="A738" s="98">
        <v>43469</v>
      </c>
      <c r="B738" s="97">
        <v>1571.77</v>
      </c>
    </row>
    <row r="739" spans="1:2">
      <c r="A739" s="98">
        <v>43472</v>
      </c>
      <c r="B739" s="97">
        <v>1572.6</v>
      </c>
    </row>
    <row r="740" spans="1:2">
      <c r="A740" s="98">
        <v>43473</v>
      </c>
      <c r="B740" s="97">
        <v>1584.25</v>
      </c>
    </row>
    <row r="741" spans="1:2">
      <c r="A741" s="98">
        <v>43474</v>
      </c>
      <c r="B741" s="97">
        <v>1585.23</v>
      </c>
    </row>
    <row r="742" spans="1:2">
      <c r="A742" s="98">
        <v>43475</v>
      </c>
      <c r="B742" s="97">
        <v>1588.34</v>
      </c>
    </row>
    <row r="743" spans="1:2">
      <c r="A743" s="98">
        <v>43476</v>
      </c>
      <c r="B743" s="97">
        <v>1590.25</v>
      </c>
    </row>
    <row r="744" spans="1:2">
      <c r="A744" s="98">
        <v>43479</v>
      </c>
      <c r="B744" s="97">
        <v>1581.44</v>
      </c>
    </row>
    <row r="745" spans="1:2">
      <c r="A745" s="98">
        <v>43480</v>
      </c>
      <c r="B745" s="97">
        <v>1593.79</v>
      </c>
    </row>
    <row r="746" spans="1:2">
      <c r="A746" s="98">
        <v>43481</v>
      </c>
      <c r="B746" s="97">
        <v>1607.51</v>
      </c>
    </row>
    <row r="747" spans="1:2">
      <c r="A747" s="98">
        <v>43482</v>
      </c>
      <c r="B747" s="97">
        <v>1609.71</v>
      </c>
    </row>
    <row r="748" spans="1:2">
      <c r="A748" s="98">
        <v>43483</v>
      </c>
      <c r="B748" s="97">
        <v>1634.48</v>
      </c>
    </row>
    <row r="749" spans="1:2">
      <c r="A749" s="98">
        <v>43486</v>
      </c>
      <c r="B749" s="97">
        <v>1627.73</v>
      </c>
    </row>
    <row r="750" spans="1:2">
      <c r="A750" s="98">
        <v>43487</v>
      </c>
      <c r="B750" s="97">
        <v>1615.94</v>
      </c>
    </row>
    <row r="751" spans="1:2">
      <c r="A751" s="98">
        <v>43488</v>
      </c>
      <c r="B751" s="97">
        <v>1622.74</v>
      </c>
    </row>
    <row r="752" spans="1:2">
      <c r="A752" s="98">
        <v>43489</v>
      </c>
      <c r="B752" s="97">
        <v>1624.99</v>
      </c>
    </row>
    <row r="753" spans="1:2">
      <c r="A753" s="98">
        <v>43490</v>
      </c>
      <c r="B753" s="97">
        <v>1639.34</v>
      </c>
    </row>
    <row r="754" spans="1:2">
      <c r="A754" s="98">
        <v>43493</v>
      </c>
      <c r="B754" s="97">
        <v>1619.06</v>
      </c>
    </row>
    <row r="755" spans="1:2">
      <c r="A755" s="98">
        <v>43494</v>
      </c>
      <c r="B755" s="97">
        <v>1622.33</v>
      </c>
    </row>
    <row r="756" spans="1:2">
      <c r="A756" s="98">
        <v>43495</v>
      </c>
      <c r="B756" s="97">
        <v>1626.38</v>
      </c>
    </row>
    <row r="757" spans="1:2">
      <c r="A757" s="98">
        <v>43496</v>
      </c>
      <c r="B757" s="97">
        <v>1625.12</v>
      </c>
    </row>
    <row r="758" spans="1:2">
      <c r="A758" s="98">
        <v>43497</v>
      </c>
      <c r="B758" s="97">
        <v>1624.43</v>
      </c>
    </row>
    <row r="759" spans="1:2">
      <c r="A759" s="98">
        <v>43500</v>
      </c>
      <c r="B759" s="97">
        <v>1625.68</v>
      </c>
    </row>
    <row r="760" spans="1:2">
      <c r="A760" s="98">
        <v>43501</v>
      </c>
      <c r="B760" s="97">
        <v>1644.44</v>
      </c>
    </row>
    <row r="761" spans="1:2">
      <c r="A761" s="98">
        <v>43502</v>
      </c>
      <c r="B761" s="97">
        <v>1651.28</v>
      </c>
    </row>
    <row r="762" spans="1:2">
      <c r="A762" s="98">
        <v>43503</v>
      </c>
      <c r="B762" s="97">
        <v>1622.38</v>
      </c>
    </row>
    <row r="763" spans="1:2">
      <c r="A763" s="98">
        <v>43504</v>
      </c>
      <c r="B763" s="97">
        <v>1615.5</v>
      </c>
    </row>
    <row r="764" spans="1:2">
      <c r="A764" s="98">
        <v>43507</v>
      </c>
      <c r="B764" s="97">
        <v>1627.23</v>
      </c>
    </row>
    <row r="765" spans="1:2">
      <c r="A765" s="98">
        <v>43508</v>
      </c>
      <c r="B765" s="97">
        <v>1637.71</v>
      </c>
    </row>
    <row r="766" spans="1:2">
      <c r="A766" s="98">
        <v>43509</v>
      </c>
      <c r="B766" s="97">
        <v>1646.58</v>
      </c>
    </row>
    <row r="767" spans="1:2">
      <c r="A767" s="98">
        <v>43510</v>
      </c>
      <c r="B767" s="97">
        <v>1640.04</v>
      </c>
    </row>
    <row r="768" spans="1:2">
      <c r="A768" s="98">
        <v>43511</v>
      </c>
      <c r="B768" s="97">
        <v>1671.19</v>
      </c>
    </row>
    <row r="769" spans="1:2">
      <c r="A769" s="98">
        <v>43514</v>
      </c>
      <c r="B769" s="97">
        <v>1672.89</v>
      </c>
    </row>
    <row r="770" spans="1:2">
      <c r="A770" s="98">
        <v>43515</v>
      </c>
      <c r="B770" s="97">
        <v>1669.61</v>
      </c>
    </row>
    <row r="771" spans="1:2">
      <c r="A771" s="98">
        <v>43516</v>
      </c>
      <c r="B771" s="97">
        <v>1674.65</v>
      </c>
    </row>
    <row r="772" spans="1:2">
      <c r="A772" s="98">
        <v>43517</v>
      </c>
      <c r="B772" s="97">
        <v>1671.67</v>
      </c>
    </row>
    <row r="773" spans="1:2">
      <c r="A773" s="98">
        <v>43518</v>
      </c>
      <c r="B773" s="97">
        <v>1682.65</v>
      </c>
    </row>
    <row r="774" spans="1:2">
      <c r="A774" s="98">
        <v>43521</v>
      </c>
      <c r="B774" s="97">
        <v>1688.11</v>
      </c>
    </row>
    <row r="775" spans="1:2">
      <c r="A775" s="98">
        <v>43522</v>
      </c>
      <c r="B775" s="97">
        <v>1688.44</v>
      </c>
    </row>
    <row r="776" spans="1:2">
      <c r="A776" s="98">
        <v>43523</v>
      </c>
      <c r="B776" s="97">
        <v>1684.85</v>
      </c>
    </row>
    <row r="777" spans="1:2">
      <c r="A777" s="98">
        <v>43524</v>
      </c>
      <c r="B777" s="97">
        <v>1691.75</v>
      </c>
    </row>
    <row r="778" spans="1:2">
      <c r="A778" s="98">
        <v>43525</v>
      </c>
      <c r="B778" s="97">
        <v>1700.55</v>
      </c>
    </row>
    <row r="779" spans="1:2">
      <c r="A779" s="98">
        <v>43528</v>
      </c>
      <c r="B779" s="97">
        <v>1700.48</v>
      </c>
    </row>
    <row r="780" spans="1:2">
      <c r="A780" s="98">
        <v>43529</v>
      </c>
      <c r="B780" s="97">
        <v>1702.4</v>
      </c>
    </row>
    <row r="781" spans="1:2">
      <c r="A781" s="98">
        <v>43530</v>
      </c>
      <c r="B781" s="97">
        <v>1698.88</v>
      </c>
    </row>
    <row r="782" spans="1:2">
      <c r="A782" s="98">
        <v>43531</v>
      </c>
      <c r="B782" s="97">
        <v>1688.99</v>
      </c>
    </row>
    <row r="783" spans="1:2">
      <c r="A783" s="98">
        <v>43532</v>
      </c>
      <c r="B783" s="97">
        <v>1675.7</v>
      </c>
    </row>
    <row r="784" spans="1:2">
      <c r="A784" s="98">
        <v>43535</v>
      </c>
      <c r="B784" s="97">
        <v>1693.96</v>
      </c>
    </row>
    <row r="785" spans="1:2">
      <c r="A785" s="98">
        <v>43536</v>
      </c>
      <c r="B785" s="97">
        <v>1690.28</v>
      </c>
    </row>
    <row r="786" spans="1:2">
      <c r="A786" s="98">
        <v>43537</v>
      </c>
      <c r="B786" s="97">
        <v>1697.49</v>
      </c>
    </row>
    <row r="787" spans="1:2">
      <c r="A787" s="98">
        <v>43538</v>
      </c>
      <c r="B787" s="97">
        <v>1705.6</v>
      </c>
    </row>
    <row r="788" spans="1:2">
      <c r="A788" s="98">
        <v>43539</v>
      </c>
      <c r="B788" s="97">
        <v>1724.52</v>
      </c>
    </row>
    <row r="789" spans="1:2">
      <c r="A789" s="98">
        <v>43542</v>
      </c>
      <c r="B789" s="97">
        <v>1727.1</v>
      </c>
    </row>
    <row r="790" spans="1:2">
      <c r="A790" s="98">
        <v>43543</v>
      </c>
      <c r="B790" s="97">
        <v>1734.77</v>
      </c>
    </row>
    <row r="791" spans="1:2">
      <c r="A791" s="98">
        <v>43544</v>
      </c>
      <c r="B791" s="97">
        <v>1713.91</v>
      </c>
    </row>
    <row r="792" spans="1:2">
      <c r="A792" s="98">
        <v>43545</v>
      </c>
      <c r="B792" s="97">
        <v>1713.14</v>
      </c>
    </row>
    <row r="793" spans="1:2">
      <c r="A793" s="98">
        <v>43546</v>
      </c>
      <c r="B793" s="97">
        <v>1686.04</v>
      </c>
    </row>
    <row r="794" spans="1:2">
      <c r="A794" s="98">
        <v>43549</v>
      </c>
      <c r="B794" s="97">
        <v>1677.66</v>
      </c>
    </row>
    <row r="795" spans="1:2">
      <c r="A795" s="98">
        <v>43550</v>
      </c>
      <c r="B795" s="97">
        <v>1690.91</v>
      </c>
    </row>
    <row r="796" spans="1:2">
      <c r="A796" s="98">
        <v>43551</v>
      </c>
      <c r="B796" s="97">
        <v>1692.38</v>
      </c>
    </row>
    <row r="797" spans="1:2">
      <c r="A797" s="98">
        <v>43552</v>
      </c>
      <c r="B797" s="97">
        <v>1690.07</v>
      </c>
    </row>
    <row r="798" spans="1:2">
      <c r="A798" s="98">
        <v>43553</v>
      </c>
      <c r="B798" s="97">
        <v>1708</v>
      </c>
    </row>
    <row r="799" spans="1:2">
      <c r="A799" s="98">
        <v>43556</v>
      </c>
      <c r="B799" s="97">
        <v>1724.56</v>
      </c>
    </row>
    <row r="800" spans="1:2">
      <c r="A800" s="98">
        <v>43557</v>
      </c>
      <c r="B800" s="97">
        <v>1727.67</v>
      </c>
    </row>
    <row r="801" spans="1:2">
      <c r="A801" s="98">
        <v>43558</v>
      </c>
      <c r="B801" s="97">
        <v>1741.18</v>
      </c>
    </row>
    <row r="802" spans="1:2">
      <c r="A802" s="98">
        <v>43559</v>
      </c>
      <c r="B802" s="97">
        <v>1744.63</v>
      </c>
    </row>
    <row r="803" spans="1:2">
      <c r="A803" s="98">
        <v>43560</v>
      </c>
      <c r="B803" s="97">
        <v>1744.43</v>
      </c>
    </row>
    <row r="804" spans="1:2">
      <c r="A804" s="98">
        <v>43563</v>
      </c>
      <c r="B804" s="97">
        <v>1741</v>
      </c>
    </row>
    <row r="805" spans="1:2">
      <c r="A805" s="98">
        <v>43564</v>
      </c>
      <c r="B805" s="97">
        <v>1730.05</v>
      </c>
    </row>
    <row r="806" spans="1:2">
      <c r="A806" s="98">
        <v>43565</v>
      </c>
      <c r="B806" s="97">
        <v>1735.31</v>
      </c>
    </row>
    <row r="807" spans="1:2">
      <c r="A807" s="98">
        <v>43566</v>
      </c>
      <c r="B807" s="97">
        <v>1736.29</v>
      </c>
    </row>
    <row r="808" spans="1:2">
      <c r="A808" s="98">
        <v>43567</v>
      </c>
      <c r="B808" s="97">
        <v>1742.69</v>
      </c>
    </row>
    <row r="809" spans="1:2">
      <c r="A809" s="98">
        <v>43570</v>
      </c>
      <c r="B809" s="97">
        <v>1747.51</v>
      </c>
    </row>
    <row r="810" spans="1:2">
      <c r="A810" s="98">
        <v>43571</v>
      </c>
      <c r="B810" s="97">
        <v>1753.7</v>
      </c>
    </row>
    <row r="811" spans="1:2">
      <c r="A811" s="98">
        <v>43572</v>
      </c>
      <c r="B811" s="97">
        <v>1752.88</v>
      </c>
    </row>
    <row r="812" spans="1:2">
      <c r="A812" s="98">
        <v>43573</v>
      </c>
      <c r="B812" s="97">
        <v>1758.28</v>
      </c>
    </row>
    <row r="813" spans="1:2">
      <c r="A813" s="98">
        <v>43577</v>
      </c>
      <c r="B813" s="97">
        <v>1758.76</v>
      </c>
    </row>
    <row r="814" spans="1:2">
      <c r="A814" s="98">
        <v>43578</v>
      </c>
      <c r="B814" s="97">
        <v>1764.31</v>
      </c>
    </row>
    <row r="815" spans="1:2">
      <c r="A815" s="98">
        <v>43579</v>
      </c>
      <c r="B815" s="97">
        <v>1759.1</v>
      </c>
    </row>
    <row r="816" spans="1:2">
      <c r="A816" s="98">
        <v>43580</v>
      </c>
      <c r="B816" s="97">
        <v>1761.71</v>
      </c>
    </row>
    <row r="817" spans="1:2">
      <c r="A817" s="98">
        <v>43581</v>
      </c>
      <c r="B817" s="97">
        <v>1767.28</v>
      </c>
    </row>
    <row r="818" spans="1:2">
      <c r="A818" s="98">
        <v>43584</v>
      </c>
      <c r="B818" s="97">
        <v>1773.64</v>
      </c>
    </row>
    <row r="819" spans="1:2">
      <c r="A819" s="98">
        <v>43585</v>
      </c>
      <c r="B819" s="97">
        <v>1773.88</v>
      </c>
    </row>
    <row r="820" spans="1:2">
      <c r="A820" s="98">
        <v>43586</v>
      </c>
      <c r="B820" s="97">
        <v>1766.23</v>
      </c>
    </row>
    <row r="821" spans="1:2">
      <c r="A821" s="98">
        <v>43587</v>
      </c>
      <c r="B821" s="97">
        <v>1754.79</v>
      </c>
    </row>
    <row r="822" spans="1:2">
      <c r="A822" s="98">
        <v>43588</v>
      </c>
      <c r="B822" s="97">
        <v>1761.06</v>
      </c>
    </row>
    <row r="823" spans="1:2">
      <c r="A823" s="98">
        <v>43591</v>
      </c>
      <c r="B823" s="97">
        <v>1748.01</v>
      </c>
    </row>
    <row r="824" spans="1:2">
      <c r="A824" s="98">
        <v>43592</v>
      </c>
      <c r="B824" s="97">
        <v>1721.91</v>
      </c>
    </row>
    <row r="825" spans="1:2">
      <c r="A825" s="98">
        <v>43593</v>
      </c>
      <c r="B825" s="97">
        <v>1725.02</v>
      </c>
    </row>
    <row r="826" spans="1:2">
      <c r="A826" s="98">
        <v>43594</v>
      </c>
      <c r="B826" s="97">
        <v>1697.97</v>
      </c>
    </row>
    <row r="827" spans="1:2">
      <c r="A827" s="98">
        <v>43595</v>
      </c>
      <c r="B827" s="97">
        <v>1702.48</v>
      </c>
    </row>
    <row r="828" spans="1:2">
      <c r="A828" s="98">
        <v>43598</v>
      </c>
      <c r="B828" s="97">
        <v>1669.87</v>
      </c>
    </row>
    <row r="829" spans="1:2">
      <c r="A829" s="98">
        <v>43599</v>
      </c>
      <c r="B829" s="97">
        <v>1691.79</v>
      </c>
    </row>
    <row r="830" spans="1:2">
      <c r="A830" s="98">
        <v>43600</v>
      </c>
      <c r="B830" s="97">
        <v>1698.96</v>
      </c>
    </row>
    <row r="831" spans="1:2">
      <c r="A831" s="98">
        <v>43601</v>
      </c>
      <c r="B831" s="97">
        <v>1724.66</v>
      </c>
    </row>
    <row r="832" spans="1:2">
      <c r="A832" s="98">
        <v>43602</v>
      </c>
      <c r="B832" s="97">
        <v>1717.39</v>
      </c>
    </row>
    <row r="833" spans="1:2">
      <c r="A833" s="98">
        <v>43605</v>
      </c>
      <c r="B833" s="97">
        <v>1696.11</v>
      </c>
    </row>
    <row r="834" spans="1:2">
      <c r="A834" s="98">
        <v>43606</v>
      </c>
      <c r="B834" s="97">
        <v>1705.96</v>
      </c>
    </row>
    <row r="835" spans="1:2">
      <c r="A835" s="98">
        <v>43607</v>
      </c>
      <c r="B835" s="97">
        <v>1704.3</v>
      </c>
    </row>
    <row r="836" spans="1:2">
      <c r="A836" s="98">
        <v>43608</v>
      </c>
      <c r="B836" s="97">
        <v>1680.7</v>
      </c>
    </row>
    <row r="837" spans="1:2">
      <c r="A837" s="98">
        <v>43609</v>
      </c>
      <c r="B837" s="97">
        <v>1685.22</v>
      </c>
    </row>
    <row r="838" spans="1:2">
      <c r="A838" s="98">
        <v>43612</v>
      </c>
      <c r="B838" s="97">
        <v>1686.17</v>
      </c>
    </row>
    <row r="839" spans="1:2">
      <c r="A839" s="98">
        <v>43613</v>
      </c>
      <c r="B839" s="97">
        <v>1681.63</v>
      </c>
    </row>
    <row r="840" spans="1:2">
      <c r="A840" s="98">
        <v>43614</v>
      </c>
      <c r="B840" s="97">
        <v>1661.14</v>
      </c>
    </row>
    <row r="841" spans="1:2">
      <c r="A841" s="98">
        <v>43615</v>
      </c>
      <c r="B841" s="97">
        <v>1671.38</v>
      </c>
    </row>
    <row r="842" spans="1:2">
      <c r="A842" s="98">
        <v>43616</v>
      </c>
      <c r="B842" s="97">
        <v>1648.76</v>
      </c>
    </row>
    <row r="843" spans="1:2">
      <c r="A843" s="98">
        <v>43619</v>
      </c>
      <c r="B843" s="97">
        <v>1643.55</v>
      </c>
    </row>
    <row r="844" spans="1:2">
      <c r="A844" s="98">
        <v>43620</v>
      </c>
      <c r="B844" s="97">
        <v>1669.95</v>
      </c>
    </row>
    <row r="845" spans="1:2">
      <c r="A845" s="98">
        <v>43621</v>
      </c>
      <c r="B845" s="97">
        <v>1674.08</v>
      </c>
    </row>
    <row r="846" spans="1:2">
      <c r="A846" s="98">
        <v>43622</v>
      </c>
      <c r="B846" s="97">
        <v>1672.56</v>
      </c>
    </row>
    <row r="847" spans="1:2">
      <c r="A847" s="98">
        <v>43623</v>
      </c>
      <c r="B847" s="97">
        <v>1688.71</v>
      </c>
    </row>
    <row r="848" spans="1:2">
      <c r="A848" s="98">
        <v>43626</v>
      </c>
      <c r="B848" s="97">
        <v>1698.29</v>
      </c>
    </row>
    <row r="849" spans="1:2">
      <c r="A849" s="98">
        <v>43627</v>
      </c>
      <c r="B849" s="97">
        <v>1700.73</v>
      </c>
    </row>
    <row r="850" spans="1:2">
      <c r="A850" s="98">
        <v>43628</v>
      </c>
      <c r="B850" s="97">
        <v>1692.86</v>
      </c>
    </row>
    <row r="851" spans="1:2">
      <c r="A851" s="98">
        <v>43629</v>
      </c>
      <c r="B851" s="97">
        <v>1699.2</v>
      </c>
    </row>
    <row r="852" spans="1:2">
      <c r="A852" s="98">
        <v>43630</v>
      </c>
      <c r="B852" s="97">
        <v>1693.86</v>
      </c>
    </row>
    <row r="853" spans="1:2">
      <c r="A853" s="98">
        <v>43633</v>
      </c>
      <c r="B853" s="97">
        <v>1695.56</v>
      </c>
    </row>
    <row r="854" spans="1:2">
      <c r="A854" s="98">
        <v>43634</v>
      </c>
      <c r="B854" s="97">
        <v>1721.44</v>
      </c>
    </row>
    <row r="855" spans="1:2">
      <c r="A855" s="98">
        <v>43635</v>
      </c>
      <c r="B855" s="97">
        <v>1726.39</v>
      </c>
    </row>
    <row r="856" spans="1:2">
      <c r="A856" s="98">
        <v>43636</v>
      </c>
      <c r="B856" s="97">
        <v>1727.9</v>
      </c>
    </row>
    <row r="857" spans="1:2">
      <c r="A857" s="98">
        <v>43637</v>
      </c>
      <c r="B857" s="97">
        <v>1727.53</v>
      </c>
    </row>
    <row r="858" spans="1:2">
      <c r="A858" s="98">
        <v>43640</v>
      </c>
      <c r="B858" s="97">
        <v>1715.37</v>
      </c>
    </row>
    <row r="859" spans="1:2">
      <c r="A859" s="98">
        <v>43641</v>
      </c>
      <c r="B859" s="97">
        <v>1696.53</v>
      </c>
    </row>
    <row r="860" spans="1:2">
      <c r="A860" s="98">
        <v>43642</v>
      </c>
      <c r="B860" s="97">
        <v>1701.9</v>
      </c>
    </row>
    <row r="861" spans="1:2">
      <c r="A861" s="98">
        <v>43643</v>
      </c>
      <c r="B861" s="97">
        <v>1708.26</v>
      </c>
    </row>
    <row r="862" spans="1:2">
      <c r="A862" s="98">
        <v>43644</v>
      </c>
      <c r="B862" s="97">
        <v>1720.19</v>
      </c>
    </row>
    <row r="863" spans="1:2">
      <c r="A863" s="98">
        <v>43647</v>
      </c>
      <c r="B863" s="97">
        <v>1737.85</v>
      </c>
    </row>
    <row r="864" spans="1:2">
      <c r="A864" s="98">
        <v>43648</v>
      </c>
      <c r="B864" s="97">
        <v>1742.35</v>
      </c>
    </row>
    <row r="865" spans="1:2">
      <c r="A865" s="98">
        <v>43649</v>
      </c>
      <c r="B865" s="97">
        <v>1760.37</v>
      </c>
    </row>
    <row r="866" spans="1:2">
      <c r="A866" s="98">
        <v>43650</v>
      </c>
      <c r="B866" s="97">
        <v>1765.77</v>
      </c>
    </row>
    <row r="867" spans="1:2">
      <c r="A867" s="98">
        <v>43651</v>
      </c>
      <c r="B867" s="97">
        <v>1761.08</v>
      </c>
    </row>
    <row r="868" spans="1:2">
      <c r="A868" s="98">
        <v>43654</v>
      </c>
      <c r="B868" s="97">
        <v>1754.07</v>
      </c>
    </row>
    <row r="869" spans="1:2">
      <c r="A869" s="98">
        <v>43655</v>
      </c>
      <c r="B869" s="97">
        <v>1752.01</v>
      </c>
    </row>
    <row r="870" spans="1:2">
      <c r="A870" s="98">
        <v>43656</v>
      </c>
      <c r="B870" s="97">
        <v>1750.26</v>
      </c>
    </row>
    <row r="871" spans="1:2">
      <c r="A871" s="98">
        <v>43657</v>
      </c>
      <c r="B871" s="97">
        <v>1755.28</v>
      </c>
    </row>
    <row r="872" spans="1:2">
      <c r="A872" s="98">
        <v>43658</v>
      </c>
      <c r="B872" s="97">
        <v>1759.03</v>
      </c>
    </row>
    <row r="873" spans="1:2">
      <c r="A873" s="98">
        <v>43661</v>
      </c>
      <c r="B873" s="97">
        <v>1761.53</v>
      </c>
    </row>
    <row r="874" spans="1:2">
      <c r="A874" s="98">
        <v>43662</v>
      </c>
      <c r="B874" s="97">
        <v>1767.97</v>
      </c>
    </row>
    <row r="875" spans="1:2">
      <c r="A875" s="98">
        <v>43663</v>
      </c>
      <c r="B875" s="97">
        <v>1759.28</v>
      </c>
    </row>
    <row r="876" spans="1:2">
      <c r="A876" s="98">
        <v>43664</v>
      </c>
      <c r="B876" s="97">
        <v>1756.13</v>
      </c>
    </row>
    <row r="877" spans="1:2">
      <c r="A877" s="98">
        <v>43665</v>
      </c>
      <c r="B877" s="97">
        <v>1746.45</v>
      </c>
    </row>
    <row r="878" spans="1:2">
      <c r="A878" s="98">
        <v>43668</v>
      </c>
      <c r="B878" s="97">
        <v>1750.03</v>
      </c>
    </row>
    <row r="879" spans="1:2">
      <c r="A879" s="98">
        <v>43669</v>
      </c>
      <c r="B879" s="97">
        <v>1768.07</v>
      </c>
    </row>
    <row r="880" spans="1:2">
      <c r="A880" s="98">
        <v>43670</v>
      </c>
      <c r="B880" s="97">
        <v>1773.08</v>
      </c>
    </row>
    <row r="881" spans="1:2">
      <c r="A881" s="98">
        <v>43671</v>
      </c>
      <c r="B881" s="97">
        <v>1761.98</v>
      </c>
    </row>
    <row r="882" spans="1:2">
      <c r="A882" s="98">
        <v>43672</v>
      </c>
      <c r="B882" s="97">
        <v>1766.51</v>
      </c>
    </row>
    <row r="883" spans="1:2">
      <c r="A883" s="98">
        <v>43675</v>
      </c>
      <c r="B883" s="97">
        <v>1766.49</v>
      </c>
    </row>
    <row r="884" spans="1:2">
      <c r="A884" s="98">
        <v>43676</v>
      </c>
      <c r="B884" s="97">
        <v>1741.03</v>
      </c>
    </row>
    <row r="885" spans="1:2">
      <c r="A885" s="98">
        <v>43677</v>
      </c>
      <c r="B885" s="97">
        <v>1738.85</v>
      </c>
    </row>
    <row r="886" spans="1:2">
      <c r="A886" s="98">
        <v>43678</v>
      </c>
      <c r="B886" s="97">
        <v>1749.79</v>
      </c>
    </row>
    <row r="887" spans="1:2">
      <c r="A887" s="98">
        <v>43679</v>
      </c>
      <c r="B887" s="97">
        <v>1706.26</v>
      </c>
    </row>
    <row r="888" spans="1:2">
      <c r="A888" s="98">
        <v>43682</v>
      </c>
      <c r="B888" s="97">
        <v>1662.82</v>
      </c>
    </row>
    <row r="889" spans="1:2">
      <c r="A889" s="98">
        <v>43683</v>
      </c>
      <c r="B889" s="97">
        <v>1661.94</v>
      </c>
    </row>
    <row r="890" spans="1:2">
      <c r="A890" s="98">
        <v>43684</v>
      </c>
      <c r="B890" s="97">
        <v>1659.95</v>
      </c>
    </row>
    <row r="891" spans="1:2">
      <c r="A891" s="98">
        <v>43685</v>
      </c>
      <c r="B891" s="97">
        <v>1689.28</v>
      </c>
    </row>
    <row r="892" spans="1:2">
      <c r="A892" s="98">
        <v>43686</v>
      </c>
      <c r="B892" s="97">
        <v>1668.71</v>
      </c>
    </row>
    <row r="893" spans="1:2">
      <c r="A893" s="98">
        <v>43689</v>
      </c>
      <c r="B893" s="97">
        <v>1654.79</v>
      </c>
    </row>
    <row r="894" spans="1:2">
      <c r="A894" s="98">
        <v>43690</v>
      </c>
      <c r="B894" s="97">
        <v>1670.58</v>
      </c>
    </row>
    <row r="895" spans="1:2">
      <c r="A895" s="98">
        <v>43691</v>
      </c>
      <c r="B895" s="97">
        <v>1630.8</v>
      </c>
    </row>
    <row r="896" spans="1:2">
      <c r="A896" s="98">
        <v>43692</v>
      </c>
      <c r="B896" s="97">
        <v>1628.91</v>
      </c>
    </row>
    <row r="897" spans="1:2">
      <c r="A897" s="98">
        <v>43693</v>
      </c>
      <c r="B897" s="97">
        <v>1659.4</v>
      </c>
    </row>
    <row r="898" spans="1:2">
      <c r="A898" s="98">
        <v>43696</v>
      </c>
      <c r="B898" s="97">
        <v>1676.86</v>
      </c>
    </row>
    <row r="899" spans="1:2">
      <c r="A899" s="98">
        <v>43697</v>
      </c>
      <c r="B899" s="97">
        <v>1667.19</v>
      </c>
    </row>
    <row r="900" spans="1:2">
      <c r="A900" s="98">
        <v>43698</v>
      </c>
      <c r="B900" s="97">
        <v>1683.47</v>
      </c>
    </row>
    <row r="901" spans="1:2">
      <c r="A901" s="98">
        <v>43699</v>
      </c>
      <c r="B901" s="97">
        <v>1681.39</v>
      </c>
    </row>
    <row r="902" spans="1:2">
      <c r="A902" s="98">
        <v>43700</v>
      </c>
      <c r="B902" s="97">
        <v>1657.01</v>
      </c>
    </row>
    <row r="903" spans="1:2">
      <c r="A903" s="98">
        <v>43703</v>
      </c>
      <c r="B903" s="97">
        <v>1670.94</v>
      </c>
    </row>
    <row r="904" spans="1:2">
      <c r="A904" s="98">
        <v>43704</v>
      </c>
      <c r="B904" s="97">
        <v>1674.87</v>
      </c>
    </row>
    <row r="905" spans="1:2">
      <c r="A905" s="98">
        <v>43705</v>
      </c>
      <c r="B905" s="97">
        <v>1674.02</v>
      </c>
    </row>
    <row r="906" spans="1:2">
      <c r="A906" s="98">
        <v>43706</v>
      </c>
      <c r="B906" s="97">
        <v>1695.19</v>
      </c>
    </row>
    <row r="907" spans="1:2">
      <c r="A907" s="98">
        <v>43707</v>
      </c>
      <c r="B907" s="97">
        <v>1706.5</v>
      </c>
    </row>
    <row r="908" spans="1:2">
      <c r="A908" s="98">
        <v>43710</v>
      </c>
      <c r="B908" s="97">
        <v>1708.33</v>
      </c>
    </row>
    <row r="909" spans="1:2">
      <c r="A909" s="98">
        <v>43711</v>
      </c>
      <c r="B909" s="97">
        <v>1699.4</v>
      </c>
    </row>
    <row r="910" spans="1:2">
      <c r="A910" s="98">
        <v>43712</v>
      </c>
      <c r="B910" s="97">
        <v>1713.34</v>
      </c>
    </row>
    <row r="911" spans="1:2">
      <c r="A911" s="98">
        <v>43713</v>
      </c>
      <c r="B911" s="97">
        <v>1740.49</v>
      </c>
    </row>
    <row r="912" spans="1:2">
      <c r="A912" s="98">
        <v>43714</v>
      </c>
      <c r="B912" s="97">
        <v>1744.63</v>
      </c>
    </row>
    <row r="913" spans="1:2">
      <c r="A913" s="98">
        <v>43717</v>
      </c>
      <c r="B913" s="97">
        <v>1751.37</v>
      </c>
    </row>
    <row r="914" spans="1:2">
      <c r="A914" s="98">
        <v>43718</v>
      </c>
      <c r="B914" s="97">
        <v>1757.35</v>
      </c>
    </row>
    <row r="915" spans="1:2">
      <c r="A915" s="98">
        <v>43719</v>
      </c>
      <c r="B915" s="97">
        <v>1766.73</v>
      </c>
    </row>
    <row r="916" spans="1:2">
      <c r="A916" s="98">
        <v>43720</v>
      </c>
      <c r="B916" s="97">
        <v>1773.23</v>
      </c>
    </row>
    <row r="917" spans="1:2">
      <c r="A917" s="98">
        <v>43721</v>
      </c>
      <c r="B917" s="97">
        <v>1782.85</v>
      </c>
    </row>
    <row r="918" spans="1:2">
      <c r="A918" s="98">
        <v>43724</v>
      </c>
      <c r="B918" s="97">
        <v>1774.28</v>
      </c>
    </row>
    <row r="919" spans="1:2">
      <c r="A919" s="98">
        <v>43725</v>
      </c>
      <c r="B919" s="97">
        <v>1766.1</v>
      </c>
    </row>
    <row r="920" spans="1:2">
      <c r="A920" s="98">
        <v>43726</v>
      </c>
      <c r="B920" s="97">
        <v>1767.02</v>
      </c>
    </row>
    <row r="921" spans="1:2">
      <c r="A921" s="98">
        <v>43727</v>
      </c>
      <c r="B921" s="97">
        <v>1781.25</v>
      </c>
    </row>
    <row r="922" spans="1:2">
      <c r="A922" s="98">
        <v>43728</v>
      </c>
      <c r="B922" s="97">
        <v>1787.52</v>
      </c>
    </row>
    <row r="923" spans="1:2">
      <c r="A923" s="98">
        <v>43731</v>
      </c>
      <c r="B923" s="97">
        <v>1772.05</v>
      </c>
    </row>
    <row r="924" spans="1:2">
      <c r="A924" s="98">
        <v>43732</v>
      </c>
      <c r="B924" s="97">
        <v>1765.72</v>
      </c>
    </row>
    <row r="925" spans="1:2">
      <c r="A925" s="98">
        <v>43733</v>
      </c>
      <c r="B925" s="97">
        <v>1766.05</v>
      </c>
    </row>
    <row r="926" spans="1:2">
      <c r="A926" s="98">
        <v>43734</v>
      </c>
      <c r="B926" s="97">
        <v>1774.19</v>
      </c>
    </row>
    <row r="927" spans="1:2">
      <c r="A927" s="98">
        <v>43735</v>
      </c>
      <c r="B927" s="97">
        <v>1776.39</v>
      </c>
    </row>
    <row r="928" spans="1:2">
      <c r="A928" s="98">
        <v>43738</v>
      </c>
      <c r="B928" s="97">
        <v>1786.76</v>
      </c>
    </row>
    <row r="929" spans="1:2">
      <c r="A929" s="98">
        <v>43739</v>
      </c>
      <c r="B929" s="97">
        <v>1763.54</v>
      </c>
    </row>
    <row r="930" spans="1:2">
      <c r="A930" s="98">
        <v>43740</v>
      </c>
      <c r="B930" s="97">
        <v>1716.41</v>
      </c>
    </row>
    <row r="931" spans="1:2">
      <c r="A931" s="98">
        <v>43741</v>
      </c>
      <c r="B931" s="97">
        <v>1719.22</v>
      </c>
    </row>
    <row r="932" spans="1:2">
      <c r="A932" s="98">
        <v>43742</v>
      </c>
      <c r="B932" s="97">
        <v>1737.23</v>
      </c>
    </row>
    <row r="933" spans="1:2">
      <c r="A933" s="98">
        <v>43745</v>
      </c>
      <c r="B933" s="97">
        <v>1743.44</v>
      </c>
    </row>
    <row r="934" spans="1:2">
      <c r="A934" s="98">
        <v>43746</v>
      </c>
      <c r="B934" s="97">
        <v>1723.45</v>
      </c>
    </row>
    <row r="935" spans="1:2">
      <c r="A935" s="98">
        <v>43747</v>
      </c>
      <c r="B935" s="97">
        <v>1738.2</v>
      </c>
    </row>
    <row r="936" spans="1:2">
      <c r="A936" s="98">
        <v>43748</v>
      </c>
      <c r="B936" s="97">
        <v>1753.73</v>
      </c>
    </row>
    <row r="937" spans="1:2">
      <c r="A937" s="98">
        <v>43749</v>
      </c>
      <c r="B937" s="97">
        <v>1788.34</v>
      </c>
    </row>
    <row r="938" spans="1:2">
      <c r="A938" s="98">
        <v>43752</v>
      </c>
      <c r="B938" s="97">
        <v>1783.48</v>
      </c>
    </row>
    <row r="939" spans="1:2">
      <c r="A939" s="98">
        <v>43753</v>
      </c>
      <c r="B939" s="97">
        <v>1811.61</v>
      </c>
    </row>
    <row r="940" spans="1:2">
      <c r="A940" s="98">
        <v>43754</v>
      </c>
      <c r="B940" s="97">
        <v>1808.28</v>
      </c>
    </row>
    <row r="941" spans="1:2">
      <c r="A941" s="98">
        <v>43755</v>
      </c>
      <c r="B941" s="97">
        <v>1802.24</v>
      </c>
    </row>
    <row r="942" spans="1:2">
      <c r="A942" s="98">
        <v>43756</v>
      </c>
      <c r="B942" s="97">
        <v>1796.07</v>
      </c>
    </row>
    <row r="943" spans="1:2">
      <c r="A943" s="98">
        <v>43759</v>
      </c>
      <c r="B943" s="97">
        <v>1810.06</v>
      </c>
    </row>
    <row r="944" spans="1:2">
      <c r="A944" s="98">
        <v>43760</v>
      </c>
      <c r="B944" s="97">
        <v>1808.51</v>
      </c>
    </row>
    <row r="945" spans="1:2">
      <c r="A945" s="98">
        <v>43761</v>
      </c>
      <c r="B945" s="97">
        <v>1811.28</v>
      </c>
    </row>
    <row r="946" spans="1:2">
      <c r="A946" s="98">
        <v>43762</v>
      </c>
      <c r="B946" s="97">
        <v>1815.47</v>
      </c>
    </row>
    <row r="947" spans="1:2">
      <c r="A947" s="98">
        <v>43763</v>
      </c>
      <c r="B947" s="97">
        <v>1824.85</v>
      </c>
    </row>
    <row r="948" spans="1:2">
      <c r="A948" s="98">
        <v>43766</v>
      </c>
      <c r="B948" s="97">
        <v>1831.1</v>
      </c>
    </row>
    <row r="949" spans="1:2">
      <c r="A949" s="98">
        <v>43767</v>
      </c>
      <c r="B949" s="97">
        <v>1825.23</v>
      </c>
    </row>
    <row r="950" spans="1:2">
      <c r="A950" s="98">
        <v>43768</v>
      </c>
      <c r="B950" s="97">
        <v>1822.41</v>
      </c>
    </row>
    <row r="951" spans="1:2">
      <c r="A951" s="98">
        <v>43769</v>
      </c>
      <c r="B951" s="97">
        <v>1806.4</v>
      </c>
    </row>
    <row r="952" spans="1:2">
      <c r="A952" s="98">
        <v>43770</v>
      </c>
      <c r="B952" s="97">
        <v>1820.74</v>
      </c>
    </row>
    <row r="953" spans="1:2">
      <c r="A953" s="98">
        <v>43773</v>
      </c>
      <c r="B953" s="97">
        <v>1839.36</v>
      </c>
    </row>
    <row r="954" spans="1:2">
      <c r="A954" s="98">
        <v>43774</v>
      </c>
      <c r="B954" s="97">
        <v>1849.89</v>
      </c>
    </row>
    <row r="955" spans="1:2">
      <c r="A955" s="98">
        <v>43775</v>
      </c>
      <c r="B955" s="97">
        <v>1853.34</v>
      </c>
    </row>
    <row r="956" spans="1:2">
      <c r="A956" s="98">
        <v>43776</v>
      </c>
      <c r="B956" s="97">
        <v>1872.46</v>
      </c>
    </row>
    <row r="957" spans="1:2">
      <c r="A957" s="98">
        <v>43777</v>
      </c>
      <c r="B957" s="97">
        <v>1875.25</v>
      </c>
    </row>
    <row r="958" spans="1:2">
      <c r="A958" s="98">
        <v>43780</v>
      </c>
      <c r="B958" s="97">
        <v>1871.86</v>
      </c>
    </row>
    <row r="959" spans="1:2">
      <c r="A959" s="98">
        <v>43781</v>
      </c>
      <c r="B959" s="97">
        <v>1877.75</v>
      </c>
    </row>
    <row r="960" spans="1:2">
      <c r="A960" s="98">
        <v>43782</v>
      </c>
      <c r="B960" s="97">
        <v>1868.78</v>
      </c>
    </row>
    <row r="961" spans="1:2">
      <c r="A961" s="98">
        <v>43783</v>
      </c>
      <c r="B961" s="97">
        <v>1867.75</v>
      </c>
    </row>
    <row r="962" spans="1:2">
      <c r="A962" s="98">
        <v>43784</v>
      </c>
      <c r="B962" s="97">
        <v>1879</v>
      </c>
    </row>
    <row r="963" spans="1:2">
      <c r="A963" s="98">
        <v>43787</v>
      </c>
      <c r="B963" s="97">
        <v>1877.03</v>
      </c>
    </row>
    <row r="964" spans="1:2">
      <c r="A964" s="98">
        <v>43788</v>
      </c>
      <c r="B964" s="97">
        <v>1876.65</v>
      </c>
    </row>
    <row r="965" spans="1:2">
      <c r="A965" s="98">
        <v>43789</v>
      </c>
      <c r="B965" s="97">
        <v>1872.97</v>
      </c>
    </row>
    <row r="966" spans="1:2">
      <c r="A966" s="98">
        <v>43790</v>
      </c>
      <c r="B966" s="97">
        <v>1870.38</v>
      </c>
    </row>
    <row r="967" spans="1:2">
      <c r="A967" s="98">
        <v>43791</v>
      </c>
      <c r="B967" s="97">
        <v>1877.42</v>
      </c>
    </row>
    <row r="968" spans="1:2">
      <c r="A968" s="98">
        <v>43794</v>
      </c>
      <c r="B968" s="97">
        <v>1890.46</v>
      </c>
    </row>
    <row r="969" spans="1:2">
      <c r="A969" s="98">
        <v>43795</v>
      </c>
      <c r="B969" s="97">
        <v>1890.4</v>
      </c>
    </row>
    <row r="970" spans="1:2">
      <c r="A970" s="98">
        <v>43796</v>
      </c>
      <c r="B970" s="97">
        <v>1897.51</v>
      </c>
    </row>
    <row r="971" spans="1:2">
      <c r="A971" s="98">
        <v>43797</v>
      </c>
      <c r="B971" s="97">
        <v>1893.26</v>
      </c>
    </row>
    <row r="972" spans="1:2">
      <c r="A972" s="98">
        <v>43798</v>
      </c>
      <c r="B972" s="97">
        <v>1888.76</v>
      </c>
    </row>
    <row r="973" spans="1:2">
      <c r="A973" s="98">
        <v>43801</v>
      </c>
      <c r="B973" s="97">
        <v>1857.37</v>
      </c>
    </row>
    <row r="974" spans="1:2">
      <c r="A974" s="98">
        <v>43802</v>
      </c>
      <c r="B974" s="97">
        <v>1845.73</v>
      </c>
    </row>
    <row r="975" spans="1:2">
      <c r="A975" s="98">
        <v>43803</v>
      </c>
      <c r="B975" s="97">
        <v>1864.33</v>
      </c>
    </row>
    <row r="976" spans="1:2">
      <c r="A976" s="98">
        <v>43804</v>
      </c>
      <c r="B976" s="97">
        <v>1861.49</v>
      </c>
    </row>
    <row r="977" spans="1:2">
      <c r="A977" s="98">
        <v>43805</v>
      </c>
      <c r="B977" s="97">
        <v>1882.84</v>
      </c>
    </row>
    <row r="978" spans="1:2">
      <c r="A978" s="98">
        <v>43808</v>
      </c>
      <c r="B978" s="97">
        <v>1873.17</v>
      </c>
    </row>
    <row r="979" spans="1:2">
      <c r="A979" s="98">
        <v>43809</v>
      </c>
      <c r="B979" s="97">
        <v>1871.21</v>
      </c>
    </row>
    <row r="980" spans="1:2">
      <c r="A980" s="98">
        <v>43810</v>
      </c>
      <c r="B980" s="97">
        <v>1875.83</v>
      </c>
    </row>
    <row r="981" spans="1:2">
      <c r="A981" s="98">
        <v>43811</v>
      </c>
      <c r="B981" s="97">
        <v>1891.08</v>
      </c>
    </row>
    <row r="982" spans="1:2">
      <c r="A982" s="98">
        <v>43812</v>
      </c>
      <c r="B982" s="97">
        <v>1899.63</v>
      </c>
    </row>
    <row r="983" spans="1:2">
      <c r="A983" s="98">
        <v>43815</v>
      </c>
      <c r="B983" s="97">
        <v>1922.6</v>
      </c>
    </row>
    <row r="984" spans="1:2">
      <c r="A984" s="98">
        <v>43816</v>
      </c>
      <c r="B984" s="97">
        <v>1918.91</v>
      </c>
    </row>
    <row r="985" spans="1:2">
      <c r="A985" s="98">
        <v>43817</v>
      </c>
      <c r="B985" s="97">
        <v>1923.01</v>
      </c>
    </row>
    <row r="986" spans="1:2">
      <c r="A986" s="98">
        <v>43818</v>
      </c>
      <c r="B986" s="97">
        <v>1925.54</v>
      </c>
    </row>
    <row r="987" spans="1:2">
      <c r="A987" s="98">
        <v>43819</v>
      </c>
      <c r="B987" s="97">
        <v>1939.64</v>
      </c>
    </row>
    <row r="988" spans="1:2">
      <c r="A988" s="98">
        <v>43822</v>
      </c>
      <c r="B988" s="97">
        <v>1935.54</v>
      </c>
    </row>
    <row r="989" spans="1:2">
      <c r="A989" s="98">
        <v>43823</v>
      </c>
      <c r="B989" s="97">
        <v>1934.89</v>
      </c>
    </row>
    <row r="990" spans="1:2">
      <c r="A990" s="98">
        <v>43825</v>
      </c>
      <c r="B990" s="97">
        <v>1936.61</v>
      </c>
    </row>
    <row r="991" spans="1:2">
      <c r="A991" s="98">
        <v>43826</v>
      </c>
      <c r="B991" s="97">
        <v>1931.94</v>
      </c>
    </row>
    <row r="992" spans="1:2">
      <c r="A992" s="98">
        <v>43829</v>
      </c>
      <c r="B992" s="97">
        <v>1913.52</v>
      </c>
    </row>
    <row r="993" spans="1:2">
      <c r="A993" s="98">
        <v>43830</v>
      </c>
      <c r="B993" s="97">
        <v>1911.77</v>
      </c>
    </row>
    <row r="994" spans="1:2">
      <c r="A994" s="98">
        <v>43832</v>
      </c>
      <c r="B994" s="97">
        <v>1939.5</v>
      </c>
    </row>
    <row r="995" spans="1:2">
      <c r="A995" s="98">
        <v>43833</v>
      </c>
      <c r="B995" s="97">
        <v>1927.26</v>
      </c>
    </row>
    <row r="996" spans="1:2">
      <c r="A996" s="98">
        <v>43836</v>
      </c>
      <c r="B996" s="97">
        <v>1921.51</v>
      </c>
    </row>
    <row r="997" spans="1:2">
      <c r="A997" s="98">
        <v>43837</v>
      </c>
      <c r="B997" s="97">
        <v>1928.28</v>
      </c>
    </row>
    <row r="998" spans="1:2">
      <c r="A998" s="98">
        <v>43838</v>
      </c>
      <c r="B998" s="97">
        <v>1940.42</v>
      </c>
    </row>
    <row r="999" spans="1:2">
      <c r="A999" s="98">
        <v>43839</v>
      </c>
      <c r="B999" s="97">
        <v>1950.48</v>
      </c>
    </row>
    <row r="1000" spans="1:2">
      <c r="A1000" s="98">
        <v>43840</v>
      </c>
      <c r="B1000" s="97">
        <v>1942.69</v>
      </c>
    </row>
    <row r="1001" spans="1:2">
      <c r="A1001" s="98">
        <v>43843</v>
      </c>
      <c r="B1001" s="97">
        <v>1939.41</v>
      </c>
    </row>
    <row r="1002" spans="1:2">
      <c r="A1002" s="98">
        <v>43844</v>
      </c>
      <c r="B1002" s="97">
        <v>1939.13</v>
      </c>
    </row>
    <row r="1003" spans="1:2">
      <c r="A1003" s="98">
        <v>43845</v>
      </c>
      <c r="B1003" s="97">
        <v>1930.48</v>
      </c>
    </row>
    <row r="1004" spans="1:2">
      <c r="A1004" s="98">
        <v>43846</v>
      </c>
      <c r="B1004" s="97">
        <v>1937.44</v>
      </c>
    </row>
    <row r="1005" spans="1:2">
      <c r="A1005" s="98">
        <v>43847</v>
      </c>
      <c r="B1005" s="97">
        <v>1951.98</v>
      </c>
    </row>
    <row r="1006" spans="1:2">
      <c r="A1006" s="98">
        <v>43850</v>
      </c>
      <c r="B1006" s="97">
        <v>1951.16</v>
      </c>
    </row>
    <row r="1007" spans="1:2">
      <c r="A1007" s="98">
        <v>43851</v>
      </c>
      <c r="B1007" s="97">
        <v>1945.28</v>
      </c>
    </row>
    <row r="1008" spans="1:2">
      <c r="A1008" s="98">
        <v>43852</v>
      </c>
      <c r="B1008" s="97">
        <v>1939.45</v>
      </c>
    </row>
    <row r="1009" spans="1:2">
      <c r="A1009" s="98">
        <v>43853</v>
      </c>
      <c r="B1009" s="97">
        <v>1927.53</v>
      </c>
    </row>
    <row r="1010" spans="1:2">
      <c r="A1010" s="98">
        <v>43854</v>
      </c>
      <c r="B1010" s="97">
        <v>1931.75</v>
      </c>
    </row>
    <row r="1011" spans="1:2">
      <c r="A1011" s="98">
        <v>43857</v>
      </c>
      <c r="B1011" s="97">
        <v>1890.76</v>
      </c>
    </row>
    <row r="1012" spans="1:2">
      <c r="A1012" s="98">
        <v>43858</v>
      </c>
      <c r="B1012" s="97">
        <v>1913.33</v>
      </c>
    </row>
    <row r="1013" spans="1:2">
      <c r="A1013" s="98">
        <v>43859</v>
      </c>
      <c r="B1013" s="97">
        <v>1914.99</v>
      </c>
    </row>
    <row r="1014" spans="1:2">
      <c r="A1014" s="98">
        <v>43860</v>
      </c>
      <c r="B1014" s="97">
        <v>1903.78</v>
      </c>
    </row>
    <row r="1015" spans="1:2">
      <c r="A1015" s="98">
        <v>43861</v>
      </c>
      <c r="B1015" s="97">
        <v>1868.27</v>
      </c>
    </row>
    <row r="1016" spans="1:2">
      <c r="A1016" s="98">
        <v>43864</v>
      </c>
      <c r="B1016" s="97">
        <v>1884.54</v>
      </c>
    </row>
    <row r="1017" spans="1:2">
      <c r="A1017" s="98">
        <v>43865</v>
      </c>
      <c r="B1017" s="97">
        <v>1919.53</v>
      </c>
    </row>
    <row r="1018" spans="1:2">
      <c r="A1018" s="98">
        <v>43866</v>
      </c>
      <c r="B1018" s="97">
        <v>1945.09</v>
      </c>
    </row>
    <row r="1019" spans="1:2">
      <c r="A1019" s="98">
        <v>43867</v>
      </c>
      <c r="B1019" s="97">
        <v>1960.32</v>
      </c>
    </row>
    <row r="1020" spans="1:2">
      <c r="A1020" s="98">
        <v>43868</v>
      </c>
      <c r="B1020" s="97">
        <v>1957.41</v>
      </c>
    </row>
    <row r="1021" spans="1:2">
      <c r="A1021" s="98">
        <v>43871</v>
      </c>
      <c r="B1021" s="97">
        <v>1963.51</v>
      </c>
    </row>
    <row r="1022" spans="1:2">
      <c r="A1022" s="98">
        <v>43872</v>
      </c>
      <c r="B1022" s="97">
        <v>1973.16</v>
      </c>
    </row>
    <row r="1023" spans="1:2">
      <c r="A1023" s="98">
        <v>43873</v>
      </c>
      <c r="B1023" s="97">
        <v>1997.92</v>
      </c>
    </row>
    <row r="1024" spans="1:2">
      <c r="A1024" s="98">
        <v>43874</v>
      </c>
      <c r="B1024" s="97">
        <v>1999.09</v>
      </c>
    </row>
    <row r="1025" spans="1:2">
      <c r="A1025" s="98">
        <v>43875</v>
      </c>
      <c r="B1025" s="97">
        <v>2000.24</v>
      </c>
    </row>
    <row r="1026" spans="1:2">
      <c r="A1026" s="98">
        <v>43878</v>
      </c>
      <c r="B1026" s="97">
        <v>2008.32</v>
      </c>
    </row>
    <row r="1027" spans="1:2">
      <c r="A1027" s="98">
        <v>43879</v>
      </c>
      <c r="B1027" s="97">
        <v>2003.46</v>
      </c>
    </row>
    <row r="1028" spans="1:2">
      <c r="A1028" s="98">
        <v>43880</v>
      </c>
      <c r="B1028" s="97">
        <v>2019.45</v>
      </c>
    </row>
    <row r="1029" spans="1:2">
      <c r="A1029" s="98">
        <v>43881</v>
      </c>
      <c r="B1029" s="97">
        <v>2002.67</v>
      </c>
    </row>
    <row r="1030" spans="1:2">
      <c r="A1030" s="98">
        <v>43882</v>
      </c>
      <c r="B1030" s="97">
        <v>1983.51</v>
      </c>
    </row>
    <row r="1031" spans="1:2">
      <c r="A1031" s="98">
        <v>43885</v>
      </c>
      <c r="B1031" s="97">
        <v>1903.89</v>
      </c>
    </row>
    <row r="1032" spans="1:2">
      <c r="A1032" s="98">
        <v>43886</v>
      </c>
      <c r="B1032" s="97">
        <v>1853.73</v>
      </c>
    </row>
    <row r="1033" spans="1:2">
      <c r="A1033" s="98">
        <v>43887</v>
      </c>
      <c r="B1033" s="97">
        <v>1855.81</v>
      </c>
    </row>
    <row r="1034" spans="1:2">
      <c r="A1034" s="98">
        <v>43888</v>
      </c>
      <c r="B1034" s="97">
        <v>1781.53</v>
      </c>
    </row>
    <row r="1035" spans="1:2">
      <c r="A1035" s="98">
        <v>43889</v>
      </c>
      <c r="B1035" s="97">
        <v>1738.72</v>
      </c>
    </row>
    <row r="1036" spans="1:2">
      <c r="A1036" s="98">
        <v>43892</v>
      </c>
      <c r="B1036" s="97">
        <v>1749.44</v>
      </c>
    </row>
    <row r="1037" spans="1:2">
      <c r="A1037" s="98">
        <v>43893</v>
      </c>
      <c r="B1037" s="97">
        <v>1737.03</v>
      </c>
    </row>
    <row r="1038" spans="1:2">
      <c r="A1038" s="98">
        <v>43894</v>
      </c>
      <c r="B1038" s="97">
        <v>1774.32</v>
      </c>
    </row>
    <row r="1039" spans="1:2">
      <c r="A1039" s="98">
        <v>43895</v>
      </c>
      <c r="B1039" s="97">
        <v>1728.28</v>
      </c>
    </row>
    <row r="1040" spans="1:2">
      <c r="A1040" s="98">
        <v>43896</v>
      </c>
      <c r="B1040" s="97">
        <v>1668.48</v>
      </c>
    </row>
    <row r="1041" spans="1:2">
      <c r="A1041" s="98">
        <v>43899</v>
      </c>
      <c r="B1041" s="97">
        <v>1527.33</v>
      </c>
    </row>
    <row r="1042" spans="1:2">
      <c r="A1042" s="98">
        <v>43900</v>
      </c>
      <c r="B1042" s="97">
        <v>1535.03</v>
      </c>
    </row>
    <row r="1043" spans="1:2">
      <c r="A1043" s="98">
        <v>43901</v>
      </c>
      <c r="B1043" s="97">
        <v>1517.32</v>
      </c>
    </row>
    <row r="1044" spans="1:2">
      <c r="A1044" s="98">
        <v>43902</v>
      </c>
      <c r="B1044" s="97">
        <v>1339.95</v>
      </c>
    </row>
    <row r="1045" spans="1:2">
      <c r="A1045" s="98">
        <v>43903</v>
      </c>
      <c r="B1045" s="97">
        <v>1408.18</v>
      </c>
    </row>
    <row r="1046" spans="1:2">
      <c r="A1046" s="98">
        <v>43906</v>
      </c>
      <c r="B1046" s="97">
        <v>1277.42</v>
      </c>
    </row>
    <row r="1047" spans="1:2">
      <c r="A1047" s="98">
        <v>43907</v>
      </c>
      <c r="B1047" s="97">
        <v>1337.14</v>
      </c>
    </row>
    <row r="1048" spans="1:2">
      <c r="A1048" s="98">
        <v>43908</v>
      </c>
      <c r="B1048" s="97">
        <v>1279.98</v>
      </c>
    </row>
    <row r="1049" spans="1:2">
      <c r="A1049" s="98">
        <v>43909</v>
      </c>
      <c r="B1049" s="97">
        <v>1326.1</v>
      </c>
    </row>
    <row r="1050" spans="1:2">
      <c r="A1050" s="98">
        <v>43910</v>
      </c>
      <c r="B1050" s="97">
        <v>1333.36</v>
      </c>
    </row>
    <row r="1051" spans="1:2">
      <c r="A1051" s="98">
        <v>43913</v>
      </c>
      <c r="B1051" s="97">
        <v>1297.1600000000001</v>
      </c>
    </row>
    <row r="1052" spans="1:2">
      <c r="A1052" s="98">
        <v>43914</v>
      </c>
      <c r="B1052" s="97">
        <v>1421.23</v>
      </c>
    </row>
    <row r="1053" spans="1:2">
      <c r="A1053" s="98">
        <v>43915</v>
      </c>
      <c r="B1053" s="97">
        <v>1448.61</v>
      </c>
    </row>
    <row r="1054" spans="1:2">
      <c r="A1054" s="98">
        <v>43916</v>
      </c>
      <c r="B1054" s="97">
        <v>1485.52</v>
      </c>
    </row>
    <row r="1055" spans="1:2">
      <c r="A1055" s="98">
        <v>43917</v>
      </c>
      <c r="B1055" s="97">
        <v>1430.43</v>
      </c>
    </row>
    <row r="1056" spans="1:2">
      <c r="A1056" s="98">
        <v>43920</v>
      </c>
      <c r="B1056" s="97">
        <v>1447.23</v>
      </c>
    </row>
    <row r="1057" spans="1:2">
      <c r="A1057" s="98">
        <v>43921</v>
      </c>
      <c r="B1057" s="97">
        <v>1445.59</v>
      </c>
    </row>
    <row r="1058" spans="1:2">
      <c r="A1058" s="98">
        <v>43922</v>
      </c>
      <c r="B1058" s="97">
        <v>1387.48</v>
      </c>
    </row>
    <row r="1059" spans="1:2">
      <c r="A1059" s="98">
        <v>43923</v>
      </c>
      <c r="B1059" s="97">
        <v>1404.7</v>
      </c>
    </row>
    <row r="1060" spans="1:2">
      <c r="A1060" s="98">
        <v>43924</v>
      </c>
      <c r="B1060" s="97">
        <v>1388.09</v>
      </c>
    </row>
    <row r="1061" spans="1:2">
      <c r="A1061" s="98">
        <v>43927</v>
      </c>
      <c r="B1061" s="97">
        <v>1473.19</v>
      </c>
    </row>
    <row r="1062" spans="1:2">
      <c r="A1062" s="98">
        <v>43928</v>
      </c>
      <c r="B1062" s="97">
        <v>1484.27</v>
      </c>
    </row>
    <row r="1063" spans="1:2">
      <c r="A1063" s="98">
        <v>43929</v>
      </c>
      <c r="B1063" s="97">
        <v>1500.17</v>
      </c>
    </row>
    <row r="1064" spans="1:2">
      <c r="A1064" s="98">
        <v>43930</v>
      </c>
      <c r="B1064" s="97">
        <v>1514.44</v>
      </c>
    </row>
    <row r="1065" spans="1:2">
      <c r="A1065" s="98">
        <v>43934</v>
      </c>
      <c r="B1065" s="97">
        <v>1512.8</v>
      </c>
    </row>
    <row r="1066" spans="1:2">
      <c r="A1066" s="98">
        <v>43935</v>
      </c>
      <c r="B1066" s="97">
        <v>1526.92</v>
      </c>
    </row>
    <row r="1067" spans="1:2">
      <c r="A1067" s="98">
        <v>43936</v>
      </c>
      <c r="B1067" s="97">
        <v>1477.54</v>
      </c>
    </row>
    <row r="1068" spans="1:2">
      <c r="A1068" s="98">
        <v>43937</v>
      </c>
      <c r="B1068" s="97">
        <v>1482.51</v>
      </c>
    </row>
    <row r="1069" spans="1:2">
      <c r="A1069" s="98">
        <v>43938</v>
      </c>
      <c r="B1069" s="97">
        <v>1517.96</v>
      </c>
    </row>
    <row r="1070" spans="1:2">
      <c r="A1070" s="98">
        <v>43941</v>
      </c>
      <c r="B1070" s="97">
        <v>1516.79</v>
      </c>
    </row>
    <row r="1071" spans="1:2">
      <c r="A1071" s="98">
        <v>43942</v>
      </c>
      <c r="B1071" s="97">
        <v>1459.11</v>
      </c>
    </row>
    <row r="1072" spans="1:2">
      <c r="A1072" s="98">
        <v>43943</v>
      </c>
      <c r="B1072" s="97">
        <v>1481.33</v>
      </c>
    </row>
    <row r="1073" spans="1:2">
      <c r="A1073" s="98">
        <v>43944</v>
      </c>
      <c r="B1073" s="97">
        <v>1490.98</v>
      </c>
    </row>
    <row r="1074" spans="1:2">
      <c r="A1074" s="98">
        <v>43945</v>
      </c>
      <c r="B1074" s="97">
        <v>1486.86</v>
      </c>
    </row>
    <row r="1075" spans="1:2">
      <c r="A1075" s="98">
        <v>43948</v>
      </c>
      <c r="B1075" s="97">
        <v>1523.83</v>
      </c>
    </row>
    <row r="1076" spans="1:2">
      <c r="A1076" s="98">
        <v>43949</v>
      </c>
      <c r="B1076" s="97">
        <v>1535.18</v>
      </c>
    </row>
    <row r="1077" spans="1:2">
      <c r="A1077" s="98">
        <v>43950</v>
      </c>
      <c r="B1077" s="97">
        <v>1578.18</v>
      </c>
    </row>
    <row r="1078" spans="1:2">
      <c r="A1078" s="98">
        <v>43951</v>
      </c>
      <c r="B1078" s="97">
        <v>1542.07</v>
      </c>
    </row>
    <row r="1079" spans="1:2">
      <c r="A1079" s="98">
        <v>43952</v>
      </c>
      <c r="B1079" s="97">
        <v>1528.16</v>
      </c>
    </row>
    <row r="1080" spans="1:2">
      <c r="A1080" s="98">
        <v>43955</v>
      </c>
      <c r="B1080" s="97">
        <v>1492.77</v>
      </c>
    </row>
    <row r="1081" spans="1:2">
      <c r="A1081" s="98">
        <v>43956</v>
      </c>
      <c r="B1081" s="97">
        <v>1519.53</v>
      </c>
    </row>
    <row r="1082" spans="1:2">
      <c r="A1082" s="98">
        <v>43957</v>
      </c>
      <c r="B1082" s="97">
        <v>1508.16</v>
      </c>
    </row>
    <row r="1083" spans="1:2">
      <c r="A1083" s="98">
        <v>43958</v>
      </c>
      <c r="B1083" s="97">
        <v>1528.64</v>
      </c>
    </row>
    <row r="1084" spans="1:2">
      <c r="A1084" s="98">
        <v>43959</v>
      </c>
      <c r="B1084" s="97">
        <v>1540.61</v>
      </c>
    </row>
    <row r="1085" spans="1:2">
      <c r="A1085" s="98">
        <v>43962</v>
      </c>
      <c r="B1085" s="97">
        <v>1537.94</v>
      </c>
    </row>
    <row r="1086" spans="1:2">
      <c r="A1086" s="98">
        <v>43963</v>
      </c>
      <c r="B1086" s="97">
        <v>1528.33</v>
      </c>
    </row>
    <row r="1087" spans="1:2">
      <c r="A1087" s="98">
        <v>43964</v>
      </c>
      <c r="B1087" s="97">
        <v>1491.71</v>
      </c>
    </row>
    <row r="1088" spans="1:2">
      <c r="A1088" s="98">
        <v>43965</v>
      </c>
      <c r="B1088" s="97">
        <v>1477.89</v>
      </c>
    </row>
    <row r="1089" spans="1:2">
      <c r="A1089" s="98">
        <v>43966</v>
      </c>
      <c r="B1089" s="97">
        <v>1488.06</v>
      </c>
    </row>
    <row r="1090" spans="1:2">
      <c r="A1090" s="98">
        <v>43969</v>
      </c>
      <c r="B1090" s="97">
        <v>1544.75</v>
      </c>
    </row>
    <row r="1091" spans="1:2">
      <c r="A1091" s="98">
        <v>43970</v>
      </c>
      <c r="B1091" s="97">
        <v>1528.28</v>
      </c>
    </row>
    <row r="1092" spans="1:2">
      <c r="A1092" s="98">
        <v>43971</v>
      </c>
      <c r="B1092" s="97">
        <v>1545.05</v>
      </c>
    </row>
    <row r="1093" spans="1:2">
      <c r="A1093" s="98">
        <v>43972</v>
      </c>
      <c r="B1093" s="97">
        <v>1532.44</v>
      </c>
    </row>
    <row r="1094" spans="1:2">
      <c r="A1094" s="98">
        <v>43973</v>
      </c>
      <c r="B1094" s="97">
        <v>1540.2</v>
      </c>
    </row>
    <row r="1095" spans="1:2">
      <c r="A1095" s="98">
        <v>43976</v>
      </c>
      <c r="B1095" s="97">
        <v>1560.4</v>
      </c>
    </row>
    <row r="1096" spans="1:2">
      <c r="A1096" s="98">
        <v>43977</v>
      </c>
      <c r="B1096" s="97">
        <v>1582.93</v>
      </c>
    </row>
    <row r="1097" spans="1:2">
      <c r="A1097" s="98">
        <v>43978</v>
      </c>
      <c r="B1097" s="97">
        <v>1616.5</v>
      </c>
    </row>
    <row r="1098" spans="1:2">
      <c r="A1098" s="98">
        <v>43979</v>
      </c>
      <c r="B1098" s="97">
        <v>1618.8</v>
      </c>
    </row>
    <row r="1099" spans="1:2">
      <c r="A1099" s="98">
        <v>43980</v>
      </c>
      <c r="B1099" s="97">
        <v>1596.64</v>
      </c>
    </row>
    <row r="1100" spans="1:2">
      <c r="A1100" s="98">
        <v>43983</v>
      </c>
      <c r="B1100" s="97">
        <v>1612.03</v>
      </c>
    </row>
    <row r="1101" spans="1:2">
      <c r="A1101" s="98">
        <v>43984</v>
      </c>
      <c r="B1101" s="97">
        <v>1639.61</v>
      </c>
    </row>
    <row r="1102" spans="1:2">
      <c r="A1102" s="98">
        <v>43985</v>
      </c>
      <c r="B1102" s="97">
        <v>1687.06</v>
      </c>
    </row>
    <row r="1103" spans="1:2">
      <c r="A1103" s="98">
        <v>43986</v>
      </c>
      <c r="B1103" s="97">
        <v>1680.83</v>
      </c>
    </row>
    <row r="1104" spans="1:2">
      <c r="A1104" s="98">
        <v>43987</v>
      </c>
      <c r="B1104" s="97">
        <v>1742.05</v>
      </c>
    </row>
    <row r="1105" spans="1:2">
      <c r="A1105" s="98">
        <v>43990</v>
      </c>
      <c r="B1105" s="97">
        <v>1744.11</v>
      </c>
    </row>
    <row r="1106" spans="1:2">
      <c r="A1106" s="98">
        <v>43991</v>
      </c>
      <c r="B1106" s="97">
        <v>1718.55</v>
      </c>
    </row>
    <row r="1107" spans="1:2">
      <c r="A1107" s="98">
        <v>43992</v>
      </c>
      <c r="B1107" s="97">
        <v>1705.03</v>
      </c>
    </row>
    <row r="1108" spans="1:2">
      <c r="A1108" s="98">
        <v>43993</v>
      </c>
      <c r="B1108" s="97">
        <v>1613.67</v>
      </c>
    </row>
    <row r="1109" spans="1:2">
      <c r="A1109" s="98">
        <v>43994</v>
      </c>
      <c r="B1109" s="97">
        <v>1634.29</v>
      </c>
    </row>
    <row r="1110" spans="1:2">
      <c r="A1110" s="98">
        <v>43997</v>
      </c>
      <c r="B1110" s="97">
        <v>1627.03</v>
      </c>
    </row>
    <row r="1111" spans="1:2">
      <c r="A1111" s="98">
        <v>43998</v>
      </c>
      <c r="B1111" s="97">
        <v>1676.49</v>
      </c>
    </row>
    <row r="1112" spans="1:2">
      <c r="A1112" s="98">
        <v>43999</v>
      </c>
      <c r="B1112" s="97">
        <v>1682.88</v>
      </c>
    </row>
    <row r="1113" spans="1:2">
      <c r="A1113" s="98">
        <v>44000</v>
      </c>
      <c r="B1113" s="97">
        <v>1679.44</v>
      </c>
    </row>
    <row r="1114" spans="1:2">
      <c r="A1114" s="98">
        <v>44001</v>
      </c>
      <c r="B1114" s="97">
        <v>1684.59</v>
      </c>
    </row>
    <row r="1115" spans="1:2">
      <c r="A1115" s="98">
        <v>44004</v>
      </c>
      <c r="B1115" s="97">
        <v>1679.75</v>
      </c>
    </row>
    <row r="1116" spans="1:2">
      <c r="A1116" s="98">
        <v>44005</v>
      </c>
      <c r="B1116" s="97">
        <v>1702.47</v>
      </c>
    </row>
    <row r="1117" spans="1:2">
      <c r="A1117" s="98">
        <v>44006</v>
      </c>
      <c r="B1117" s="97">
        <v>1654.37</v>
      </c>
    </row>
    <row r="1118" spans="1:2">
      <c r="A1118" s="98">
        <v>44007</v>
      </c>
      <c r="B1118" s="97">
        <v>1679.19</v>
      </c>
    </row>
    <row r="1119" spans="1:2">
      <c r="A1119" s="98">
        <v>44008</v>
      </c>
      <c r="B1119" s="97">
        <v>1658.92</v>
      </c>
    </row>
    <row r="1120" spans="1:2">
      <c r="A1120" s="98">
        <v>44011</v>
      </c>
      <c r="B1120" s="97">
        <v>1672.04</v>
      </c>
    </row>
    <row r="1121" spans="1:2">
      <c r="A1121" s="98">
        <v>44012</v>
      </c>
      <c r="B1121" s="97">
        <v>1682.71</v>
      </c>
    </row>
    <row r="1122" spans="1:2">
      <c r="A1122" s="98">
        <v>44013</v>
      </c>
      <c r="B1122" s="97">
        <v>1680.91</v>
      </c>
    </row>
    <row r="1123" spans="1:2">
      <c r="A1123" s="98">
        <v>44014</v>
      </c>
      <c r="B1123" s="97">
        <v>1717.57</v>
      </c>
    </row>
    <row r="1124" spans="1:2">
      <c r="A1124" s="98">
        <v>44015</v>
      </c>
      <c r="B1124" s="97">
        <v>1708.29</v>
      </c>
    </row>
    <row r="1125" spans="1:2">
      <c r="A1125" s="98">
        <v>44018</v>
      </c>
      <c r="B1125" s="97">
        <v>1735.5</v>
      </c>
    </row>
    <row r="1126" spans="1:2">
      <c r="A1126" s="98">
        <v>44019</v>
      </c>
      <c r="B1126" s="97">
        <v>1721.98</v>
      </c>
    </row>
    <row r="1127" spans="1:2">
      <c r="A1127" s="98">
        <v>44020</v>
      </c>
      <c r="B1127" s="97">
        <v>1709.84</v>
      </c>
    </row>
    <row r="1128" spans="1:2">
      <c r="A1128" s="98">
        <v>44021</v>
      </c>
      <c r="B1128" s="97">
        <v>1694.96</v>
      </c>
    </row>
    <row r="1129" spans="1:2">
      <c r="A1129" s="98">
        <v>44022</v>
      </c>
      <c r="B1129" s="97">
        <v>1710.98</v>
      </c>
    </row>
    <row r="1130" spans="1:2">
      <c r="A1130" s="98">
        <v>44025</v>
      </c>
      <c r="B1130" s="97">
        <v>1722.06</v>
      </c>
    </row>
    <row r="1131" spans="1:2">
      <c r="A1131" s="98">
        <v>44026</v>
      </c>
      <c r="B1131" s="97">
        <v>1717.48</v>
      </c>
    </row>
    <row r="1132" spans="1:2">
      <c r="A1132" s="98">
        <v>44027</v>
      </c>
      <c r="B1132" s="97">
        <v>1739.13</v>
      </c>
    </row>
    <row r="1133" spans="1:2">
      <c r="A1133" s="98">
        <v>44028</v>
      </c>
      <c r="B1133" s="97">
        <v>1730.96</v>
      </c>
    </row>
    <row r="1134" spans="1:2">
      <c r="A1134" s="98">
        <v>44029</v>
      </c>
      <c r="B1134" s="97">
        <v>1728.49</v>
      </c>
    </row>
    <row r="1135" spans="1:2">
      <c r="A1135" s="98">
        <v>44032</v>
      </c>
      <c r="B1135" s="97">
        <v>1745.4</v>
      </c>
    </row>
    <row r="1136" spans="1:2">
      <c r="A1136" s="98">
        <v>44033</v>
      </c>
      <c r="B1136" s="97">
        <v>1749.15</v>
      </c>
    </row>
    <row r="1137" spans="1:2">
      <c r="A1137" s="98">
        <v>44034</v>
      </c>
      <c r="B1137" s="97">
        <v>1735.76</v>
      </c>
    </row>
    <row r="1138" spans="1:2">
      <c r="A1138" s="98">
        <v>44035</v>
      </c>
      <c r="B1138" s="97">
        <v>1727.42</v>
      </c>
    </row>
    <row r="1139" spans="1:2">
      <c r="A1139" s="98">
        <v>44036</v>
      </c>
      <c r="B1139" s="97">
        <v>1704.22</v>
      </c>
    </row>
    <row r="1140" spans="1:2">
      <c r="A1140" s="98">
        <v>44039</v>
      </c>
      <c r="B1140" s="97">
        <v>1694.24</v>
      </c>
    </row>
    <row r="1141" spans="1:2">
      <c r="A1141" s="98">
        <v>44040</v>
      </c>
      <c r="B1141" s="97">
        <v>1698.6</v>
      </c>
    </row>
    <row r="1142" spans="1:2">
      <c r="A1142" s="98">
        <v>44041</v>
      </c>
      <c r="B1142" s="97">
        <v>1699.55</v>
      </c>
    </row>
    <row r="1143" spans="1:2">
      <c r="A1143" s="98">
        <v>44042</v>
      </c>
      <c r="B1143" s="97">
        <v>1655.72</v>
      </c>
    </row>
    <row r="1144" spans="1:2">
      <c r="A1144" s="98">
        <v>44043</v>
      </c>
      <c r="B1144" s="97">
        <v>1636.8</v>
      </c>
    </row>
    <row r="1145" spans="1:2">
      <c r="A1145" s="98">
        <v>44046</v>
      </c>
      <c r="B1145" s="97">
        <v>1668.66</v>
      </c>
    </row>
    <row r="1146" spans="1:2">
      <c r="A1146" s="98">
        <v>44047</v>
      </c>
      <c r="B1146" s="97">
        <v>1675.09</v>
      </c>
    </row>
    <row r="1147" spans="1:2">
      <c r="A1147" s="98">
        <v>44048</v>
      </c>
      <c r="B1147" s="97">
        <v>1680.17</v>
      </c>
    </row>
    <row r="1148" spans="1:2">
      <c r="A1148" s="98">
        <v>44049</v>
      </c>
      <c r="B1148" s="97">
        <v>1676.18</v>
      </c>
    </row>
    <row r="1149" spans="1:2">
      <c r="A1149" s="98">
        <v>44050</v>
      </c>
      <c r="B1149" s="97">
        <v>1680.67</v>
      </c>
    </row>
    <row r="1150" spans="1:2">
      <c r="A1150" s="98">
        <v>44053</v>
      </c>
      <c r="B1150" s="97">
        <v>1684.02</v>
      </c>
    </row>
    <row r="1151" spans="1:2">
      <c r="A1151" s="98">
        <v>44054</v>
      </c>
      <c r="B1151" s="97">
        <v>1713.62</v>
      </c>
    </row>
    <row r="1152" spans="1:2">
      <c r="A1152" s="98">
        <v>44055</v>
      </c>
      <c r="B1152" s="97">
        <v>1729.44</v>
      </c>
    </row>
    <row r="1153" spans="1:2">
      <c r="A1153" s="98">
        <v>44056</v>
      </c>
      <c r="B1153" s="97">
        <v>1718.07</v>
      </c>
    </row>
    <row r="1154" spans="1:2">
      <c r="A1154" s="98">
        <v>44057</v>
      </c>
      <c r="B1154" s="97">
        <v>1705.41</v>
      </c>
    </row>
    <row r="1155" spans="1:2">
      <c r="A1155" s="98">
        <v>44060</v>
      </c>
      <c r="B1155" s="97">
        <v>1705.67</v>
      </c>
    </row>
    <row r="1156" spans="1:2">
      <c r="A1156" s="98">
        <v>44061</v>
      </c>
      <c r="B1156" s="97">
        <v>1696.06</v>
      </c>
    </row>
    <row r="1157" spans="1:2">
      <c r="A1157" s="98">
        <v>44062</v>
      </c>
      <c r="B1157" s="97">
        <v>1707.25</v>
      </c>
    </row>
    <row r="1158" spans="1:2">
      <c r="A1158" s="98">
        <v>44063</v>
      </c>
      <c r="B1158" s="97">
        <v>1693.54</v>
      </c>
    </row>
    <row r="1159" spans="1:2">
      <c r="A1159" s="98">
        <v>44064</v>
      </c>
      <c r="B1159" s="97">
        <v>1690.7</v>
      </c>
    </row>
    <row r="1160" spans="1:2">
      <c r="A1160" s="98">
        <v>44067</v>
      </c>
      <c r="B1160" s="97">
        <v>1717.97</v>
      </c>
    </row>
    <row r="1161" spans="1:2">
      <c r="A1161" s="98">
        <v>44068</v>
      </c>
      <c r="B1161" s="97">
        <v>1724.21</v>
      </c>
    </row>
    <row r="1162" spans="1:2">
      <c r="A1162" s="98">
        <v>44069</v>
      </c>
      <c r="B1162" s="97">
        <v>1749.65</v>
      </c>
    </row>
    <row r="1163" spans="1:2">
      <c r="A1163" s="98">
        <v>44070</v>
      </c>
      <c r="B1163" s="97">
        <v>1745.16</v>
      </c>
    </row>
    <row r="1164" spans="1:2">
      <c r="A1164" s="98">
        <v>44071</v>
      </c>
      <c r="B1164" s="97">
        <v>1745.02</v>
      </c>
    </row>
    <row r="1165" spans="1:2">
      <c r="A1165" s="98">
        <v>44074</v>
      </c>
      <c r="B1165" s="97">
        <v>1718.66</v>
      </c>
    </row>
    <row r="1166" spans="1:2">
      <c r="A1166" s="98">
        <v>44075</v>
      </c>
      <c r="B1166" s="97">
        <v>1720.09</v>
      </c>
    </row>
    <row r="1167" spans="1:2">
      <c r="A1167" s="98">
        <v>44076</v>
      </c>
      <c r="B1167" s="97">
        <v>1749.92</v>
      </c>
    </row>
    <row r="1168" spans="1:2">
      <c r="A1168" s="98">
        <v>44077</v>
      </c>
      <c r="B1168" s="97">
        <v>1723.62</v>
      </c>
    </row>
    <row r="1169" spans="1:2">
      <c r="A1169" s="98">
        <v>44078</v>
      </c>
      <c r="B1169" s="97">
        <v>1714.88</v>
      </c>
    </row>
    <row r="1170" spans="1:2">
      <c r="A1170" s="98">
        <v>44081</v>
      </c>
      <c r="B1170" s="97">
        <v>1726.6</v>
      </c>
    </row>
    <row r="1171" spans="1:2">
      <c r="A1171" s="98">
        <v>44082</v>
      </c>
      <c r="B1171" s="97">
        <v>1698.22</v>
      </c>
    </row>
    <row r="1172" spans="1:2">
      <c r="A1172" s="98">
        <v>44083</v>
      </c>
      <c r="B1172" s="97">
        <v>1730.75</v>
      </c>
    </row>
    <row r="1173" spans="1:2">
      <c r="A1173" s="98">
        <v>44084</v>
      </c>
      <c r="B1173" s="97">
        <v>1719.4</v>
      </c>
    </row>
    <row r="1174" spans="1:2">
      <c r="A1174" s="98">
        <v>44085</v>
      </c>
      <c r="B1174" s="97">
        <v>1717.53</v>
      </c>
    </row>
    <row r="1175" spans="1:2">
      <c r="A1175" s="98">
        <v>44088</v>
      </c>
      <c r="B1175" s="97">
        <v>1726.09</v>
      </c>
    </row>
    <row r="1176" spans="1:2">
      <c r="A1176" s="98">
        <v>44089</v>
      </c>
      <c r="B1176" s="97">
        <v>1729.54</v>
      </c>
    </row>
    <row r="1177" spans="1:2">
      <c r="A1177" s="98">
        <v>44090</v>
      </c>
      <c r="B1177" s="97">
        <v>1732.16</v>
      </c>
    </row>
    <row r="1178" spans="1:2">
      <c r="A1178" s="98">
        <v>44091</v>
      </c>
      <c r="B1178" s="97">
        <v>1721.53</v>
      </c>
    </row>
    <row r="1179" spans="1:2">
      <c r="A1179" s="98">
        <v>44092</v>
      </c>
      <c r="B1179" s="97">
        <v>1699.99</v>
      </c>
    </row>
    <row r="1180" spans="1:2">
      <c r="A1180" s="98">
        <v>44095</v>
      </c>
      <c r="B1180" s="97">
        <v>1653.16</v>
      </c>
    </row>
    <row r="1181" spans="1:2">
      <c r="A1181" s="98">
        <v>44096</v>
      </c>
      <c r="B1181" s="97">
        <v>1658.09</v>
      </c>
    </row>
    <row r="1182" spans="1:2">
      <c r="A1182" s="98">
        <v>44097</v>
      </c>
      <c r="B1182" s="97">
        <v>1649.41</v>
      </c>
    </row>
    <row r="1183" spans="1:2">
      <c r="A1183" s="98">
        <v>44098</v>
      </c>
      <c r="B1183" s="97">
        <v>1643.04</v>
      </c>
    </row>
    <row r="1184" spans="1:2">
      <c r="A1184" s="98">
        <v>44099</v>
      </c>
      <c r="B1184" s="97">
        <v>1644.31</v>
      </c>
    </row>
    <row r="1185" spans="1:2">
      <c r="A1185" s="98">
        <v>44102</v>
      </c>
      <c r="B1185" s="97">
        <v>1688.76</v>
      </c>
    </row>
    <row r="1186" spans="1:2">
      <c r="A1186" s="98">
        <v>44103</v>
      </c>
      <c r="B1186" s="97">
        <v>1675.38</v>
      </c>
    </row>
    <row r="1187" spans="1:2">
      <c r="A1187" s="98">
        <v>44104</v>
      </c>
      <c r="B1187" s="97">
        <v>1678.88</v>
      </c>
    </row>
    <row r="1188" spans="1:2">
      <c r="A1188" s="98">
        <v>44105</v>
      </c>
      <c r="B1188" s="97">
        <v>1682.85</v>
      </c>
    </row>
    <row r="1189" spans="1:2">
      <c r="A1189" s="98">
        <v>44106</v>
      </c>
      <c r="B1189" s="97">
        <v>1675.05</v>
      </c>
    </row>
    <row r="1190" spans="1:2">
      <c r="A1190" s="98">
        <v>44109</v>
      </c>
      <c r="B1190" s="97">
        <v>1695.01</v>
      </c>
    </row>
    <row r="1191" spans="1:2">
      <c r="A1191" s="98">
        <v>44110</v>
      </c>
      <c r="B1191" s="97">
        <v>1699.93</v>
      </c>
    </row>
    <row r="1192" spans="1:2">
      <c r="A1192" s="98">
        <v>44111</v>
      </c>
      <c r="B1192" s="97">
        <v>1709.15</v>
      </c>
    </row>
    <row r="1193" spans="1:2">
      <c r="A1193" s="98">
        <v>44112</v>
      </c>
      <c r="B1193" s="97">
        <v>1720.48</v>
      </c>
    </row>
    <row r="1194" spans="1:2">
      <c r="A1194" s="98">
        <v>44113</v>
      </c>
      <c r="B1194" s="97">
        <v>1725.02</v>
      </c>
    </row>
    <row r="1195" spans="1:2">
      <c r="A1195" s="98">
        <v>44116</v>
      </c>
      <c r="B1195" s="97">
        <v>1737.54</v>
      </c>
    </row>
    <row r="1196" spans="1:2">
      <c r="A1196" s="98">
        <v>44117</v>
      </c>
      <c r="B1196" s="97">
        <v>1727.86</v>
      </c>
    </row>
    <row r="1197" spans="1:2">
      <c r="A1197" s="98">
        <v>44118</v>
      </c>
      <c r="B1197" s="97">
        <v>1719.02</v>
      </c>
    </row>
    <row r="1198" spans="1:2">
      <c r="A1198" s="98">
        <v>44119</v>
      </c>
      <c r="B1198" s="97">
        <v>1691.13</v>
      </c>
    </row>
    <row r="1199" spans="1:2">
      <c r="A1199" s="98">
        <v>44120</v>
      </c>
      <c r="B1199" s="97">
        <v>1709.42</v>
      </c>
    </row>
    <row r="1200" spans="1:2">
      <c r="A1200" s="98">
        <v>44123</v>
      </c>
      <c r="B1200" s="97">
        <v>1698.52</v>
      </c>
    </row>
    <row r="1201" spans="1:2">
      <c r="A1201" s="98">
        <v>44124</v>
      </c>
      <c r="B1201" s="97">
        <v>1698.75</v>
      </c>
    </row>
    <row r="1202" spans="1:2">
      <c r="A1202" s="98">
        <v>44125</v>
      </c>
      <c r="B1202" s="97">
        <v>1677.31</v>
      </c>
    </row>
    <row r="1203" spans="1:2">
      <c r="A1203" s="98">
        <v>44126</v>
      </c>
      <c r="B1203" s="97">
        <v>1679.46</v>
      </c>
    </row>
    <row r="1204" spans="1:2">
      <c r="A1204" s="98">
        <v>44127</v>
      </c>
      <c r="B1204" s="97">
        <v>1690.67</v>
      </c>
    </row>
    <row r="1205" spans="1:2">
      <c r="A1205" s="98">
        <v>44130</v>
      </c>
      <c r="B1205" s="97">
        <v>1651.9</v>
      </c>
    </row>
    <row r="1206" spans="1:2">
      <c r="A1206" s="98">
        <v>44131</v>
      </c>
      <c r="B1206" s="97">
        <v>1629.95</v>
      </c>
    </row>
    <row r="1207" spans="1:2">
      <c r="A1207" s="98">
        <v>44132</v>
      </c>
      <c r="B1207" s="97">
        <v>1577.93</v>
      </c>
    </row>
    <row r="1208" spans="1:2">
      <c r="A1208" s="98">
        <v>44133</v>
      </c>
      <c r="B1208" s="97">
        <v>1582.58</v>
      </c>
    </row>
    <row r="1209" spans="1:2">
      <c r="A1209" s="98">
        <v>44134</v>
      </c>
      <c r="B1209" s="97">
        <v>1580.99</v>
      </c>
    </row>
    <row r="1210" spans="1:2">
      <c r="A1210" s="98">
        <v>44137</v>
      </c>
      <c r="B1210" s="97">
        <v>1607.75</v>
      </c>
    </row>
    <row r="1211" spans="1:2">
      <c r="A1211" s="98">
        <v>44138</v>
      </c>
      <c r="B1211" s="97">
        <v>1644.84</v>
      </c>
    </row>
    <row r="1212" spans="1:2">
      <c r="A1212" s="98">
        <v>44139</v>
      </c>
      <c r="B1212" s="97">
        <v>1680.18</v>
      </c>
    </row>
    <row r="1213" spans="1:2">
      <c r="A1213" s="98">
        <v>44140</v>
      </c>
      <c r="B1213" s="97">
        <v>1703.69</v>
      </c>
    </row>
    <row r="1214" spans="1:2">
      <c r="A1214" s="98">
        <v>44141</v>
      </c>
      <c r="B1214" s="97">
        <v>1696.51</v>
      </c>
    </row>
    <row r="1215" spans="1:2">
      <c r="A1215" s="98">
        <v>44144</v>
      </c>
      <c r="B1215" s="97">
        <v>1800.52</v>
      </c>
    </row>
    <row r="1216" spans="1:2">
      <c r="A1216" s="98">
        <v>44145</v>
      </c>
      <c r="B1216" s="97">
        <v>1823.24</v>
      </c>
    </row>
    <row r="1217" spans="1:2">
      <c r="A1217" s="98">
        <v>44146</v>
      </c>
      <c r="B1217" s="97">
        <v>1835.06</v>
      </c>
    </row>
    <row r="1218" spans="1:2">
      <c r="A1218" s="98">
        <v>44147</v>
      </c>
      <c r="B1218" s="97">
        <v>1815.68</v>
      </c>
    </row>
    <row r="1219" spans="1:2">
      <c r="A1219" s="98">
        <v>44148</v>
      </c>
      <c r="B1219" s="97">
        <v>1828.68</v>
      </c>
    </row>
    <row r="1220" spans="1:2">
      <c r="A1220" s="98">
        <v>44151</v>
      </c>
      <c r="B1220" s="97">
        <v>1851.61</v>
      </c>
    </row>
    <row r="1221" spans="1:2">
      <c r="A1221" s="98">
        <v>44152</v>
      </c>
      <c r="B1221" s="97">
        <v>1851.41</v>
      </c>
    </row>
    <row r="1222" spans="1:2">
      <c r="A1222" s="98">
        <v>44153</v>
      </c>
      <c r="B1222" s="97">
        <v>1851.31</v>
      </c>
    </row>
    <row r="1223" spans="1:2">
      <c r="A1223" s="98">
        <v>44154</v>
      </c>
      <c r="B1223" s="97">
        <v>1843.67</v>
      </c>
    </row>
    <row r="1224" spans="1:2">
      <c r="A1224" s="98">
        <v>44155</v>
      </c>
      <c r="B1224" s="97">
        <v>1840.48</v>
      </c>
    </row>
    <row r="1225" spans="1:2">
      <c r="A1225" s="98">
        <v>44158</v>
      </c>
      <c r="B1225" s="97">
        <v>1845.03</v>
      </c>
    </row>
    <row r="1226" spans="1:2">
      <c r="A1226" s="98">
        <v>44159</v>
      </c>
      <c r="B1226" s="97">
        <v>1874.73</v>
      </c>
    </row>
    <row r="1227" spans="1:2">
      <c r="A1227" s="98">
        <v>44160</v>
      </c>
      <c r="B1227" s="97">
        <v>1876.96</v>
      </c>
    </row>
    <row r="1228" spans="1:2">
      <c r="A1228" s="98">
        <v>44161</v>
      </c>
      <c r="B1228" s="97">
        <v>1870.87</v>
      </c>
    </row>
    <row r="1229" spans="1:2">
      <c r="A1229" s="98">
        <v>44162</v>
      </c>
      <c r="B1229" s="97">
        <v>1879.37</v>
      </c>
    </row>
    <row r="1230" spans="1:2">
      <c r="A1230" s="98">
        <v>44165</v>
      </c>
      <c r="B1230" s="97">
        <v>1861.06</v>
      </c>
    </row>
    <row r="1231" spans="1:2">
      <c r="A1231" s="98">
        <v>44166</v>
      </c>
      <c r="B1231" s="97">
        <v>1881.25</v>
      </c>
    </row>
    <row r="1232" spans="1:2">
      <c r="A1232" s="98">
        <v>44167</v>
      </c>
      <c r="B1232" s="97">
        <v>1883.5</v>
      </c>
    </row>
    <row r="1233" spans="1:2">
      <c r="A1233" s="98">
        <v>44168</v>
      </c>
      <c r="B1233" s="97">
        <v>1879.33</v>
      </c>
    </row>
    <row r="1234" spans="1:2">
      <c r="A1234" s="98">
        <v>44169</v>
      </c>
      <c r="B1234" s="97">
        <v>1900.1</v>
      </c>
    </row>
    <row r="1235" spans="1:2">
      <c r="A1235" s="98">
        <v>44172</v>
      </c>
      <c r="B1235" s="97">
        <v>1886.25</v>
      </c>
    </row>
    <row r="1236" spans="1:2">
      <c r="A1236" s="98">
        <v>44173</v>
      </c>
      <c r="B1236" s="97">
        <v>1880.28</v>
      </c>
    </row>
    <row r="1237" spans="1:2">
      <c r="A1237" s="98">
        <v>44174</v>
      </c>
      <c r="B1237" s="97">
        <v>1881.06</v>
      </c>
    </row>
    <row r="1238" spans="1:2">
      <c r="A1238" s="98">
        <v>44175</v>
      </c>
      <c r="B1238" s="97">
        <v>1867.68</v>
      </c>
    </row>
    <row r="1239" spans="1:2">
      <c r="A1239" s="98">
        <v>44176</v>
      </c>
      <c r="B1239" s="97">
        <v>1847.79</v>
      </c>
    </row>
    <row r="1240" spans="1:2">
      <c r="A1240" s="98">
        <v>44179</v>
      </c>
      <c r="B1240" s="97">
        <v>1858.67</v>
      </c>
    </row>
    <row r="1241" spans="1:2">
      <c r="A1241" s="98">
        <v>44180</v>
      </c>
      <c r="B1241" s="97">
        <v>1870.2</v>
      </c>
    </row>
    <row r="1242" spans="1:2">
      <c r="A1242" s="98">
        <v>44181</v>
      </c>
      <c r="B1242" s="97">
        <v>1873.37</v>
      </c>
    </row>
    <row r="1243" spans="1:2">
      <c r="A1243" s="98">
        <v>44182</v>
      </c>
      <c r="B1243" s="97">
        <v>1883.54</v>
      </c>
    </row>
    <row r="1244" spans="1:2">
      <c r="A1244" s="98">
        <v>44183</v>
      </c>
      <c r="B1244" s="97">
        <v>1876.63</v>
      </c>
    </row>
    <row r="1245" spans="1:2">
      <c r="A1245" s="98">
        <v>44186</v>
      </c>
      <c r="B1245" s="97">
        <v>1836.75</v>
      </c>
    </row>
    <row r="1246" spans="1:2">
      <c r="A1246" s="98">
        <v>44187</v>
      </c>
      <c r="B1246" s="97">
        <v>1855.14</v>
      </c>
    </row>
    <row r="1247" spans="1:2">
      <c r="A1247" s="98">
        <v>44188</v>
      </c>
      <c r="B1247" s="97">
        <v>1871.34</v>
      </c>
    </row>
    <row r="1248" spans="1:2">
      <c r="A1248" s="98">
        <v>44189</v>
      </c>
      <c r="B1248" s="97">
        <v>1878.97</v>
      </c>
    </row>
    <row r="1249" spans="1:2">
      <c r="A1249" s="98">
        <v>44193</v>
      </c>
      <c r="B1249" s="97">
        <v>1890.1</v>
      </c>
    </row>
    <row r="1250" spans="1:2">
      <c r="A1250" s="98">
        <v>44194</v>
      </c>
      <c r="B1250" s="97">
        <v>1891.21</v>
      </c>
    </row>
    <row r="1251" spans="1:2">
      <c r="A1251" s="98">
        <v>44195</v>
      </c>
      <c r="B1251" s="97">
        <v>1885.48</v>
      </c>
    </row>
    <row r="1252" spans="1:2">
      <c r="A1252" s="98">
        <v>44196</v>
      </c>
      <c r="B1252" s="97">
        <v>1884.84</v>
      </c>
    </row>
    <row r="1253" spans="1:2">
      <c r="A1253" s="98">
        <v>44200</v>
      </c>
      <c r="B1253" s="97">
        <v>1881.68</v>
      </c>
    </row>
    <row r="1254" spans="1:2">
      <c r="A1254" s="98">
        <v>44201</v>
      </c>
      <c r="B1254" s="97">
        <v>1876.86</v>
      </c>
    </row>
    <row r="1255" spans="1:2">
      <c r="A1255" s="98">
        <v>44202</v>
      </c>
      <c r="B1255" s="97">
        <v>1909.34</v>
      </c>
    </row>
    <row r="1256" spans="1:2">
      <c r="A1256" s="98">
        <v>44203</v>
      </c>
      <c r="B1256" s="97">
        <v>1923.66</v>
      </c>
    </row>
    <row r="1257" spans="1:2">
      <c r="A1257" s="98">
        <v>44204</v>
      </c>
      <c r="B1257" s="97">
        <v>1928.8</v>
      </c>
    </row>
    <row r="1258" spans="1:2">
      <c r="A1258" s="98">
        <v>44207</v>
      </c>
      <c r="B1258" s="97">
        <v>1926.5</v>
      </c>
    </row>
    <row r="1259" spans="1:2">
      <c r="A1259" s="98">
        <v>44208</v>
      </c>
      <c r="B1259" s="97">
        <v>1925.23</v>
      </c>
    </row>
    <row r="1260" spans="1:2">
      <c r="A1260" s="98">
        <v>44209</v>
      </c>
      <c r="B1260" s="97">
        <v>1928.37</v>
      </c>
    </row>
    <row r="1261" spans="1:2">
      <c r="A1261" s="98">
        <v>44210</v>
      </c>
      <c r="B1261" s="97">
        <v>1932.05</v>
      </c>
    </row>
    <row r="1262" spans="1:2">
      <c r="A1262" s="98">
        <v>44211</v>
      </c>
      <c r="B1262" s="97">
        <v>1910.47</v>
      </c>
    </row>
    <row r="1263" spans="1:2">
      <c r="A1263" s="98">
        <v>44214</v>
      </c>
      <c r="B1263" s="97">
        <v>1909.45</v>
      </c>
    </row>
    <row r="1264" spans="1:2">
      <c r="A1264" s="98">
        <v>44215</v>
      </c>
      <c r="B1264" s="97">
        <v>1899.75</v>
      </c>
    </row>
    <row r="1265" spans="1:2">
      <c r="A1265" s="98">
        <v>44216</v>
      </c>
      <c r="B1265" s="97">
        <v>1916.34</v>
      </c>
    </row>
    <row r="1266" spans="1:2">
      <c r="A1266" s="98">
        <v>44217</v>
      </c>
      <c r="B1266" s="97">
        <v>1908.38</v>
      </c>
    </row>
    <row r="1267" spans="1:2">
      <c r="A1267" s="98">
        <v>44218</v>
      </c>
      <c r="B1267" s="97">
        <v>1892.82</v>
      </c>
    </row>
    <row r="1268" spans="1:2">
      <c r="A1268" s="98">
        <v>44221</v>
      </c>
      <c r="B1268" s="97">
        <v>1869.77</v>
      </c>
    </row>
    <row r="1269" spans="1:2">
      <c r="A1269" s="98">
        <v>44222</v>
      </c>
      <c r="B1269" s="97">
        <v>1883.67</v>
      </c>
    </row>
    <row r="1270" spans="1:2">
      <c r="A1270" s="98">
        <v>44223</v>
      </c>
      <c r="B1270" s="97">
        <v>1850.88</v>
      </c>
    </row>
    <row r="1271" spans="1:2">
      <c r="A1271" s="98">
        <v>44224</v>
      </c>
      <c r="B1271" s="97">
        <v>1865.62</v>
      </c>
    </row>
    <row r="1272" spans="1:2">
      <c r="A1272" s="98">
        <v>44225</v>
      </c>
      <c r="B1272" s="97">
        <v>1823.19</v>
      </c>
    </row>
    <row r="1273" spans="1:2">
      <c r="A1273" s="98">
        <v>44228</v>
      </c>
      <c r="B1273" s="97">
        <v>1850.39</v>
      </c>
    </row>
    <row r="1274" spans="1:2">
      <c r="A1274" s="98">
        <v>44229</v>
      </c>
      <c r="B1274" s="97">
        <v>1889.29</v>
      </c>
    </row>
    <row r="1275" spans="1:2">
      <c r="A1275" s="98">
        <v>44230</v>
      </c>
      <c r="B1275" s="97">
        <v>1894.47</v>
      </c>
    </row>
    <row r="1276" spans="1:2">
      <c r="A1276" s="98">
        <v>44231</v>
      </c>
      <c r="B1276" s="97">
        <v>1921.26</v>
      </c>
    </row>
    <row r="1277" spans="1:2">
      <c r="A1277" s="98">
        <v>44232</v>
      </c>
      <c r="B1277" s="97">
        <v>1924.93</v>
      </c>
    </row>
    <row r="1278" spans="1:2">
      <c r="A1278" s="98">
        <v>44235</v>
      </c>
      <c r="B1278" s="97">
        <v>1929.91</v>
      </c>
    </row>
    <row r="1279" spans="1:2">
      <c r="A1279" s="98">
        <v>44236</v>
      </c>
      <c r="B1279" s="97">
        <v>1926.88</v>
      </c>
    </row>
    <row r="1280" spans="1:2">
      <c r="A1280" s="98">
        <v>44237</v>
      </c>
      <c r="B1280" s="97">
        <v>1925.09</v>
      </c>
    </row>
    <row r="1281" spans="1:2">
      <c r="A1281" s="98">
        <v>44238</v>
      </c>
      <c r="B1281" s="97">
        <v>1931.51</v>
      </c>
    </row>
    <row r="1282" spans="1:2">
      <c r="A1282" s="98">
        <v>44239</v>
      </c>
      <c r="B1282" s="97">
        <v>1940.5</v>
      </c>
    </row>
    <row r="1283" spans="1:2">
      <c r="A1283" s="98">
        <v>44242</v>
      </c>
      <c r="B1283" s="97">
        <v>1954.98</v>
      </c>
    </row>
    <row r="1284" spans="1:2">
      <c r="A1284" s="98">
        <v>44243</v>
      </c>
      <c r="B1284" s="97">
        <v>1955.34</v>
      </c>
    </row>
    <row r="1285" spans="1:2">
      <c r="A1285" s="98">
        <v>44244</v>
      </c>
      <c r="B1285" s="97">
        <v>1948.62</v>
      </c>
    </row>
    <row r="1286" spans="1:2">
      <c r="A1286" s="98">
        <v>44245</v>
      </c>
      <c r="B1286" s="97">
        <v>1934.73</v>
      </c>
    </row>
    <row r="1287" spans="1:2">
      <c r="A1287" s="98">
        <v>44246</v>
      </c>
      <c r="B1287" s="97">
        <v>1944.8</v>
      </c>
    </row>
    <row r="1288" spans="1:2">
      <c r="A1288" s="98">
        <v>44249</v>
      </c>
      <c r="B1288" s="97">
        <v>1940.78</v>
      </c>
    </row>
    <row r="1289" spans="1:2">
      <c r="A1289" s="98">
        <v>44250</v>
      </c>
      <c r="B1289" s="97">
        <v>1941.12</v>
      </c>
    </row>
    <row r="1290" spans="1:2">
      <c r="A1290" s="98">
        <v>44251</v>
      </c>
      <c r="B1290" s="97">
        <v>1959.29</v>
      </c>
    </row>
    <row r="1291" spans="1:2">
      <c r="A1291" s="98">
        <v>44252</v>
      </c>
      <c r="B1291" s="97">
        <v>1945.84</v>
      </c>
    </row>
    <row r="1292" spans="1:2">
      <c r="A1292" s="98">
        <v>44253</v>
      </c>
      <c r="B1292" s="97">
        <v>1928.11</v>
      </c>
    </row>
    <row r="1293" spans="1:2">
      <c r="A1293" s="98">
        <v>44256</v>
      </c>
      <c r="B1293" s="97">
        <v>1966.17</v>
      </c>
    </row>
    <row r="1294" spans="1:2">
      <c r="A1294" s="98">
        <v>44257</v>
      </c>
      <c r="B1294" s="97">
        <v>1962.22</v>
      </c>
    </row>
    <row r="1295" spans="1:2">
      <c r="A1295" s="98">
        <v>44258</v>
      </c>
      <c r="B1295" s="97">
        <v>1963.84</v>
      </c>
    </row>
    <row r="1296" spans="1:2">
      <c r="A1296" s="98">
        <v>44259</v>
      </c>
      <c r="B1296" s="97">
        <v>1953.52</v>
      </c>
    </row>
    <row r="1297" spans="1:2">
      <c r="A1297" s="98">
        <v>44260</v>
      </c>
      <c r="B1297" s="97">
        <v>1962.01</v>
      </c>
    </row>
    <row r="1298" spans="1:2">
      <c r="A1298" s="98">
        <v>44263</v>
      </c>
      <c r="B1298" s="97">
        <v>1999.47</v>
      </c>
    </row>
    <row r="1299" spans="1:2">
      <c r="A1299" s="98">
        <v>44264</v>
      </c>
      <c r="B1299" s="97">
        <v>2010.41</v>
      </c>
    </row>
    <row r="1300" spans="1:2">
      <c r="A1300" s="98">
        <v>44265</v>
      </c>
      <c r="B1300" s="97">
        <v>2029.29</v>
      </c>
    </row>
    <row r="1301" spans="1:2">
      <c r="A1301" s="98">
        <v>44266</v>
      </c>
      <c r="B1301" s="97">
        <v>2035.83</v>
      </c>
    </row>
    <row r="1302" spans="1:2">
      <c r="A1302" s="98">
        <v>44267</v>
      </c>
      <c r="B1302" s="97">
        <v>2043.65</v>
      </c>
    </row>
    <row r="1303" spans="1:2">
      <c r="A1303" s="98">
        <v>44270</v>
      </c>
      <c r="B1303" s="97">
        <v>2043.45</v>
      </c>
    </row>
    <row r="1304" spans="1:2">
      <c r="A1304" s="98">
        <v>44271</v>
      </c>
      <c r="B1304" s="97">
        <v>2049.7600000000002</v>
      </c>
    </row>
    <row r="1305" spans="1:2">
      <c r="A1305" s="98">
        <v>44272</v>
      </c>
      <c r="B1305" s="97">
        <v>2046.66</v>
      </c>
    </row>
    <row r="1306" spans="1:2">
      <c r="A1306" s="98">
        <v>44273</v>
      </c>
      <c r="B1306" s="97">
        <v>2054.9499999999998</v>
      </c>
    </row>
    <row r="1307" spans="1:2">
      <c r="A1307" s="98">
        <v>44274</v>
      </c>
      <c r="B1307" s="97">
        <v>2033.27</v>
      </c>
    </row>
    <row r="1308" spans="1:2">
      <c r="A1308" s="98">
        <v>44277</v>
      </c>
      <c r="B1308" s="97">
        <v>2027.52</v>
      </c>
    </row>
    <row r="1309" spans="1:2">
      <c r="A1309" s="98">
        <v>44278</v>
      </c>
      <c r="B1309" s="97">
        <v>2027.4</v>
      </c>
    </row>
    <row r="1310" spans="1:2">
      <c r="A1310" s="98">
        <v>44279</v>
      </c>
      <c r="B1310" s="97">
        <v>2029.71</v>
      </c>
    </row>
    <row r="1311" spans="1:2">
      <c r="A1311" s="98">
        <v>44280</v>
      </c>
      <c r="B1311" s="97">
        <v>2034.79</v>
      </c>
    </row>
    <row r="1312" spans="1:2">
      <c r="A1312" s="98">
        <v>44281</v>
      </c>
      <c r="B1312" s="97">
        <v>2059.06</v>
      </c>
    </row>
    <row r="1313" spans="1:2">
      <c r="A1313" s="98">
        <v>44284</v>
      </c>
      <c r="B1313" s="97">
        <v>2063.63</v>
      </c>
    </row>
    <row r="1314" spans="1:2">
      <c r="A1314" s="98">
        <v>44285</v>
      </c>
      <c r="B1314" s="97">
        <v>2083.4299999999998</v>
      </c>
    </row>
    <row r="1315" spans="1:2">
      <c r="A1315" s="98">
        <v>44286</v>
      </c>
      <c r="B1315" s="97">
        <v>2077.77</v>
      </c>
    </row>
    <row r="1316" spans="1:2">
      <c r="A1316" s="98">
        <v>44287</v>
      </c>
      <c r="B1316" s="97">
        <v>2095.7800000000002</v>
      </c>
    </row>
    <row r="1317" spans="1:2">
      <c r="A1317" s="98">
        <v>44291</v>
      </c>
      <c r="B1317" s="97">
        <v>2099.35</v>
      </c>
    </row>
    <row r="1318" spans="1:2">
      <c r="A1318" s="98">
        <v>44292</v>
      </c>
      <c r="B1318" s="97">
        <v>2099.35</v>
      </c>
    </row>
    <row r="1319" spans="1:2">
      <c r="A1319" s="98">
        <v>44293</v>
      </c>
      <c r="B1319" s="97">
        <v>2095.7800000000002</v>
      </c>
    </row>
    <row r="1320" spans="1:2">
      <c r="A1320" s="98">
        <v>44294</v>
      </c>
      <c r="B1320" s="97">
        <v>2102.4499999999998</v>
      </c>
    </row>
    <row r="1321" spans="1:2">
      <c r="A1321" s="98">
        <v>44295</v>
      </c>
      <c r="B1321" s="97">
        <v>2107.36</v>
      </c>
    </row>
    <row r="1322" spans="1:2">
      <c r="A1322" s="98">
        <v>44298</v>
      </c>
      <c r="B1322" s="97">
        <v>2108.3000000000002</v>
      </c>
    </row>
    <row r="1323" spans="1:2">
      <c r="A1323" s="98">
        <v>44299</v>
      </c>
      <c r="B1323" s="97">
        <v>2108.31</v>
      </c>
    </row>
    <row r="1324" spans="1:2">
      <c r="A1324" s="98">
        <v>44300</v>
      </c>
      <c r="B1324" s="97">
        <v>2103.19</v>
      </c>
    </row>
    <row r="1325" spans="1:2">
      <c r="A1325" s="98">
        <v>44301</v>
      </c>
      <c r="B1325" s="97">
        <v>2112.46</v>
      </c>
    </row>
    <row r="1326" spans="1:2">
      <c r="A1326" s="98">
        <v>44302</v>
      </c>
      <c r="B1326" s="97">
        <v>2125.54</v>
      </c>
    </row>
    <row r="1327" spans="1:2">
      <c r="A1327" s="98">
        <v>44305</v>
      </c>
      <c r="B1327" s="97">
        <v>2124.4699999999998</v>
      </c>
    </row>
    <row r="1328" spans="1:2">
      <c r="A1328" s="98">
        <v>44306</v>
      </c>
      <c r="B1328" s="97">
        <v>2089.12</v>
      </c>
    </row>
    <row r="1329" spans="1:2">
      <c r="A1329" s="98">
        <v>44307</v>
      </c>
      <c r="B1329" s="97">
        <v>2109.87</v>
      </c>
    </row>
    <row r="1330" spans="1:2">
      <c r="A1330" s="98">
        <v>44308</v>
      </c>
      <c r="B1330" s="97">
        <v>2114.41</v>
      </c>
    </row>
    <row r="1331" spans="1:2">
      <c r="A1331" s="98">
        <v>44309</v>
      </c>
      <c r="B1331" s="97">
        <v>2119.14</v>
      </c>
    </row>
    <row r="1332" spans="1:2">
      <c r="A1332" s="98">
        <v>44312</v>
      </c>
      <c r="B1332" s="97">
        <v>2121.42</v>
      </c>
    </row>
    <row r="1333" spans="1:2">
      <c r="A1333" s="98">
        <v>44313</v>
      </c>
      <c r="B1333" s="97">
        <v>2122.59</v>
      </c>
    </row>
    <row r="1334" spans="1:2">
      <c r="A1334" s="98">
        <v>44314</v>
      </c>
      <c r="B1334" s="97">
        <v>2124.5500000000002</v>
      </c>
    </row>
    <row r="1335" spans="1:2">
      <c r="A1335" s="98">
        <v>44315</v>
      </c>
      <c r="B1335" s="97">
        <v>2122.36</v>
      </c>
    </row>
    <row r="1336" spans="1:2">
      <c r="A1336" s="98">
        <v>44316</v>
      </c>
      <c r="B1336" s="97">
        <v>2117.54</v>
      </c>
    </row>
    <row r="1337" spans="1:2">
      <c r="A1337" s="98">
        <v>44319</v>
      </c>
      <c r="B1337" s="97">
        <v>2126.66</v>
      </c>
    </row>
    <row r="1338" spans="1:2">
      <c r="A1338" s="98">
        <v>44320</v>
      </c>
      <c r="B1338" s="97">
        <v>2105.85</v>
      </c>
    </row>
    <row r="1339" spans="1:2">
      <c r="A1339" s="98">
        <v>44321</v>
      </c>
      <c r="B1339" s="97">
        <v>2135.25</v>
      </c>
    </row>
    <row r="1340" spans="1:2">
      <c r="A1340" s="98">
        <v>44322</v>
      </c>
      <c r="B1340" s="97">
        <v>2146.56</v>
      </c>
    </row>
    <row r="1341" spans="1:2">
      <c r="A1341" s="98">
        <v>44323</v>
      </c>
      <c r="B1341" s="97">
        <v>2157.4899999999998</v>
      </c>
    </row>
    <row r="1342" spans="1:2">
      <c r="A1342" s="98">
        <v>44326</v>
      </c>
      <c r="B1342" s="97">
        <v>2161.17</v>
      </c>
    </row>
    <row r="1343" spans="1:2">
      <c r="A1343" s="98">
        <v>44327</v>
      </c>
      <c r="B1343" s="97">
        <v>2131.8000000000002</v>
      </c>
    </row>
    <row r="1344" spans="1:2">
      <c r="A1344" s="98">
        <v>44328</v>
      </c>
      <c r="B1344" s="97">
        <v>2126.86</v>
      </c>
    </row>
    <row r="1345" spans="1:2">
      <c r="A1345" s="98">
        <v>44329</v>
      </c>
      <c r="B1345" s="97">
        <v>2133.06</v>
      </c>
    </row>
    <row r="1346" spans="1:2">
      <c r="A1346" s="98">
        <v>44330</v>
      </c>
      <c r="B1346" s="97">
        <v>2165.4499999999998</v>
      </c>
    </row>
    <row r="1347" spans="1:2">
      <c r="A1347" s="98">
        <v>44333</v>
      </c>
      <c r="B1347" s="97">
        <v>2164.94</v>
      </c>
    </row>
    <row r="1348" spans="1:2">
      <c r="A1348" s="98">
        <v>44334</v>
      </c>
      <c r="B1348" s="97">
        <v>2159.3000000000002</v>
      </c>
    </row>
    <row r="1349" spans="1:2">
      <c r="A1349" s="98">
        <v>44335</v>
      </c>
      <c r="B1349" s="97">
        <v>2131.11</v>
      </c>
    </row>
    <row r="1350" spans="1:2">
      <c r="A1350" s="98">
        <v>44336</v>
      </c>
      <c r="B1350" s="97">
        <v>2150.2399999999998</v>
      </c>
    </row>
    <row r="1351" spans="1:2">
      <c r="A1351" s="98">
        <v>44337</v>
      </c>
      <c r="B1351" s="97">
        <v>2166.0300000000002</v>
      </c>
    </row>
    <row r="1352" spans="1:2">
      <c r="A1352" s="98">
        <v>44340</v>
      </c>
      <c r="B1352" s="97">
        <v>2167.86</v>
      </c>
    </row>
    <row r="1353" spans="1:2">
      <c r="A1353" s="98">
        <v>44341</v>
      </c>
      <c r="B1353" s="97">
        <v>2163.3000000000002</v>
      </c>
    </row>
    <row r="1354" spans="1:2">
      <c r="A1354" s="98">
        <v>44342</v>
      </c>
      <c r="B1354" s="97">
        <v>2157.56</v>
      </c>
    </row>
    <row r="1355" spans="1:2">
      <c r="A1355" s="98">
        <v>44343</v>
      </c>
      <c r="B1355" s="97">
        <v>2162.7600000000002</v>
      </c>
    </row>
    <row r="1356" spans="1:2">
      <c r="A1356" s="98">
        <v>44344</v>
      </c>
      <c r="B1356" s="97">
        <v>2178.63</v>
      </c>
    </row>
    <row r="1357" spans="1:2">
      <c r="A1357" s="98">
        <v>44347</v>
      </c>
      <c r="B1357" s="97">
        <v>2168.12</v>
      </c>
    </row>
    <row r="1358" spans="1:2">
      <c r="A1358" s="98">
        <v>44348</v>
      </c>
      <c r="B1358" s="97">
        <v>2173.4899999999998</v>
      </c>
    </row>
    <row r="1359" spans="1:2">
      <c r="A1359" s="98">
        <v>44349</v>
      </c>
      <c r="B1359" s="97">
        <v>2183.1999999999998</v>
      </c>
    </row>
    <row r="1360" spans="1:2">
      <c r="A1360" s="98">
        <v>44350</v>
      </c>
      <c r="B1360" s="97">
        <v>2187.12</v>
      </c>
    </row>
    <row r="1361" spans="1:2">
      <c r="A1361" s="98">
        <v>44351</v>
      </c>
      <c r="B1361" s="97">
        <v>2191.31</v>
      </c>
    </row>
    <row r="1362" spans="1:2">
      <c r="A1362" s="98">
        <v>44354</v>
      </c>
      <c r="B1362" s="97">
        <v>2200.46</v>
      </c>
    </row>
    <row r="1363" spans="1:2">
      <c r="A1363" s="98">
        <v>44355</v>
      </c>
      <c r="B1363" s="97">
        <v>2194.44</v>
      </c>
    </row>
    <row r="1364" spans="1:2">
      <c r="A1364" s="98">
        <v>44356</v>
      </c>
      <c r="B1364" s="97">
        <v>2188.5500000000002</v>
      </c>
    </row>
    <row r="1365" spans="1:2">
      <c r="A1365" s="98">
        <v>44357</v>
      </c>
      <c r="B1365" s="97">
        <v>2195.4699999999998</v>
      </c>
    </row>
    <row r="1366" spans="1:2">
      <c r="A1366" s="98">
        <v>44358</v>
      </c>
      <c r="B1366" s="97">
        <v>2207.5100000000002</v>
      </c>
    </row>
    <row r="1367" spans="1:2">
      <c r="A1367" s="98">
        <v>44361</v>
      </c>
      <c r="B1367" s="97">
        <v>2211.63</v>
      </c>
    </row>
    <row r="1368" spans="1:2">
      <c r="A1368" s="98">
        <v>44362</v>
      </c>
      <c r="B1368" s="97">
        <v>2209.5700000000002</v>
      </c>
    </row>
    <row r="1369" spans="1:2">
      <c r="A1369" s="98">
        <v>44363</v>
      </c>
      <c r="B1369" s="97">
        <v>2198.4299999999998</v>
      </c>
    </row>
    <row r="1370" spans="1:2">
      <c r="A1370" s="98">
        <v>44364</v>
      </c>
      <c r="B1370" s="97">
        <v>2212.4</v>
      </c>
    </row>
    <row r="1371" spans="1:2">
      <c r="A1371" s="98">
        <v>44365</v>
      </c>
      <c r="B1371" s="97">
        <v>2176.6</v>
      </c>
    </row>
    <row r="1372" spans="1:2">
      <c r="A1372" s="98">
        <v>44368</v>
      </c>
      <c r="B1372" s="97">
        <v>2191.4899999999998</v>
      </c>
    </row>
    <row r="1373" spans="1:2">
      <c r="A1373" s="98">
        <v>44369</v>
      </c>
      <c r="B1373" s="97">
        <v>2197.23</v>
      </c>
    </row>
    <row r="1374" spans="1:2">
      <c r="A1374" s="98">
        <v>44370</v>
      </c>
      <c r="B1374" s="97">
        <v>2178.34</v>
      </c>
    </row>
    <row r="1375" spans="1:2">
      <c r="A1375" s="98">
        <v>44371</v>
      </c>
      <c r="B1375" s="97">
        <v>2203.75</v>
      </c>
    </row>
    <row r="1376" spans="1:2">
      <c r="A1376" s="98">
        <v>44372</v>
      </c>
      <c r="B1376" s="97">
        <v>2213.42</v>
      </c>
    </row>
    <row r="1377" spans="1:2">
      <c r="A1377" s="98">
        <v>44375</v>
      </c>
      <c r="B1377" s="97">
        <v>2196.46</v>
      </c>
    </row>
    <row r="1378" spans="1:2">
      <c r="A1378" s="98">
        <v>44376</v>
      </c>
      <c r="B1378" s="97">
        <v>2203.42</v>
      </c>
    </row>
    <row r="1379" spans="1:2">
      <c r="A1379" s="98">
        <v>44377</v>
      </c>
      <c r="B1379" s="97">
        <v>2194.7199999999998</v>
      </c>
    </row>
    <row r="1380" spans="1:2">
      <c r="A1380" s="98">
        <v>44378</v>
      </c>
      <c r="B1380" s="97">
        <v>2214.13</v>
      </c>
    </row>
    <row r="1381" spans="1:2">
      <c r="A1381" s="98">
        <v>44379</v>
      </c>
      <c r="B1381" s="97">
        <v>2217.11</v>
      </c>
    </row>
    <row r="1382" spans="1:2">
      <c r="A1382" s="98">
        <v>44382</v>
      </c>
      <c r="B1382" s="97">
        <v>2224.9</v>
      </c>
    </row>
    <row r="1383" spans="1:2">
      <c r="A1383" s="98">
        <v>44383</v>
      </c>
      <c r="B1383" s="97">
        <v>2201.0300000000002</v>
      </c>
    </row>
    <row r="1384" spans="1:2">
      <c r="A1384" s="98">
        <v>44384</v>
      </c>
      <c r="B1384" s="97">
        <v>2206.4699999999998</v>
      </c>
    </row>
    <row r="1385" spans="1:2">
      <c r="A1385" s="98">
        <v>44385</v>
      </c>
      <c r="B1385" s="97">
        <v>2164.42</v>
      </c>
    </row>
    <row r="1386" spans="1:2">
      <c r="A1386" s="98">
        <v>44386</v>
      </c>
      <c r="B1386" s="97">
        <v>2198.04</v>
      </c>
    </row>
    <row r="1387" spans="1:2">
      <c r="A1387" s="98">
        <v>44389</v>
      </c>
      <c r="B1387" s="97">
        <v>2209.1799999999998</v>
      </c>
    </row>
    <row r="1388" spans="1:2">
      <c r="A1388" s="98">
        <v>44390</v>
      </c>
      <c r="B1388" s="97">
        <v>2206.59</v>
      </c>
    </row>
    <row r="1389" spans="1:2">
      <c r="A1389" s="98">
        <v>44391</v>
      </c>
      <c r="B1389" s="97">
        <v>2207.2600000000002</v>
      </c>
    </row>
    <row r="1390" spans="1:2">
      <c r="A1390" s="98">
        <v>44392</v>
      </c>
      <c r="B1390" s="97">
        <v>2190.14</v>
      </c>
    </row>
    <row r="1391" spans="1:2">
      <c r="A1391" s="98">
        <v>44393</v>
      </c>
      <c r="B1391" s="97">
        <v>2174.52</v>
      </c>
    </row>
    <row r="1392" spans="1:2">
      <c r="A1392" s="98">
        <v>44396</v>
      </c>
      <c r="B1392" s="97">
        <v>2123.11</v>
      </c>
    </row>
    <row r="1393" spans="1:2">
      <c r="A1393" s="98">
        <v>44397</v>
      </c>
      <c r="B1393" s="97">
        <v>2146.4499999999998</v>
      </c>
    </row>
    <row r="1394" spans="1:2">
      <c r="A1394" s="98">
        <v>44398</v>
      </c>
      <c r="B1394" s="97">
        <v>2183.37</v>
      </c>
    </row>
    <row r="1395" spans="1:2">
      <c r="A1395" s="98">
        <v>44399</v>
      </c>
      <c r="B1395" s="97">
        <v>2195.37</v>
      </c>
    </row>
    <row r="1396" spans="1:2">
      <c r="A1396" s="98">
        <v>44400</v>
      </c>
      <c r="B1396" s="97">
        <v>2220.56</v>
      </c>
    </row>
    <row r="1397" spans="1:2">
      <c r="A1397" s="98">
        <v>44403</v>
      </c>
      <c r="B1397" s="97">
        <v>2222.9299999999998</v>
      </c>
    </row>
    <row r="1398" spans="1:2">
      <c r="A1398" s="98">
        <v>44404</v>
      </c>
      <c r="B1398" s="97">
        <v>2203.39</v>
      </c>
    </row>
    <row r="1399" spans="1:2">
      <c r="A1399" s="98">
        <v>44405</v>
      </c>
      <c r="B1399" s="97">
        <v>2208.2800000000002</v>
      </c>
    </row>
    <row r="1400" spans="1:2">
      <c r="A1400" s="98">
        <v>44406</v>
      </c>
      <c r="B1400" s="97">
        <v>2217.48</v>
      </c>
    </row>
    <row r="1401" spans="1:2">
      <c r="A1401" s="98">
        <v>44407</v>
      </c>
      <c r="B1401" s="97">
        <v>2207.7199999999998</v>
      </c>
    </row>
    <row r="1402" spans="1:2">
      <c r="A1402" s="98">
        <v>44410</v>
      </c>
      <c r="B1402" s="97">
        <v>2212.77</v>
      </c>
    </row>
    <row r="1403" spans="1:2">
      <c r="A1403" s="98">
        <v>44411</v>
      </c>
      <c r="B1403" s="97">
        <v>2222.2399999999998</v>
      </c>
    </row>
    <row r="1404" spans="1:2">
      <c r="A1404" s="98">
        <v>44412</v>
      </c>
      <c r="B1404" s="97">
        <v>2230.75</v>
      </c>
    </row>
    <row r="1405" spans="1:2">
      <c r="A1405" s="98">
        <v>44413</v>
      </c>
      <c r="B1405" s="97">
        <v>2242.2600000000002</v>
      </c>
    </row>
    <row r="1406" spans="1:2">
      <c r="A1406" s="98">
        <v>44414</v>
      </c>
      <c r="B1406" s="97">
        <v>2261.79</v>
      </c>
    </row>
    <row r="1407" spans="1:2">
      <c r="A1407" s="98">
        <v>44417</v>
      </c>
      <c r="B1407" s="97">
        <v>2264.21</v>
      </c>
    </row>
    <row r="1408" spans="1:2">
      <c r="A1408" s="98">
        <v>44418</v>
      </c>
      <c r="B1408" s="97">
        <v>2268.62</v>
      </c>
    </row>
    <row r="1409" spans="1:2">
      <c r="A1409" s="98">
        <v>44419</v>
      </c>
      <c r="B1409" s="97">
        <v>2277.96</v>
      </c>
    </row>
    <row r="1410" spans="1:2">
      <c r="A1410" s="98">
        <v>44420</v>
      </c>
      <c r="B1410" s="97">
        <v>2290.16</v>
      </c>
    </row>
    <row r="1411" spans="1:2">
      <c r="A1411" s="98">
        <v>44421</v>
      </c>
      <c r="B1411" s="97">
        <v>2291.94</v>
      </c>
    </row>
    <row r="1412" spans="1:2">
      <c r="A1412" s="98">
        <v>44424</v>
      </c>
      <c r="B1412" s="97">
        <v>2281.11</v>
      </c>
    </row>
    <row r="1413" spans="1:2">
      <c r="A1413" s="98">
        <v>44425</v>
      </c>
      <c r="B1413" s="97">
        <v>2274.7800000000002</v>
      </c>
    </row>
    <row r="1414" spans="1:2">
      <c r="A1414" s="98">
        <v>44426</v>
      </c>
      <c r="B1414" s="97">
        <v>2273.33</v>
      </c>
    </row>
    <row r="1415" spans="1:2">
      <c r="A1415" s="98">
        <v>44427</v>
      </c>
      <c r="B1415" s="97">
        <v>2254.04</v>
      </c>
    </row>
    <row r="1416" spans="1:2">
      <c r="A1416" s="98">
        <v>44428</v>
      </c>
      <c r="B1416" s="97">
        <v>2264.11</v>
      </c>
    </row>
    <row r="1417" spans="1:2">
      <c r="A1417" s="98">
        <v>44431</v>
      </c>
      <c r="B1417" s="97">
        <v>2278.35</v>
      </c>
    </row>
    <row r="1418" spans="1:2">
      <c r="A1418" s="98">
        <v>44432</v>
      </c>
      <c r="B1418" s="97">
        <v>2278.9</v>
      </c>
    </row>
    <row r="1419" spans="1:2">
      <c r="A1419" s="98">
        <v>44433</v>
      </c>
      <c r="B1419" s="97">
        <v>2285.89</v>
      </c>
    </row>
    <row r="1420" spans="1:2">
      <c r="A1420" s="98">
        <v>44434</v>
      </c>
      <c r="B1420" s="97">
        <v>2274.9</v>
      </c>
    </row>
    <row r="1421" spans="1:2">
      <c r="A1421" s="98">
        <v>44435</v>
      </c>
      <c r="B1421" s="97">
        <v>2281.6</v>
      </c>
    </row>
    <row r="1422" spans="1:2">
      <c r="A1422" s="98">
        <v>44438</v>
      </c>
      <c r="B1422" s="97">
        <v>2277</v>
      </c>
    </row>
    <row r="1423" spans="1:2">
      <c r="A1423" s="98">
        <v>44439</v>
      </c>
      <c r="B1423" s="97">
        <v>2273.9499999999998</v>
      </c>
    </row>
    <row r="1424" spans="1:2">
      <c r="A1424" s="98">
        <v>44440</v>
      </c>
      <c r="B1424" s="97">
        <v>2279.11</v>
      </c>
    </row>
    <row r="1425" spans="1:2">
      <c r="A1425" s="98">
        <v>44441</v>
      </c>
      <c r="B1425" s="97">
        <v>2277.8200000000002</v>
      </c>
    </row>
    <row r="1426" spans="1:2">
      <c r="A1426" s="98">
        <v>44442</v>
      </c>
      <c r="B1426" s="97">
        <v>2265.9499999999998</v>
      </c>
    </row>
    <row r="1427" spans="1:2">
      <c r="A1427" s="98">
        <v>44445</v>
      </c>
      <c r="B1427" s="97">
        <v>2277.35</v>
      </c>
    </row>
    <row r="1428" spans="1:2">
      <c r="A1428" s="98">
        <v>44446</v>
      </c>
      <c r="B1428" s="97">
        <v>2275.12</v>
      </c>
    </row>
    <row r="1429" spans="1:2">
      <c r="A1429" s="98">
        <v>44447</v>
      </c>
      <c r="B1429" s="97">
        <v>2257.9899999999998</v>
      </c>
    </row>
    <row r="1430" spans="1:2">
      <c r="A1430" s="98">
        <v>44448</v>
      </c>
      <c r="B1430" s="97">
        <v>2252.44</v>
      </c>
    </row>
    <row r="1431" spans="1:2">
      <c r="A1431" s="98">
        <v>44449</v>
      </c>
      <c r="B1431" s="97">
        <v>2237.7800000000002</v>
      </c>
    </row>
    <row r="1432" spans="1:2">
      <c r="A1432" s="98">
        <v>44452</v>
      </c>
      <c r="B1432" s="97">
        <v>2252.19</v>
      </c>
    </row>
    <row r="1433" spans="1:2">
      <c r="A1433" s="98">
        <v>44453</v>
      </c>
      <c r="B1433" s="97">
        <v>2243.33</v>
      </c>
    </row>
    <row r="1434" spans="1:2">
      <c r="A1434" s="98">
        <v>44454</v>
      </c>
      <c r="B1434" s="97">
        <v>2241.39</v>
      </c>
    </row>
    <row r="1435" spans="1:2">
      <c r="A1435" s="98">
        <v>44455</v>
      </c>
      <c r="B1435" s="97">
        <v>2262.09</v>
      </c>
    </row>
    <row r="1436" spans="1:2">
      <c r="A1436" s="98">
        <v>44456</v>
      </c>
      <c r="B1436" s="97">
        <v>2248.31</v>
      </c>
    </row>
    <row r="1437" spans="1:2">
      <c r="A1437" s="98">
        <v>44459</v>
      </c>
      <c r="B1437" s="97">
        <v>2197.16</v>
      </c>
    </row>
    <row r="1438" spans="1:2">
      <c r="A1438" s="98">
        <v>44460</v>
      </c>
      <c r="B1438" s="97">
        <v>2211.81</v>
      </c>
    </row>
    <row r="1439" spans="1:2">
      <c r="A1439" s="98">
        <v>44461</v>
      </c>
      <c r="B1439" s="97">
        <v>2240.31</v>
      </c>
    </row>
    <row r="1440" spans="1:2">
      <c r="A1440" s="98">
        <v>44462</v>
      </c>
      <c r="B1440" s="97">
        <v>2269.2800000000002</v>
      </c>
    </row>
    <row r="1441" spans="1:2">
      <c r="A1441" s="98">
        <v>44463</v>
      </c>
      <c r="B1441" s="97">
        <v>2266.09</v>
      </c>
    </row>
    <row r="1442" spans="1:2">
      <c r="A1442" s="98">
        <v>44466</v>
      </c>
      <c r="B1442" s="97">
        <v>2277.79</v>
      </c>
    </row>
    <row r="1443" spans="1:2">
      <c r="A1443" s="98">
        <v>44467</v>
      </c>
      <c r="B1443" s="97">
        <v>2233.08</v>
      </c>
    </row>
    <row r="1444" spans="1:2">
      <c r="A1444" s="98">
        <v>44468</v>
      </c>
      <c r="B1444" s="97">
        <v>2251.9499999999998</v>
      </c>
    </row>
    <row r="1445" spans="1:2">
      <c r="A1445" s="98">
        <v>44469</v>
      </c>
      <c r="B1445" s="97">
        <v>2240.0700000000002</v>
      </c>
    </row>
    <row r="1446" spans="1:2">
      <c r="A1446" s="98">
        <v>44470</v>
      </c>
      <c r="B1446" s="97">
        <v>2238.48</v>
      </c>
    </row>
    <row r="1447" spans="1:2">
      <c r="A1447" s="98">
        <v>44473</v>
      </c>
      <c r="B1447" s="97">
        <v>2217.39</v>
      </c>
    </row>
    <row r="1448" spans="1:2">
      <c r="A1448" s="98">
        <v>44474</v>
      </c>
      <c r="B1448" s="97">
        <v>2254.69</v>
      </c>
    </row>
    <row r="1449" spans="1:2">
      <c r="A1449" s="98">
        <v>44475</v>
      </c>
      <c r="B1449" s="97">
        <v>2235.89</v>
      </c>
    </row>
    <row r="1450" spans="1:2">
      <c r="A1450" s="98">
        <v>44476</v>
      </c>
      <c r="B1450" s="97">
        <v>2267.39</v>
      </c>
    </row>
    <row r="1451" spans="1:2">
      <c r="A1451" s="98">
        <v>44477</v>
      </c>
      <c r="B1451" s="97">
        <v>2260.1799999999998</v>
      </c>
    </row>
    <row r="1452" spans="1:2">
      <c r="A1452" s="98">
        <v>44480</v>
      </c>
      <c r="B1452" s="97">
        <v>2251.91</v>
      </c>
    </row>
    <row r="1453" spans="1:2">
      <c r="A1453" s="98">
        <v>44481</v>
      </c>
      <c r="B1453" s="97">
        <v>2248.1799999999998</v>
      </c>
    </row>
    <row r="1454" spans="1:2">
      <c r="A1454" s="98">
        <v>44482</v>
      </c>
      <c r="B1454" s="97">
        <v>2244.2199999999998</v>
      </c>
    </row>
    <row r="1455" spans="1:2">
      <c r="A1455" s="98">
        <v>44483</v>
      </c>
      <c r="B1455" s="97">
        <v>2275.08</v>
      </c>
    </row>
    <row r="1456" spans="1:2">
      <c r="A1456" s="98">
        <v>44484</v>
      </c>
      <c r="B1456" s="97">
        <v>2297.8000000000002</v>
      </c>
    </row>
    <row r="1457" spans="1:2">
      <c r="A1457" s="98">
        <v>44487</v>
      </c>
      <c r="B1457" s="97">
        <v>2285.6</v>
      </c>
    </row>
    <row r="1458" spans="1:2">
      <c r="A1458" s="98">
        <v>44488</v>
      </c>
      <c r="B1458" s="97">
        <v>2293.06</v>
      </c>
    </row>
    <row r="1459" spans="1:2">
      <c r="A1459" s="98">
        <v>44489</v>
      </c>
      <c r="B1459" s="97">
        <v>2292.62</v>
      </c>
    </row>
    <row r="1460" spans="1:2">
      <c r="A1460" s="98">
        <v>44490</v>
      </c>
      <c r="B1460" s="97">
        <v>2284.23</v>
      </c>
    </row>
    <row r="1461" spans="1:2">
      <c r="A1461" s="98">
        <v>44491</v>
      </c>
      <c r="B1461" s="97">
        <v>2294.42</v>
      </c>
    </row>
    <row r="1462" spans="1:2">
      <c r="A1462" s="98">
        <v>44494</v>
      </c>
      <c r="B1462" s="97">
        <v>2303.13</v>
      </c>
    </row>
    <row r="1463" spans="1:2">
      <c r="A1463" s="98">
        <v>44495</v>
      </c>
      <c r="B1463" s="97">
        <v>2318.36</v>
      </c>
    </row>
    <row r="1464" spans="1:2">
      <c r="A1464" s="98">
        <v>44496</v>
      </c>
      <c r="B1464" s="97">
        <v>2300.61</v>
      </c>
    </row>
    <row r="1465" spans="1:2">
      <c r="A1465" s="98">
        <v>44497</v>
      </c>
      <c r="B1465" s="97">
        <v>2299.44</v>
      </c>
    </row>
    <row r="1466" spans="1:2">
      <c r="A1466" s="98">
        <v>44498</v>
      </c>
      <c r="B1466" s="97">
        <v>2316.2800000000002</v>
      </c>
    </row>
    <row r="1467" spans="1:2">
      <c r="A1467" s="98">
        <v>44501</v>
      </c>
      <c r="B1467" s="97">
        <v>2331.44</v>
      </c>
    </row>
    <row r="1468" spans="1:2">
      <c r="A1468" s="98">
        <v>44502</v>
      </c>
      <c r="B1468" s="97">
        <v>2342.62</v>
      </c>
    </row>
    <row r="1469" spans="1:2">
      <c r="A1469" s="98">
        <v>44503</v>
      </c>
      <c r="B1469" s="97">
        <v>2356.21</v>
      </c>
    </row>
    <row r="1470" spans="1:2">
      <c r="A1470" s="98">
        <v>44504</v>
      </c>
      <c r="B1470" s="97">
        <v>2364.29</v>
      </c>
    </row>
    <row r="1471" spans="1:2">
      <c r="A1471" s="98">
        <v>44505</v>
      </c>
      <c r="B1471" s="97">
        <v>2377.25</v>
      </c>
    </row>
    <row r="1472" spans="1:2">
      <c r="A1472" s="98">
        <v>44508</v>
      </c>
      <c r="B1472" s="97">
        <v>2373.7399999999998</v>
      </c>
    </row>
    <row r="1473" spans="1:2">
      <c r="A1473" s="98">
        <v>44509</v>
      </c>
      <c r="B1473" s="97">
        <v>2370.4499999999998</v>
      </c>
    </row>
    <row r="1474" spans="1:2">
      <c r="A1474" s="98">
        <v>44510</v>
      </c>
      <c r="B1474" s="97">
        <v>2383.64</v>
      </c>
    </row>
    <row r="1475" spans="1:2">
      <c r="A1475" s="98">
        <v>44511</v>
      </c>
      <c r="B1475" s="97">
        <v>2385.31</v>
      </c>
    </row>
    <row r="1476" spans="1:2">
      <c r="A1476" s="98">
        <v>44512</v>
      </c>
      <c r="B1476" s="97">
        <v>2392.62</v>
      </c>
    </row>
    <row r="1477" spans="1:2">
      <c r="A1477" s="98">
        <v>44515</v>
      </c>
      <c r="B1477" s="97">
        <v>2393.52</v>
      </c>
    </row>
    <row r="1478" spans="1:2">
      <c r="A1478" s="98">
        <v>44516</v>
      </c>
      <c r="B1478" s="97">
        <v>2401.4899999999998</v>
      </c>
    </row>
    <row r="1479" spans="1:2">
      <c r="A1479" s="98">
        <v>44517</v>
      </c>
      <c r="B1479" s="97">
        <v>2399.35</v>
      </c>
    </row>
    <row r="1480" spans="1:2">
      <c r="A1480" s="98">
        <v>44518</v>
      </c>
      <c r="B1480" s="97">
        <v>2392.37</v>
      </c>
    </row>
    <row r="1481" spans="1:2">
      <c r="A1481" s="98">
        <v>44519</v>
      </c>
      <c r="B1481" s="97">
        <v>2374.25</v>
      </c>
    </row>
    <row r="1482" spans="1:2">
      <c r="A1482" s="98">
        <v>44522</v>
      </c>
      <c r="B1482" s="97">
        <v>2375.52</v>
      </c>
    </row>
    <row r="1483" spans="1:2">
      <c r="A1483" s="98">
        <v>44523</v>
      </c>
      <c r="B1483" s="97">
        <v>2363.46</v>
      </c>
    </row>
    <row r="1484" spans="1:2">
      <c r="A1484" s="98">
        <v>44524</v>
      </c>
      <c r="B1484" s="97">
        <v>2367.86</v>
      </c>
    </row>
    <row r="1485" spans="1:2">
      <c r="A1485" s="98">
        <v>44525</v>
      </c>
      <c r="B1485" s="97">
        <v>2368.61</v>
      </c>
    </row>
    <row r="1486" spans="1:2">
      <c r="A1486" s="98">
        <v>44526</v>
      </c>
      <c r="B1486" s="97">
        <v>2265.94</v>
      </c>
    </row>
    <row r="1487" spans="1:2">
      <c r="A1487" s="98">
        <v>44529</v>
      </c>
      <c r="B1487" s="97">
        <v>2289.3000000000002</v>
      </c>
    </row>
    <row r="1488" spans="1:2">
      <c r="A1488" s="98">
        <v>44530</v>
      </c>
      <c r="B1488" s="97">
        <v>2258.7600000000002</v>
      </c>
    </row>
    <row r="1489" spans="1:2">
      <c r="A1489" s="98">
        <v>44531</v>
      </c>
      <c r="B1489" s="97">
        <v>2279.71</v>
      </c>
    </row>
    <row r="1490" spans="1:2">
      <c r="A1490" s="98">
        <v>44532</v>
      </c>
      <c r="B1490" s="97">
        <v>2276.37</v>
      </c>
    </row>
    <row r="1491" spans="1:2">
      <c r="A1491" s="98">
        <v>44533</v>
      </c>
      <c r="B1491" s="97">
        <v>2258.3200000000002</v>
      </c>
    </row>
    <row r="1492" spans="1:2">
      <c r="A1492" s="98">
        <v>44536</v>
      </c>
      <c r="B1492" s="97">
        <v>2294.4899999999998</v>
      </c>
    </row>
    <row r="1493" spans="1:2">
      <c r="A1493" s="98">
        <v>44537</v>
      </c>
      <c r="B1493" s="97">
        <v>2342.4</v>
      </c>
    </row>
    <row r="1494" spans="1:2">
      <c r="A1494" s="98">
        <v>44538</v>
      </c>
      <c r="B1494" s="97">
        <v>2322.8000000000002</v>
      </c>
    </row>
    <row r="1495" spans="1:2">
      <c r="A1495" s="98">
        <v>44539</v>
      </c>
      <c r="B1495" s="97">
        <v>2313.75</v>
      </c>
    </row>
    <row r="1496" spans="1:2">
      <c r="A1496" s="98">
        <v>44540</v>
      </c>
      <c r="B1496" s="97">
        <v>2314.27</v>
      </c>
    </row>
    <row r="1497" spans="1:2">
      <c r="A1497" s="98">
        <v>44543</v>
      </c>
      <c r="B1497" s="97">
        <v>2299.66</v>
      </c>
    </row>
    <row r="1498" spans="1:2">
      <c r="A1498" s="98">
        <v>44544</v>
      </c>
      <c r="B1498" s="97">
        <v>2289.08</v>
      </c>
    </row>
    <row r="1499" spans="1:2">
      <c r="A1499" s="98">
        <v>44545</v>
      </c>
      <c r="B1499" s="97">
        <v>2302.63</v>
      </c>
    </row>
    <row r="1500" spans="1:2">
      <c r="A1500" s="98">
        <v>44546</v>
      </c>
      <c r="B1500" s="97">
        <v>2314.65</v>
      </c>
    </row>
    <row r="1501" spans="1:2">
      <c r="A1501" s="98">
        <v>44547</v>
      </c>
      <c r="B1501" s="97">
        <v>2298.92</v>
      </c>
    </row>
    <row r="1502" spans="1:2">
      <c r="A1502" s="98">
        <v>44550</v>
      </c>
      <c r="B1502" s="97">
        <v>2265.64</v>
      </c>
    </row>
    <row r="1503" spans="1:2">
      <c r="A1503" s="98">
        <v>44551</v>
      </c>
      <c r="B1503" s="97">
        <v>2307.23</v>
      </c>
    </row>
    <row r="1504" spans="1:2">
      <c r="A1504" s="98">
        <v>44552</v>
      </c>
      <c r="B1504" s="97">
        <v>2325.15</v>
      </c>
    </row>
    <row r="1505" spans="1:2">
      <c r="A1505" s="98">
        <v>44553</v>
      </c>
      <c r="B1505" s="97">
        <v>2350.5700000000002</v>
      </c>
    </row>
    <row r="1506" spans="1:2">
      <c r="A1506" s="98">
        <v>44554</v>
      </c>
      <c r="B1506" s="97">
        <v>2349.0300000000002</v>
      </c>
    </row>
    <row r="1507" spans="1:2">
      <c r="A1507" s="98">
        <v>44557</v>
      </c>
      <c r="B1507" s="97">
        <v>2373</v>
      </c>
    </row>
    <row r="1508" spans="1:2">
      <c r="A1508" s="98">
        <v>44558</v>
      </c>
      <c r="B1508" s="97">
        <v>2383.5100000000002</v>
      </c>
    </row>
    <row r="1509" spans="1:2">
      <c r="A1509" s="98">
        <v>44559</v>
      </c>
      <c r="B1509" s="97">
        <v>2375.16</v>
      </c>
    </row>
    <row r="1510" spans="1:2">
      <c r="A1510" s="98">
        <v>44560</v>
      </c>
      <c r="B1510" s="97">
        <v>2377.4</v>
      </c>
    </row>
    <row r="1511" spans="1:2">
      <c r="A1511" s="98">
        <v>44561</v>
      </c>
      <c r="B1511" s="97">
        <v>2369.4</v>
      </c>
    </row>
    <row r="1512" spans="1:2">
      <c r="A1512" s="98">
        <v>44564</v>
      </c>
      <c r="B1512" s="97">
        <v>2395.4299999999998</v>
      </c>
    </row>
    <row r="1513" spans="1:2">
      <c r="A1513" s="98">
        <v>44565</v>
      </c>
      <c r="B1513" s="97">
        <v>2409.44</v>
      </c>
    </row>
    <row r="1514" spans="1:2">
      <c r="A1514" s="98">
        <v>44566</v>
      </c>
      <c r="B1514" s="97">
        <v>2400.2199999999998</v>
      </c>
    </row>
    <row r="1515" spans="1:2">
      <c r="A1515" s="98">
        <v>44567</v>
      </c>
      <c r="B1515" s="97">
        <v>2393.1</v>
      </c>
    </row>
    <row r="1516" spans="1:2">
      <c r="A1516" s="98">
        <v>44568</v>
      </c>
      <c r="B1516" s="97">
        <v>2383.9299999999998</v>
      </c>
    </row>
    <row r="1517" spans="1:2">
      <c r="A1517" s="98">
        <v>44571</v>
      </c>
      <c r="B1517" s="97">
        <v>2373.23</v>
      </c>
    </row>
    <row r="1518" spans="1:2">
      <c r="A1518" s="98">
        <v>44572</v>
      </c>
      <c r="B1518" s="97">
        <v>2397.9</v>
      </c>
    </row>
    <row r="1519" spans="1:2">
      <c r="A1519" s="98">
        <v>44573</v>
      </c>
      <c r="B1519" s="97">
        <v>2402.36</v>
      </c>
    </row>
    <row r="1520" spans="1:2">
      <c r="A1520" s="98">
        <v>44574</v>
      </c>
      <c r="B1520" s="97">
        <v>2399.75</v>
      </c>
    </row>
    <row r="1521" spans="1:2">
      <c r="A1521" s="98">
        <v>44575</v>
      </c>
      <c r="B1521" s="97">
        <v>2389.31</v>
      </c>
    </row>
    <row r="1522" spans="1:2">
      <c r="A1522" s="98">
        <v>44578</v>
      </c>
      <c r="B1522" s="97">
        <v>2402.16</v>
      </c>
    </row>
    <row r="1523" spans="1:2">
      <c r="A1523" s="98">
        <v>44579</v>
      </c>
      <c r="B1523" s="97">
        <v>2383.4</v>
      </c>
    </row>
    <row r="1524" spans="1:2">
      <c r="A1524" s="98">
        <v>44580</v>
      </c>
      <c r="B1524" s="97">
        <v>2369.81</v>
      </c>
    </row>
    <row r="1525" spans="1:2">
      <c r="A1525" s="98">
        <v>44581</v>
      </c>
      <c r="B1525" s="97">
        <v>2364.67</v>
      </c>
    </row>
    <row r="1526" spans="1:2">
      <c r="A1526" s="98">
        <v>44582</v>
      </c>
      <c r="B1526" s="97">
        <v>2323.9299999999998</v>
      </c>
    </row>
    <row r="1527" spans="1:2">
      <c r="A1527" s="98">
        <v>44585</v>
      </c>
      <c r="B1527" s="97">
        <v>2267.84</v>
      </c>
    </row>
    <row r="1528" spans="1:2">
      <c r="A1528" s="98">
        <v>44586</v>
      </c>
      <c r="B1528" s="97">
        <v>2273.9899999999998</v>
      </c>
    </row>
    <row r="1529" spans="1:2">
      <c r="A1529" s="98">
        <v>44587</v>
      </c>
      <c r="B1529" s="97">
        <v>2305.42</v>
      </c>
    </row>
    <row r="1530" spans="1:2">
      <c r="A1530" s="98">
        <v>44588</v>
      </c>
      <c r="B1530" s="97">
        <v>2320.5</v>
      </c>
    </row>
    <row r="1531" spans="1:2">
      <c r="A1531" s="98">
        <v>44589</v>
      </c>
      <c r="B1531" s="97">
        <v>2323.63</v>
      </c>
    </row>
    <row r="1532" spans="1:2">
      <c r="A1532" s="98">
        <v>44592</v>
      </c>
      <c r="B1532" s="97">
        <v>2338.71</v>
      </c>
    </row>
    <row r="1533" spans="1:2">
      <c r="A1533" s="98">
        <v>44593</v>
      </c>
      <c r="B1533" s="97">
        <v>2358.11</v>
      </c>
    </row>
    <row r="1534" spans="1:2">
      <c r="A1534" s="98">
        <v>44594</v>
      </c>
      <c r="B1534" s="97">
        <v>2366.39</v>
      </c>
    </row>
    <row r="1535" spans="1:2">
      <c r="A1535" s="98">
        <v>44595</v>
      </c>
      <c r="B1535" s="97">
        <v>2333.86</v>
      </c>
    </row>
    <row r="1536" spans="1:2">
      <c r="A1536" s="98">
        <v>44596</v>
      </c>
      <c r="B1536" s="97">
        <v>2315.34</v>
      </c>
    </row>
    <row r="1537" spans="1:2">
      <c r="A1537" s="98">
        <v>44599</v>
      </c>
      <c r="B1537" s="97">
        <v>2324.79</v>
      </c>
    </row>
    <row r="1538" spans="1:2">
      <c r="A1538" s="98">
        <v>44600</v>
      </c>
      <c r="B1538" s="97">
        <v>2351.3200000000002</v>
      </c>
    </row>
    <row r="1539" spans="1:2">
      <c r="A1539" s="98">
        <v>44601</v>
      </c>
      <c r="B1539" s="97">
        <v>2389.9</v>
      </c>
    </row>
    <row r="1540" spans="1:2">
      <c r="A1540" s="98">
        <v>44602</v>
      </c>
      <c r="B1540" s="97">
        <v>2373.13</v>
      </c>
    </row>
    <row r="1541" spans="1:2">
      <c r="A1541" s="98">
        <v>44603</v>
      </c>
      <c r="B1541" s="97">
        <v>2349.36</v>
      </c>
    </row>
    <row r="1542" spans="1:2">
      <c r="A1542" s="98">
        <v>44606</v>
      </c>
      <c r="B1542" s="97">
        <v>2313.04</v>
      </c>
    </row>
    <row r="1543" spans="1:2">
      <c r="A1543" s="98">
        <v>44607</v>
      </c>
      <c r="B1543" s="97">
        <v>2346.37</v>
      </c>
    </row>
    <row r="1544" spans="1:2">
      <c r="A1544" s="98">
        <v>44608</v>
      </c>
      <c r="B1544" s="97">
        <v>2337.9899999999998</v>
      </c>
    </row>
    <row r="1545" spans="1:2">
      <c r="A1545" s="98">
        <v>44609</v>
      </c>
      <c r="B1545" s="97">
        <v>2306.54</v>
      </c>
    </row>
    <row r="1546" spans="1:2">
      <c r="A1546" s="98">
        <v>44610</v>
      </c>
      <c r="B1546" s="97">
        <v>2290.63</v>
      </c>
    </row>
    <row r="1547" spans="1:2">
      <c r="A1547" s="98">
        <v>44613</v>
      </c>
      <c r="B1547" s="97">
        <v>2259.16</v>
      </c>
    </row>
    <row r="1548" spans="1:2">
      <c r="A1548" s="98">
        <v>44614</v>
      </c>
      <c r="B1548" s="97">
        <v>2251.14</v>
      </c>
    </row>
    <row r="1549" spans="1:2">
      <c r="A1549" s="98">
        <v>44615</v>
      </c>
      <c r="B1549" s="97">
        <v>2228.64</v>
      </c>
    </row>
    <row r="1550" spans="1:2">
      <c r="A1550" s="98">
        <v>44616</v>
      </c>
      <c r="B1550" s="97">
        <v>2184.4899999999998</v>
      </c>
    </row>
    <row r="1551" spans="1:2">
      <c r="A1551" s="98">
        <v>44617</v>
      </c>
      <c r="B1551" s="97">
        <v>2233.83</v>
      </c>
    </row>
    <row r="1552" spans="1:2">
      <c r="A1552" s="98">
        <v>44620</v>
      </c>
      <c r="B1552" s="97">
        <v>2203.67</v>
      </c>
    </row>
    <row r="1553" spans="1:2">
      <c r="A1553" s="98">
        <v>44621</v>
      </c>
      <c r="B1553" s="97">
        <v>2139.02</v>
      </c>
    </row>
    <row r="1554" spans="1:2">
      <c r="A1554" s="98">
        <v>44622</v>
      </c>
      <c r="B1554" s="97">
        <v>2167.14</v>
      </c>
    </row>
    <row r="1555" spans="1:2">
      <c r="A1555" s="98">
        <v>44623</v>
      </c>
      <c r="B1555" s="97">
        <v>2137.33</v>
      </c>
    </row>
    <row r="1556" spans="1:2">
      <c r="A1556" s="98">
        <v>44624</v>
      </c>
      <c r="B1556" s="97">
        <v>2063.8200000000002</v>
      </c>
    </row>
    <row r="1557" spans="1:2">
      <c r="A1557" s="98">
        <v>44627</v>
      </c>
      <c r="B1557" s="97">
        <v>2016.24</v>
      </c>
    </row>
    <row r="1558" spans="1:2">
      <c r="A1558" s="98">
        <v>44628</v>
      </c>
      <c r="B1558" s="97">
        <v>2022.46</v>
      </c>
    </row>
    <row r="1559" spans="1:2">
      <c r="A1559" s="98">
        <v>44629</v>
      </c>
      <c r="B1559" s="97">
        <v>2132.77</v>
      </c>
    </row>
    <row r="1560" spans="1:2">
      <c r="A1560" s="98">
        <v>44630</v>
      </c>
      <c r="B1560" s="97">
        <v>2092.08</v>
      </c>
    </row>
    <row r="1561" spans="1:2">
      <c r="A1561" s="98">
        <v>44631</v>
      </c>
      <c r="B1561" s="97">
        <v>2104.2199999999998</v>
      </c>
    </row>
    <row r="1562" spans="1:2">
      <c r="A1562" s="98">
        <v>44634</v>
      </c>
      <c r="B1562" s="97">
        <v>2133.85</v>
      </c>
    </row>
    <row r="1563" spans="1:2">
      <c r="A1563" s="98">
        <v>44635</v>
      </c>
      <c r="B1563" s="97">
        <v>2154.5</v>
      </c>
    </row>
    <row r="1564" spans="1:2">
      <c r="A1564" s="98">
        <v>44636</v>
      </c>
      <c r="B1564" s="97">
        <v>2223.48</v>
      </c>
    </row>
    <row r="1565" spans="1:2">
      <c r="A1565" s="98">
        <v>44637</v>
      </c>
      <c r="B1565" s="97">
        <v>2214.91</v>
      </c>
    </row>
    <row r="1566" spans="1:2">
      <c r="A1566" s="98">
        <v>44638</v>
      </c>
      <c r="B1566" s="97">
        <v>2230.71</v>
      </c>
    </row>
    <row r="1567" spans="1:2">
      <c r="A1567" s="98">
        <v>44641</v>
      </c>
      <c r="B1567" s="97">
        <v>2226.21</v>
      </c>
    </row>
    <row r="1568" spans="1:2">
      <c r="A1568" s="98">
        <v>44642</v>
      </c>
      <c r="B1568" s="97">
        <v>2250.69</v>
      </c>
    </row>
    <row r="1569" spans="1:2">
      <c r="A1569" s="98">
        <v>44643</v>
      </c>
      <c r="B1569" s="97">
        <v>2208.34</v>
      </c>
    </row>
    <row r="1570" spans="1:2">
      <c r="A1570" s="98">
        <v>44644</v>
      </c>
      <c r="B1570" s="97">
        <v>2213.35</v>
      </c>
    </row>
    <row r="1571" spans="1:2">
      <c r="A1571" s="98">
        <v>44645</v>
      </c>
      <c r="B1571" s="97">
        <v>2216.87</v>
      </c>
    </row>
    <row r="1572" spans="1:2">
      <c r="A1572" s="98">
        <v>44648</v>
      </c>
      <c r="B1572" s="97">
        <v>2233.9899999999998</v>
      </c>
    </row>
    <row r="1573" spans="1:2">
      <c r="A1573" s="98">
        <v>44649</v>
      </c>
      <c r="B1573" s="97">
        <v>2284.04</v>
      </c>
    </row>
    <row r="1574" spans="1:2">
      <c r="A1574" s="98">
        <v>44650</v>
      </c>
      <c r="B1574" s="97">
        <v>2256.4699999999998</v>
      </c>
    </row>
    <row r="1575" spans="1:2">
      <c r="A1575" s="98">
        <v>44651</v>
      </c>
      <c r="B1575" s="97">
        <v>2225.6999999999998</v>
      </c>
    </row>
    <row r="1576" spans="1:2">
      <c r="A1576" s="98">
        <v>44652</v>
      </c>
      <c r="B1576" s="97">
        <v>2242.4</v>
      </c>
    </row>
    <row r="1577" spans="1:2">
      <c r="A1577" s="98">
        <v>44655</v>
      </c>
      <c r="B1577" s="97">
        <v>2254.6799999999998</v>
      </c>
    </row>
    <row r="1578" spans="1:2">
      <c r="A1578" s="98">
        <v>44656</v>
      </c>
      <c r="B1578" s="97">
        <v>2235.84</v>
      </c>
    </row>
    <row r="1579" spans="1:2">
      <c r="A1579" s="98">
        <v>44657</v>
      </c>
      <c r="B1579" s="97">
        <v>2194.4</v>
      </c>
    </row>
    <row r="1580" spans="1:2">
      <c r="A1580" s="98">
        <v>44658</v>
      </c>
      <c r="B1580" s="97">
        <v>2190.58</v>
      </c>
    </row>
    <row r="1581" spans="1:2">
      <c r="A1581" s="98">
        <v>44659</v>
      </c>
      <c r="B1581" s="97">
        <v>2214.5100000000002</v>
      </c>
    </row>
    <row r="1582" spans="1:2">
      <c r="A1582" s="98">
        <v>44662</v>
      </c>
      <c r="B1582" s="97">
        <v>2196.94</v>
      </c>
    </row>
    <row r="1583" spans="1:2">
      <c r="A1583" s="98">
        <v>44663</v>
      </c>
      <c r="B1583" s="97">
        <v>2185.92</v>
      </c>
    </row>
    <row r="1584" spans="1:2">
      <c r="A1584" s="98">
        <v>44664</v>
      </c>
      <c r="B1584" s="97">
        <v>2192.0300000000002</v>
      </c>
    </row>
    <row r="1585" spans="1:2">
      <c r="A1585" s="98">
        <v>44665</v>
      </c>
      <c r="B1585" s="97">
        <v>2197.06</v>
      </c>
    </row>
    <row r="1586" spans="1:2">
      <c r="A1586" s="98">
        <v>44669</v>
      </c>
      <c r="B1586" s="97">
        <v>2195.64</v>
      </c>
    </row>
    <row r="1587" spans="1:2">
      <c r="A1587" s="98">
        <v>44670</v>
      </c>
      <c r="B1587" s="97">
        <v>2199.5300000000002</v>
      </c>
    </row>
    <row r="1588" spans="1:2">
      <c r="A1588" s="98">
        <v>44671</v>
      </c>
      <c r="B1588" s="97">
        <v>2216.29</v>
      </c>
    </row>
    <row r="1589" spans="1:2">
      <c r="A1589" s="98">
        <v>44672</v>
      </c>
      <c r="B1589" s="97">
        <v>2221.2399999999998</v>
      </c>
    </row>
    <row r="1590" spans="1:2">
      <c r="A1590" s="98">
        <v>44673</v>
      </c>
      <c r="B1590" s="97">
        <v>2175.27</v>
      </c>
    </row>
    <row r="1591" spans="1:2">
      <c r="A1591" s="98">
        <v>44676</v>
      </c>
      <c r="B1591" s="97">
        <v>2154.7600000000002</v>
      </c>
    </row>
    <row r="1592" spans="1:2">
      <c r="A1592" s="98">
        <v>44677</v>
      </c>
      <c r="B1592" s="97">
        <v>2125.84</v>
      </c>
    </row>
    <row r="1593" spans="1:2">
      <c r="A1593" s="98">
        <v>44678</v>
      </c>
      <c r="B1593" s="97">
        <v>2142.06</v>
      </c>
    </row>
    <row r="1594" spans="1:2">
      <c r="A1594" s="98">
        <v>44679</v>
      </c>
      <c r="B1594" s="97">
        <v>2165.52</v>
      </c>
    </row>
    <row r="1595" spans="1:2">
      <c r="A1595" s="98">
        <v>44680</v>
      </c>
      <c r="B1595" s="97">
        <v>2145.89</v>
      </c>
    </row>
    <row r="1596" spans="1:2">
      <c r="A1596" s="98">
        <v>44683</v>
      </c>
      <c r="B1596" s="97">
        <v>2136.15</v>
      </c>
    </row>
    <row r="1597" spans="1:2">
      <c r="A1597" s="98">
        <v>44684</v>
      </c>
      <c r="B1597" s="97">
        <v>2156.3200000000002</v>
      </c>
    </row>
    <row r="1598" spans="1:2">
      <c r="A1598" s="98">
        <v>44685</v>
      </c>
      <c r="B1598" s="97">
        <v>2157.2800000000002</v>
      </c>
    </row>
    <row r="1599" spans="1:2">
      <c r="A1599" s="98">
        <v>44686</v>
      </c>
      <c r="B1599" s="97">
        <v>2122.2199999999998</v>
      </c>
    </row>
    <row r="1600" spans="1:2">
      <c r="A1600" s="98">
        <v>44687</v>
      </c>
      <c r="B1600" s="97">
        <v>2086.67</v>
      </c>
    </row>
    <row r="1601" spans="1:2">
      <c r="A1601" s="98">
        <v>44690</v>
      </c>
      <c r="B1601" s="97">
        <v>2037.92</v>
      </c>
    </row>
    <row r="1602" spans="1:2">
      <c r="A1602" s="98">
        <v>44691</v>
      </c>
      <c r="B1602" s="97">
        <v>2053.6</v>
      </c>
    </row>
    <row r="1603" spans="1:2">
      <c r="A1603" s="98">
        <v>44692</v>
      </c>
      <c r="B1603" s="97">
        <v>2066.69</v>
      </c>
    </row>
    <row r="1604" spans="1:2">
      <c r="A1604" s="98">
        <v>44693</v>
      </c>
      <c r="B1604" s="97">
        <v>2058.77</v>
      </c>
    </row>
    <row r="1605" spans="1:2">
      <c r="A1605" s="98">
        <v>44694</v>
      </c>
      <c r="B1605" s="97">
        <v>2098.41</v>
      </c>
    </row>
    <row r="1606" spans="1:2">
      <c r="A1606" s="98">
        <v>44697</v>
      </c>
      <c r="B1606" s="97">
        <v>2090.27</v>
      </c>
    </row>
    <row r="1607" spans="1:2">
      <c r="A1607" s="98">
        <v>44698</v>
      </c>
      <c r="B1607" s="97">
        <v>2115.98</v>
      </c>
    </row>
    <row r="1608" spans="1:2">
      <c r="A1608" s="98">
        <v>44699</v>
      </c>
      <c r="B1608" s="97">
        <v>2078.2399999999998</v>
      </c>
    </row>
    <row r="1609" spans="1:2">
      <c r="A1609" s="98">
        <v>44700</v>
      </c>
      <c r="B1609" s="97">
        <v>2049.5500000000002</v>
      </c>
    </row>
    <row r="1610" spans="1:2">
      <c r="A1610" s="98">
        <v>44701</v>
      </c>
      <c r="B1610" s="97">
        <v>2061.19</v>
      </c>
    </row>
    <row r="1611" spans="1:2">
      <c r="A1611" s="98">
        <v>44704</v>
      </c>
      <c r="B1611" s="97">
        <v>2084.2600000000002</v>
      </c>
    </row>
    <row r="1612" spans="1:2">
      <c r="A1612" s="98">
        <v>44705</v>
      </c>
      <c r="B1612" s="97">
        <v>2061.16</v>
      </c>
    </row>
    <row r="1613" spans="1:2">
      <c r="A1613" s="98">
        <v>44706</v>
      </c>
      <c r="B1613" s="97">
        <v>2079.88</v>
      </c>
    </row>
    <row r="1614" spans="1:2">
      <c r="A1614" s="98">
        <v>44707</v>
      </c>
      <c r="B1614" s="97">
        <v>2108.91</v>
      </c>
    </row>
    <row r="1615" spans="1:2">
      <c r="A1615" s="98">
        <v>44708</v>
      </c>
      <c r="B1615" s="97">
        <v>2137.0700000000002</v>
      </c>
    </row>
    <row r="1616" spans="1:2">
      <c r="A1616" s="98">
        <v>44711</v>
      </c>
      <c r="B1616" s="97">
        <v>2144.86</v>
      </c>
    </row>
    <row r="1617" spans="1:2">
      <c r="A1617" s="98">
        <v>44712</v>
      </c>
      <c r="B1617" s="97">
        <v>2123.4899999999998</v>
      </c>
    </row>
    <row r="1618" spans="1:2">
      <c r="A1618" s="98">
        <v>44713</v>
      </c>
      <c r="B1618" s="97">
        <v>2113.9</v>
      </c>
    </row>
    <row r="1619" spans="1:2">
      <c r="A1619" s="98">
        <v>44714</v>
      </c>
      <c r="B1619" s="97">
        <v>2130.63</v>
      </c>
    </row>
    <row r="1620" spans="1:2">
      <c r="A1620" s="98">
        <v>44715</v>
      </c>
      <c r="B1620" s="97">
        <v>2114.4299999999998</v>
      </c>
    </row>
    <row r="1621" spans="1:2">
      <c r="A1621" s="98">
        <v>44718</v>
      </c>
      <c r="B1621" s="97">
        <v>2132.7800000000002</v>
      </c>
    </row>
    <row r="1622" spans="1:2">
      <c r="A1622" s="98">
        <v>44719</v>
      </c>
      <c r="B1622" s="97">
        <v>2127.7399999999998</v>
      </c>
    </row>
    <row r="1623" spans="1:2">
      <c r="A1623" s="98">
        <v>44720</v>
      </c>
      <c r="B1623" s="97">
        <v>2111.44</v>
      </c>
    </row>
    <row r="1624" spans="1:2">
      <c r="A1624" s="98">
        <v>44721</v>
      </c>
      <c r="B1624" s="97">
        <v>2083.2399999999998</v>
      </c>
    </row>
    <row r="1625" spans="1:2">
      <c r="A1625" s="98">
        <v>44722</v>
      </c>
      <c r="B1625" s="97">
        <v>2018.51</v>
      </c>
    </row>
    <row r="1626" spans="1:2">
      <c r="A1626" s="98">
        <v>44725</v>
      </c>
      <c r="B1626" s="97">
        <v>1972.5</v>
      </c>
    </row>
    <row r="1627" spans="1:2">
      <c r="A1627" s="98">
        <v>44726</v>
      </c>
      <c r="B1627" s="97">
        <v>1965.31</v>
      </c>
    </row>
    <row r="1628" spans="1:2">
      <c r="A1628" s="98">
        <v>44727</v>
      </c>
      <c r="B1628" s="97">
        <v>1999.26</v>
      </c>
    </row>
    <row r="1629" spans="1:2">
      <c r="A1629" s="98">
        <v>44728</v>
      </c>
      <c r="B1629" s="97">
        <v>1945.3</v>
      </c>
    </row>
    <row r="1630" spans="1:2">
      <c r="A1630" s="98">
        <v>44729</v>
      </c>
      <c r="B1630" s="97">
        <v>1957.48</v>
      </c>
    </row>
    <row r="1631" spans="1:2">
      <c r="A1631" s="98">
        <v>44732</v>
      </c>
      <c r="B1631" s="97">
        <v>1971.99</v>
      </c>
    </row>
    <row r="1632" spans="1:2">
      <c r="A1632" s="98">
        <v>44733</v>
      </c>
      <c r="B1632" s="97">
        <v>1983.23</v>
      </c>
    </row>
    <row r="1633" spans="1:2">
      <c r="A1633" s="98">
        <v>44734</v>
      </c>
      <c r="B1633" s="97">
        <v>1973.33</v>
      </c>
    </row>
    <row r="1634" spans="1:2">
      <c r="A1634" s="98">
        <v>44735</v>
      </c>
      <c r="B1634" s="97">
        <v>1955.97</v>
      </c>
    </row>
    <row r="1635" spans="1:2">
      <c r="A1635" s="98">
        <v>44736</v>
      </c>
      <c r="B1635" s="97">
        <v>2009.28</v>
      </c>
    </row>
    <row r="1636" spans="1:2">
      <c r="A1636" s="98">
        <v>44739</v>
      </c>
      <c r="B1636" s="97">
        <v>2004.9</v>
      </c>
    </row>
    <row r="1637" spans="1:2">
      <c r="A1637" s="98">
        <v>44740</v>
      </c>
      <c r="B1637" s="97">
        <v>2003.35</v>
      </c>
    </row>
    <row r="1638" spans="1:2">
      <c r="A1638" s="98">
        <v>44741</v>
      </c>
      <c r="B1638" s="97">
        <v>1992.64</v>
      </c>
    </row>
    <row r="1639" spans="1:2">
      <c r="A1639" s="98">
        <v>44742</v>
      </c>
      <c r="B1639" s="97">
        <v>1962.41</v>
      </c>
    </row>
    <row r="1640" spans="1:2">
      <c r="A1640" s="98">
        <v>44743</v>
      </c>
      <c r="B1640" s="97">
        <v>1966.67</v>
      </c>
    </row>
    <row r="1641" spans="1:2">
      <c r="A1641" s="98">
        <v>44746</v>
      </c>
      <c r="B1641" s="97">
        <v>1962.45</v>
      </c>
    </row>
    <row r="1642" spans="1:2">
      <c r="A1642" s="98">
        <v>44747</v>
      </c>
      <c r="B1642" s="97">
        <v>1939.35</v>
      </c>
    </row>
    <row r="1643" spans="1:2">
      <c r="A1643" s="98">
        <v>44748</v>
      </c>
      <c r="B1643" s="97">
        <v>1957.48</v>
      </c>
    </row>
    <row r="1644" spans="1:2">
      <c r="A1644" s="98">
        <v>44749</v>
      </c>
      <c r="B1644" s="97">
        <v>1996.05</v>
      </c>
    </row>
    <row r="1645" spans="1:2">
      <c r="A1645" s="98">
        <v>44750</v>
      </c>
      <c r="B1645" s="97">
        <v>2009.42</v>
      </c>
    </row>
    <row r="1646" spans="1:2">
      <c r="A1646" s="98">
        <v>44753</v>
      </c>
      <c r="B1646" s="97">
        <v>1991.64</v>
      </c>
    </row>
    <row r="1647" spans="1:2">
      <c r="A1647" s="98">
        <v>44754</v>
      </c>
      <c r="B1647" s="97">
        <v>1988.31</v>
      </c>
    </row>
    <row r="1648" spans="1:2">
      <c r="A1648" s="98">
        <v>44755</v>
      </c>
      <c r="B1648" s="97">
        <v>1968.85</v>
      </c>
    </row>
    <row r="1649" spans="1:2">
      <c r="A1649" s="98">
        <v>44756</v>
      </c>
      <c r="B1649" s="97">
        <v>1950.43</v>
      </c>
    </row>
    <row r="1650" spans="1:2">
      <c r="A1650" s="98">
        <v>44757</v>
      </c>
      <c r="B1650" s="97">
        <v>1987.93</v>
      </c>
    </row>
    <row r="1651" spans="1:2">
      <c r="A1651" s="98">
        <v>44760</v>
      </c>
      <c r="B1651" s="97">
        <v>1986.4</v>
      </c>
    </row>
    <row r="1652" spans="1:2">
      <c r="A1652" s="98">
        <v>44761</v>
      </c>
      <c r="B1652" s="97">
        <v>2033.01</v>
      </c>
    </row>
    <row r="1653" spans="1:2">
      <c r="A1653" s="98">
        <v>44762</v>
      </c>
      <c r="B1653" s="97">
        <v>2038.22</v>
      </c>
    </row>
    <row r="1654" spans="1:2">
      <c r="A1654" s="98">
        <v>44763</v>
      </c>
      <c r="B1654" s="97">
        <v>2049.5100000000002</v>
      </c>
    </row>
    <row r="1655" spans="1:2">
      <c r="A1655" s="98">
        <v>44764</v>
      </c>
      <c r="B1655" s="97">
        <v>2035.05</v>
      </c>
    </row>
    <row r="1656" spans="1:2">
      <c r="A1656" s="98">
        <v>44767</v>
      </c>
      <c r="B1656" s="97">
        <v>2036.94</v>
      </c>
    </row>
    <row r="1657" spans="1:2">
      <c r="A1657" s="98">
        <v>44768</v>
      </c>
      <c r="B1657" s="97">
        <v>2024.54</v>
      </c>
    </row>
    <row r="1658" spans="1:2">
      <c r="A1658" s="98">
        <v>44769</v>
      </c>
      <c r="B1658" s="97">
        <v>2049.42</v>
      </c>
    </row>
    <row r="1659" spans="1:2">
      <c r="A1659" s="98">
        <v>44770</v>
      </c>
      <c r="B1659" s="97">
        <v>2055.17</v>
      </c>
    </row>
    <row r="1660" spans="1:2">
      <c r="A1660" s="98">
        <v>44771</v>
      </c>
      <c r="B1660" s="97">
        <v>2066.85</v>
      </c>
    </row>
    <row r="1661" spans="1:2">
      <c r="A1661" s="98">
        <v>44774</v>
      </c>
      <c r="B1661" s="97">
        <v>2057.04</v>
      </c>
    </row>
    <row r="1662" spans="1:2">
      <c r="A1662" s="98">
        <v>44775</v>
      </c>
      <c r="B1662" s="97">
        <v>2055.4699999999998</v>
      </c>
    </row>
    <row r="1663" spans="1:2">
      <c r="A1663" s="98">
        <v>44776</v>
      </c>
      <c r="B1663" s="97">
        <v>2086.9499999999998</v>
      </c>
    </row>
    <row r="1664" spans="1:2">
      <c r="A1664" s="98">
        <v>44777</v>
      </c>
      <c r="B1664" s="97">
        <v>2089.9699999999998</v>
      </c>
    </row>
    <row r="1665" spans="1:2">
      <c r="A1665" s="98">
        <v>44778</v>
      </c>
      <c r="B1665" s="97">
        <v>2089.9299999999998</v>
      </c>
    </row>
    <row r="1666" spans="1:2">
      <c r="A1666" s="98">
        <v>44781</v>
      </c>
      <c r="B1666" s="97">
        <v>2093.9299999999998</v>
      </c>
    </row>
    <row r="1667" spans="1:2">
      <c r="A1667" s="98">
        <v>44782</v>
      </c>
      <c r="B1667" s="97">
        <v>2079.4299999999998</v>
      </c>
    </row>
    <row r="1668" spans="1:2">
      <c r="A1668" s="98">
        <v>44783</v>
      </c>
      <c r="B1668" s="97">
        <v>2099.38</v>
      </c>
    </row>
    <row r="1669" spans="1:2">
      <c r="A1669" s="98">
        <v>44784</v>
      </c>
      <c r="B1669" s="97">
        <v>2099.85</v>
      </c>
    </row>
    <row r="1670" spans="1:2">
      <c r="A1670" s="98">
        <v>44785</v>
      </c>
      <c r="B1670" s="97">
        <v>2119.29</v>
      </c>
    </row>
    <row r="1671" spans="1:2">
      <c r="A1671" s="98">
        <v>44788</v>
      </c>
      <c r="B1671" s="97">
        <v>2129.96</v>
      </c>
    </row>
    <row r="1672" spans="1:2">
      <c r="A1672" s="98">
        <v>44789</v>
      </c>
      <c r="B1672" s="97">
        <v>2139.46</v>
      </c>
    </row>
    <row r="1673" spans="1:2">
      <c r="A1673" s="98">
        <v>44790</v>
      </c>
      <c r="B1673" s="97">
        <v>2113.75</v>
      </c>
    </row>
    <row r="1674" spans="1:2">
      <c r="A1674" s="98">
        <v>44791</v>
      </c>
      <c r="B1674" s="97">
        <v>2121.46</v>
      </c>
    </row>
    <row r="1675" spans="1:2">
      <c r="A1675" s="98">
        <v>44792</v>
      </c>
      <c r="B1675" s="97">
        <v>2099.4299999999998</v>
      </c>
    </row>
    <row r="1676" spans="1:2">
      <c r="A1676" s="98">
        <v>44795</v>
      </c>
      <c r="B1676" s="97">
        <v>2057.9</v>
      </c>
    </row>
    <row r="1677" spans="1:2">
      <c r="A1677" s="98">
        <v>44796</v>
      </c>
      <c r="B1677" s="97">
        <v>2047.55</v>
      </c>
    </row>
    <row r="1678" spans="1:2">
      <c r="A1678" s="98">
        <v>44797</v>
      </c>
      <c r="B1678" s="97">
        <v>2047.98</v>
      </c>
    </row>
    <row r="1679" spans="1:2">
      <c r="A1679" s="98">
        <v>44798</v>
      </c>
      <c r="B1679" s="97">
        <v>2053.19</v>
      </c>
    </row>
    <row r="1680" spans="1:2">
      <c r="A1680" s="98">
        <v>44799</v>
      </c>
      <c r="B1680" s="97">
        <v>2003.06</v>
      </c>
    </row>
    <row r="1681" spans="1:2">
      <c r="A1681" s="98">
        <v>44802</v>
      </c>
      <c r="B1681" s="97">
        <v>1989.36</v>
      </c>
    </row>
    <row r="1682" spans="1:2">
      <c r="A1682" s="98">
        <v>44803</v>
      </c>
      <c r="B1682" s="97">
        <v>1990.66</v>
      </c>
    </row>
    <row r="1683" spans="1:2">
      <c r="A1683" s="98">
        <v>44804</v>
      </c>
      <c r="B1683" s="97">
        <v>1973.14</v>
      </c>
    </row>
    <row r="1684" spans="1:2">
      <c r="A1684" s="98">
        <v>44805</v>
      </c>
      <c r="B1684" s="97">
        <v>1962.17</v>
      </c>
    </row>
    <row r="1685" spans="1:2">
      <c r="A1685" s="98">
        <v>44806</v>
      </c>
      <c r="B1685" s="97">
        <v>1982.57</v>
      </c>
    </row>
    <row r="1686" spans="1:2">
      <c r="A1686" s="98">
        <v>44809</v>
      </c>
      <c r="B1686" s="97">
        <v>1969.7</v>
      </c>
    </row>
    <row r="1687" spans="1:2">
      <c r="A1687" s="98">
        <v>44810</v>
      </c>
      <c r="B1687" s="97">
        <v>1974.69</v>
      </c>
    </row>
    <row r="1688" spans="1:2">
      <c r="A1688" s="98">
        <v>44811</v>
      </c>
      <c r="B1688" s="97">
        <v>1978.78</v>
      </c>
    </row>
    <row r="1689" spans="1:2">
      <c r="A1689" s="98">
        <v>44812</v>
      </c>
      <c r="B1689" s="97">
        <v>1994.32</v>
      </c>
    </row>
    <row r="1690" spans="1:2">
      <c r="A1690" s="98">
        <v>44813</v>
      </c>
      <c r="B1690" s="97">
        <v>2026.22</v>
      </c>
    </row>
    <row r="1691" spans="1:2">
      <c r="A1691" s="98">
        <v>44816</v>
      </c>
      <c r="B1691" s="97">
        <v>2058.75</v>
      </c>
    </row>
    <row r="1692" spans="1:2">
      <c r="A1692" s="98">
        <v>44817</v>
      </c>
      <c r="B1692" s="97">
        <v>2017.86</v>
      </c>
    </row>
    <row r="1693" spans="1:2">
      <c r="A1693" s="98">
        <v>44818</v>
      </c>
      <c r="B1693" s="97">
        <v>2011.31</v>
      </c>
    </row>
    <row r="1694" spans="1:2">
      <c r="A1694" s="98">
        <v>44819</v>
      </c>
      <c r="B1694" s="97">
        <v>1998.8</v>
      </c>
    </row>
    <row r="1695" spans="1:2">
      <c r="A1695" s="98">
        <v>44820</v>
      </c>
      <c r="B1695" s="97">
        <v>1978.01</v>
      </c>
    </row>
    <row r="1696" spans="1:2">
      <c r="A1696" s="98">
        <v>44823</v>
      </c>
      <c r="B1696" s="97">
        <v>1981.21</v>
      </c>
    </row>
    <row r="1697" spans="1:2">
      <c r="A1697" s="98">
        <v>44824</v>
      </c>
      <c r="B1697" s="97">
        <v>1955.03</v>
      </c>
    </row>
    <row r="1698" spans="1:2">
      <c r="A1698" s="98">
        <v>44825</v>
      </c>
      <c r="B1698" s="97">
        <v>1952</v>
      </c>
    </row>
    <row r="1699" spans="1:2">
      <c r="A1699" s="98">
        <v>44826</v>
      </c>
      <c r="B1699" s="97">
        <v>1937.78</v>
      </c>
    </row>
    <row r="1700" spans="1:2">
      <c r="A1700" s="98">
        <v>44827</v>
      </c>
      <c r="B1700" s="97">
        <v>1903.04</v>
      </c>
    </row>
    <row r="1701" spans="1:2">
      <c r="A1701" s="98">
        <v>44830</v>
      </c>
      <c r="B1701" s="97">
        <v>1891.38</v>
      </c>
    </row>
    <row r="1702" spans="1:2">
      <c r="A1702" s="98">
        <v>44831</v>
      </c>
      <c r="B1702" s="97">
        <v>1876.8</v>
      </c>
    </row>
    <row r="1703" spans="1:2">
      <c r="A1703" s="98">
        <v>44832</v>
      </c>
      <c r="B1703" s="97">
        <v>1883.04</v>
      </c>
    </row>
    <row r="1704" spans="1:2">
      <c r="A1704" s="98">
        <v>44833</v>
      </c>
      <c r="B1704" s="97">
        <v>1841.61</v>
      </c>
    </row>
    <row r="1705" spans="1:2">
      <c r="A1705" s="98">
        <v>44834</v>
      </c>
      <c r="B1705" s="97">
        <v>1848.03</v>
      </c>
    </row>
    <row r="1706" spans="1:2">
      <c r="A1706" s="98">
        <v>44837</v>
      </c>
      <c r="B1706" s="97">
        <v>1869.7</v>
      </c>
    </row>
    <row r="1707" spans="1:2">
      <c r="A1707" s="98">
        <v>44838</v>
      </c>
      <c r="B1707" s="97">
        <v>1930.43</v>
      </c>
    </row>
    <row r="1708" spans="1:2">
      <c r="A1708" s="98">
        <v>44839</v>
      </c>
      <c r="B1708" s="97">
        <v>1918.64</v>
      </c>
    </row>
    <row r="1709" spans="1:2">
      <c r="A1709" s="98">
        <v>44840</v>
      </c>
      <c r="B1709" s="97">
        <v>1904.57</v>
      </c>
    </row>
    <row r="1710" spans="1:2">
      <c r="A1710" s="98">
        <v>44841</v>
      </c>
      <c r="B1710" s="97">
        <v>1872.78</v>
      </c>
    </row>
    <row r="1711" spans="1:2">
      <c r="A1711" s="98">
        <v>44844</v>
      </c>
      <c r="B1711" s="97">
        <v>1870.23</v>
      </c>
    </row>
    <row r="1712" spans="1:2">
      <c r="A1712" s="98">
        <v>44845</v>
      </c>
      <c r="B1712" s="97">
        <v>1860.37</v>
      </c>
    </row>
    <row r="1713" spans="1:2">
      <c r="A1713" s="98">
        <v>44846</v>
      </c>
      <c r="B1713" s="97">
        <v>1844.73</v>
      </c>
    </row>
    <row r="1714" spans="1:2">
      <c r="A1714" s="98">
        <v>44847</v>
      </c>
      <c r="B1714" s="97">
        <v>1883.49</v>
      </c>
    </row>
    <row r="1715" spans="1:2">
      <c r="A1715" s="98">
        <v>44848</v>
      </c>
      <c r="B1715" s="97">
        <v>1878.74</v>
      </c>
    </row>
    <row r="1716" spans="1:2">
      <c r="A1716" s="98">
        <v>44851</v>
      </c>
      <c r="B1716" s="97">
        <v>1914.32</v>
      </c>
    </row>
    <row r="1717" spans="1:2">
      <c r="A1717" s="98">
        <v>44852</v>
      </c>
      <c r="B1717" s="97">
        <v>1931.88</v>
      </c>
    </row>
    <row r="1718" spans="1:2">
      <c r="A1718" s="98">
        <v>44853</v>
      </c>
      <c r="B1718" s="97">
        <v>1933.98</v>
      </c>
    </row>
    <row r="1719" spans="1:2">
      <c r="A1719" s="98">
        <v>44854</v>
      </c>
      <c r="B1719" s="97">
        <v>1937.36</v>
      </c>
    </row>
    <row r="1720" spans="1:2">
      <c r="A1720" s="98">
        <v>44855</v>
      </c>
      <c r="B1720" s="97">
        <v>1946.34</v>
      </c>
    </row>
    <row r="1721" spans="1:2">
      <c r="A1721" s="98">
        <v>44858</v>
      </c>
      <c r="B1721" s="97">
        <v>1971.47</v>
      </c>
    </row>
    <row r="1722" spans="1:2">
      <c r="A1722" s="98">
        <v>44859</v>
      </c>
      <c r="B1722" s="97">
        <v>1994.45</v>
      </c>
    </row>
    <row r="1723" spans="1:2">
      <c r="A1723" s="98">
        <v>44860</v>
      </c>
      <c r="B1723" s="97">
        <v>1994.55</v>
      </c>
    </row>
    <row r="1724" spans="1:2">
      <c r="A1724" s="98">
        <v>44861</v>
      </c>
      <c r="B1724" s="97">
        <v>1996.29</v>
      </c>
    </row>
    <row r="1725" spans="1:2">
      <c r="A1725" s="98">
        <v>44862</v>
      </c>
      <c r="B1725" s="97">
        <v>2009.39</v>
      </c>
    </row>
    <row r="1726" spans="1:2">
      <c r="A1726" s="98">
        <v>44865</v>
      </c>
      <c r="B1726" s="97">
        <v>2009.79</v>
      </c>
    </row>
    <row r="1727" spans="1:2">
      <c r="A1727" s="98">
        <v>44866</v>
      </c>
      <c r="B1727" s="97">
        <v>2015.9</v>
      </c>
    </row>
    <row r="1728" spans="1:2">
      <c r="A1728" s="98">
        <v>44867</v>
      </c>
      <c r="B1728" s="97">
        <v>1994.45</v>
      </c>
    </row>
    <row r="1729" spans="1:2">
      <c r="A1729" s="98">
        <v>44868</v>
      </c>
      <c r="B1729" s="97">
        <v>1973.21</v>
      </c>
    </row>
    <row r="1730" spans="1:2">
      <c r="A1730" s="98">
        <v>44869</v>
      </c>
      <c r="B1730" s="97">
        <v>2002.16</v>
      </c>
    </row>
    <row r="1731" spans="1:2">
      <c r="A1731" s="98">
        <v>44872</v>
      </c>
      <c r="B1731" s="97">
        <v>2017.01</v>
      </c>
    </row>
    <row r="1732" spans="1:2">
      <c r="A1732" s="98">
        <v>44873</v>
      </c>
      <c r="B1732" s="97">
        <v>2033.53</v>
      </c>
    </row>
    <row r="1733" spans="1:2">
      <c r="A1733" s="98">
        <v>44874</v>
      </c>
      <c r="B1733" s="97">
        <v>2017.97</v>
      </c>
    </row>
    <row r="1734" spans="1:2">
      <c r="A1734" s="98">
        <v>44875</v>
      </c>
      <c r="B1734" s="97">
        <v>2075.5</v>
      </c>
    </row>
    <row r="1735" spans="1:2">
      <c r="A1735" s="98">
        <v>44876</v>
      </c>
      <c r="B1735" s="97">
        <v>2075.36</v>
      </c>
    </row>
    <row r="1736" spans="1:2">
      <c r="A1736" s="98">
        <v>44879</v>
      </c>
      <c r="B1736" s="97">
        <v>2081.08</v>
      </c>
    </row>
    <row r="1737" spans="1:2">
      <c r="A1737" s="98">
        <v>44880</v>
      </c>
      <c r="B1737" s="97">
        <v>2092.5700000000002</v>
      </c>
    </row>
    <row r="1738" spans="1:2">
      <c r="A1738" s="98">
        <v>44881</v>
      </c>
      <c r="B1738" s="97">
        <v>2068.16</v>
      </c>
    </row>
    <row r="1739" spans="1:2">
      <c r="A1739" s="98">
        <v>44882</v>
      </c>
      <c r="B1739" s="97">
        <v>2069.3200000000002</v>
      </c>
    </row>
    <row r="1740" spans="1:2">
      <c r="A1740" s="98">
        <v>44883</v>
      </c>
      <c r="B1740" s="97">
        <v>2084.58</v>
      </c>
    </row>
    <row r="1741" spans="1:2">
      <c r="A1741" s="98">
        <v>44886</v>
      </c>
      <c r="B1741" s="97">
        <v>2084.84</v>
      </c>
    </row>
    <row r="1742" spans="1:2">
      <c r="A1742" s="98">
        <v>44887</v>
      </c>
      <c r="B1742" s="97">
        <v>2100.15</v>
      </c>
    </row>
    <row r="1743" spans="1:2">
      <c r="A1743" s="98">
        <v>44888</v>
      </c>
      <c r="B1743" s="97">
        <v>2106.2399999999998</v>
      </c>
    </row>
    <row r="1744" spans="1:2">
      <c r="A1744" s="98">
        <v>44889</v>
      </c>
      <c r="B1744" s="97">
        <v>2110.88</v>
      </c>
    </row>
    <row r="1745" spans="1:2">
      <c r="A1745" s="98">
        <v>44890</v>
      </c>
      <c r="B1745" s="97">
        <v>2115.2600000000002</v>
      </c>
    </row>
    <row r="1746" spans="1:2">
      <c r="A1746" s="98">
        <v>44893</v>
      </c>
      <c r="B1746" s="97">
        <v>2092.7399999999998</v>
      </c>
    </row>
    <row r="1747" spans="1:2">
      <c r="A1747" s="98">
        <v>44894</v>
      </c>
      <c r="B1747" s="97">
        <v>2091.9299999999998</v>
      </c>
    </row>
    <row r="1748" spans="1:2">
      <c r="A1748" s="98">
        <v>44895</v>
      </c>
      <c r="B1748" s="97">
        <v>2122.44</v>
      </c>
    </row>
    <row r="1749" spans="1:2">
      <c r="A1749" s="98">
        <v>44896</v>
      </c>
      <c r="B1749" s="97">
        <v>2119.15</v>
      </c>
    </row>
    <row r="1750" spans="1:2">
      <c r="A1750" s="98">
        <v>44897</v>
      </c>
      <c r="B1750" s="97">
        <v>2116.9</v>
      </c>
    </row>
    <row r="1751" spans="1:2">
      <c r="A1751" s="98">
        <v>44900</v>
      </c>
      <c r="B1751" s="97">
        <v>2091.62</v>
      </c>
    </row>
    <row r="1752" spans="1:2">
      <c r="A1752" s="98">
        <v>44901</v>
      </c>
      <c r="B1752" s="97">
        <v>2072.29</v>
      </c>
    </row>
    <row r="1753" spans="1:2">
      <c r="A1753" s="98">
        <v>44902</v>
      </c>
      <c r="B1753" s="97">
        <v>2063.56</v>
      </c>
    </row>
    <row r="1754" spans="1:2">
      <c r="A1754" s="98">
        <v>44903</v>
      </c>
      <c r="B1754" s="97">
        <v>2061.54</v>
      </c>
    </row>
    <row r="1755" spans="1:2">
      <c r="A1755" s="98">
        <v>44904</v>
      </c>
      <c r="B1755" s="97">
        <v>2069.0700000000002</v>
      </c>
    </row>
    <row r="1756" spans="1:2">
      <c r="A1756" s="98">
        <v>44907</v>
      </c>
      <c r="B1756" s="97">
        <v>2071.79</v>
      </c>
    </row>
    <row r="1757" spans="1:2">
      <c r="A1757" s="98">
        <v>44908</v>
      </c>
      <c r="B1757" s="97">
        <v>2087.08</v>
      </c>
    </row>
    <row r="1758" spans="1:2">
      <c r="A1758" s="98">
        <v>44909</v>
      </c>
      <c r="B1758" s="97">
        <v>2076.81</v>
      </c>
    </row>
    <row r="1759" spans="1:2">
      <c r="A1759" s="98">
        <v>44910</v>
      </c>
      <c r="B1759" s="97">
        <v>2018.82</v>
      </c>
    </row>
    <row r="1760" spans="1:2">
      <c r="A1760" s="98">
        <v>44911</v>
      </c>
      <c r="B1760" s="97">
        <v>2008.35</v>
      </c>
    </row>
    <row r="1761" spans="1:2">
      <c r="A1761" s="98">
        <v>44914</v>
      </c>
      <c r="B1761" s="97">
        <v>2005.77</v>
      </c>
    </row>
    <row r="1762" spans="1:2">
      <c r="A1762" s="98">
        <v>44915</v>
      </c>
      <c r="B1762" s="97">
        <v>2006.03</v>
      </c>
    </row>
    <row r="1763" spans="1:2">
      <c r="A1763" s="98">
        <v>44916</v>
      </c>
      <c r="B1763" s="97">
        <v>2040.46</v>
      </c>
    </row>
    <row r="1764" spans="1:2">
      <c r="A1764" s="98">
        <v>44917</v>
      </c>
      <c r="B1764" s="97">
        <v>2019.76</v>
      </c>
    </row>
    <row r="1765" spans="1:2">
      <c r="A1765" s="98">
        <v>44918</v>
      </c>
      <c r="B1765" s="97">
        <v>2021.08</v>
      </c>
    </row>
    <row r="1766" spans="1:2">
      <c r="A1766" s="98">
        <v>44922</v>
      </c>
      <c r="B1766" s="97">
        <v>2015.2</v>
      </c>
    </row>
    <row r="1767" spans="1:2">
      <c r="A1767" s="98">
        <v>44923</v>
      </c>
      <c r="B1767" s="97">
        <v>2002.4</v>
      </c>
    </row>
    <row r="1768" spans="1:2">
      <c r="A1768" s="98">
        <v>44924</v>
      </c>
      <c r="B1768" s="97">
        <v>2024.96</v>
      </c>
    </row>
    <row r="1769" spans="1:2">
      <c r="A1769" s="98">
        <v>44925</v>
      </c>
      <c r="B1769" s="97">
        <v>2006.14</v>
      </c>
    </row>
    <row r="1770" spans="1:2">
      <c r="A1770" s="98">
        <v>44928</v>
      </c>
      <c r="B1770" s="97">
        <v>2026.27</v>
      </c>
    </row>
    <row r="1771" spans="1:2">
      <c r="A1771" s="98">
        <v>44929</v>
      </c>
      <c r="B1771" s="97">
        <v>2045.17</v>
      </c>
    </row>
    <row r="1772" spans="1:2">
      <c r="A1772" s="98">
        <v>44930</v>
      </c>
      <c r="B1772" s="97">
        <v>2086.41</v>
      </c>
    </row>
    <row r="1773" spans="1:2">
      <c r="A1773" s="98">
        <v>44931</v>
      </c>
      <c r="B1773" s="97">
        <v>2084.1</v>
      </c>
    </row>
    <row r="1774" spans="1:2">
      <c r="A1774" s="98">
        <v>44932</v>
      </c>
      <c r="B1774" s="97">
        <v>2112.9899999999998</v>
      </c>
    </row>
    <row r="1775" spans="1:2">
      <c r="A1775" s="98">
        <v>44935</v>
      </c>
      <c r="B1775" s="97">
        <v>2117.0300000000002</v>
      </c>
    </row>
    <row r="1776" spans="1:2">
      <c r="A1776" s="98">
        <v>44936</v>
      </c>
      <c r="B1776" s="97">
        <v>2119.77</v>
      </c>
    </row>
    <row r="1777" spans="1:2">
      <c r="A1777" s="98">
        <v>44937</v>
      </c>
      <c r="B1777" s="97">
        <v>2130.9299999999998</v>
      </c>
    </row>
    <row r="1778" spans="1:2">
      <c r="A1778" s="98">
        <v>44938</v>
      </c>
      <c r="B1778" s="97">
        <v>2150.0100000000002</v>
      </c>
    </row>
    <row r="1779" spans="1:2">
      <c r="A1779" s="98">
        <v>44939</v>
      </c>
      <c r="B1779" s="97">
        <v>2153.86</v>
      </c>
    </row>
    <row r="1780" spans="1:2">
      <c r="A1780" s="98">
        <v>44942</v>
      </c>
      <c r="B1780" s="97">
        <v>2161.65</v>
      </c>
    </row>
    <row r="1781" spans="1:2">
      <c r="A1781" s="98">
        <v>44943</v>
      </c>
      <c r="B1781" s="97">
        <v>2165.1799999999998</v>
      </c>
    </row>
    <row r="1782" spans="1:2">
      <c r="A1782" s="98">
        <v>44944</v>
      </c>
      <c r="B1782" s="97">
        <v>2153.69</v>
      </c>
    </row>
    <row r="1783" spans="1:2">
      <c r="A1783" s="98">
        <v>44945</v>
      </c>
      <c r="B1783" s="97">
        <v>2125.9299999999998</v>
      </c>
    </row>
    <row r="1784" spans="1:2">
      <c r="A1784" s="98">
        <v>44946</v>
      </c>
      <c r="B1784" s="97">
        <v>2151.8000000000002</v>
      </c>
    </row>
    <row r="1785" spans="1:2">
      <c r="A1785" s="98">
        <v>44949</v>
      </c>
      <c r="B1785" s="97">
        <v>2170.42</v>
      </c>
    </row>
    <row r="1786" spans="1:2">
      <c r="A1786" s="98">
        <v>44950</v>
      </c>
      <c r="B1786" s="97">
        <v>2172.7399999999998</v>
      </c>
    </row>
    <row r="1787" spans="1:2">
      <c r="A1787" s="98">
        <v>44951</v>
      </c>
      <c r="B1787" s="97">
        <v>2168.37</v>
      </c>
    </row>
    <row r="1788" spans="1:2">
      <c r="A1788" s="98">
        <v>44952</v>
      </c>
      <c r="B1788" s="97">
        <v>2189.52</v>
      </c>
    </row>
    <row r="1789" spans="1:2">
      <c r="A1789" s="98">
        <v>44953</v>
      </c>
      <c r="B1789" s="97">
        <v>2201.37</v>
      </c>
    </row>
    <row r="1790" spans="1:2">
      <c r="A1790" s="98">
        <v>44956</v>
      </c>
      <c r="B1790" s="97">
        <v>2191.23</v>
      </c>
    </row>
    <row r="1791" spans="1:2">
      <c r="A1791" s="98">
        <v>44957</v>
      </c>
      <c r="B1791" s="97">
        <v>2204.19</v>
      </c>
    </row>
    <row r="1792" spans="1:2">
      <c r="A1792" s="98">
        <v>44958</v>
      </c>
      <c r="B1792" s="97">
        <v>2220.83</v>
      </c>
    </row>
    <row r="1793" spans="1:2">
      <c r="A1793" s="98">
        <v>44959</v>
      </c>
      <c r="B1793" s="97">
        <v>2251.6999999999998</v>
      </c>
    </row>
    <row r="1794" spans="1:2">
      <c r="A1794" s="98">
        <v>44960</v>
      </c>
      <c r="B1794" s="97">
        <v>2250.38</v>
      </c>
    </row>
    <row r="1795" spans="1:2">
      <c r="A1795" s="98">
        <v>44963</v>
      </c>
      <c r="B1795" s="97">
        <v>2240.3000000000002</v>
      </c>
    </row>
    <row r="1796" spans="1:2">
      <c r="A1796" s="98">
        <v>44964</v>
      </c>
      <c r="B1796" s="97">
        <v>2252.41</v>
      </c>
    </row>
    <row r="1797" spans="1:2">
      <c r="A1797" s="98">
        <v>44965</v>
      </c>
      <c r="B1797" s="97">
        <v>2247.04</v>
      </c>
    </row>
    <row r="1798" spans="1:2">
      <c r="A1798" s="98">
        <v>44966</v>
      </c>
      <c r="B1798" s="97">
        <v>2255.1799999999998</v>
      </c>
    </row>
    <row r="1799" spans="1:2">
      <c r="A1799" s="98">
        <v>44967</v>
      </c>
      <c r="B1799" s="97">
        <v>2234.91</v>
      </c>
    </row>
    <row r="1800" spans="1:2">
      <c r="A1800" s="98">
        <v>44970</v>
      </c>
      <c r="B1800" s="97">
        <v>2250.7800000000002</v>
      </c>
    </row>
    <row r="1801" spans="1:2">
      <c r="A1801" s="98">
        <v>44971</v>
      </c>
      <c r="B1801" s="97">
        <v>2258.8200000000002</v>
      </c>
    </row>
    <row r="1802" spans="1:2">
      <c r="A1802" s="98">
        <v>44972</v>
      </c>
      <c r="B1802" s="97">
        <v>2279.41</v>
      </c>
    </row>
    <row r="1803" spans="1:2">
      <c r="A1803" s="98">
        <v>44973</v>
      </c>
      <c r="B1803" s="97">
        <v>2283.5500000000002</v>
      </c>
    </row>
    <row r="1804" spans="1:2">
      <c r="A1804" s="98">
        <v>44974</v>
      </c>
      <c r="B1804" s="97">
        <v>2276.81</v>
      </c>
    </row>
    <row r="1805" spans="1:2">
      <c r="A1805" s="98">
        <v>44977</v>
      </c>
      <c r="B1805" s="97">
        <v>2269.63</v>
      </c>
    </row>
    <row r="1806" spans="1:2">
      <c r="A1806" s="98">
        <v>44978</v>
      </c>
      <c r="B1806" s="97">
        <v>2244.79</v>
      </c>
    </row>
    <row r="1807" spans="1:2">
      <c r="A1807" s="98">
        <v>44979</v>
      </c>
      <c r="B1807" s="97">
        <v>2244.35</v>
      </c>
    </row>
    <row r="1808" spans="1:2">
      <c r="A1808" s="98">
        <v>44980</v>
      </c>
      <c r="B1808" s="97">
        <v>2257.9</v>
      </c>
    </row>
    <row r="1809" spans="1:2">
      <c r="A1809" s="98">
        <v>44981</v>
      </c>
      <c r="B1809" s="97">
        <v>2235.41</v>
      </c>
    </row>
    <row r="1810" spans="1:2">
      <c r="A1810" s="98">
        <v>44984</v>
      </c>
      <c r="B1810" s="97">
        <v>2255.44</v>
      </c>
    </row>
    <row r="1811" spans="1:2">
      <c r="A1811" s="98">
        <v>44985</v>
      </c>
      <c r="B1811" s="97">
        <v>2259.08</v>
      </c>
    </row>
    <row r="1812" spans="1:2">
      <c r="A1812" s="98">
        <v>44986</v>
      </c>
      <c r="B1812" s="97">
        <v>2243.7399999999998</v>
      </c>
    </row>
    <row r="1813" spans="1:2">
      <c r="A1813" s="98">
        <v>44987</v>
      </c>
      <c r="B1813" s="97">
        <v>2260.37</v>
      </c>
    </row>
    <row r="1814" spans="1:2">
      <c r="A1814" s="98">
        <v>44988</v>
      </c>
      <c r="B1814" s="97">
        <v>2288.96</v>
      </c>
    </row>
    <row r="1815" spans="1:2">
      <c r="A1815" s="98">
        <v>44991</v>
      </c>
      <c r="B1815" s="97">
        <v>2292.9299999999998</v>
      </c>
    </row>
    <row r="1816" spans="1:2">
      <c r="A1816" s="98">
        <v>44992</v>
      </c>
      <c r="B1816" s="97">
        <v>2273.86</v>
      </c>
    </row>
    <row r="1817" spans="1:2">
      <c r="A1817" s="98">
        <v>44993</v>
      </c>
      <c r="B1817" s="97">
        <v>2280.44</v>
      </c>
    </row>
    <row r="1818" spans="1:2">
      <c r="A1818" s="98">
        <v>44994</v>
      </c>
      <c r="B1818" s="97">
        <v>2265.02</v>
      </c>
    </row>
    <row r="1819" spans="1:2">
      <c r="A1819" s="98">
        <v>44995</v>
      </c>
      <c r="B1819" s="97">
        <v>2223.65</v>
      </c>
    </row>
    <row r="1820" spans="1:2">
      <c r="A1820" s="98">
        <v>44998</v>
      </c>
      <c r="B1820" s="97">
        <v>2165.0500000000002</v>
      </c>
    </row>
    <row r="1821" spans="1:2">
      <c r="A1821" s="98">
        <v>44999</v>
      </c>
      <c r="B1821" s="97">
        <v>2205.37</v>
      </c>
    </row>
    <row r="1822" spans="1:2">
      <c r="A1822" s="98">
        <v>45000</v>
      </c>
      <c r="B1822" s="97">
        <v>2155.0100000000002</v>
      </c>
    </row>
    <row r="1823" spans="1:2">
      <c r="A1823" s="98">
        <v>45001</v>
      </c>
      <c r="B1823" s="97">
        <v>2188.11</v>
      </c>
    </row>
    <row r="1824" spans="1:2">
      <c r="A1824" s="98">
        <v>45002</v>
      </c>
      <c r="B1824" s="97">
        <v>2161.11</v>
      </c>
    </row>
    <row r="1825" spans="1:2">
      <c r="A1825" s="98">
        <v>45005</v>
      </c>
      <c r="B1825" s="97">
        <v>2180.0100000000002</v>
      </c>
    </row>
    <row r="1826" spans="1:2">
      <c r="A1826" s="98">
        <v>45006</v>
      </c>
      <c r="B1826" s="97">
        <v>2217.9</v>
      </c>
    </row>
    <row r="1827" spans="1:2">
      <c r="A1827" s="98">
        <v>45007</v>
      </c>
      <c r="B1827" s="97">
        <v>2204.71</v>
      </c>
    </row>
    <row r="1828" spans="1:2">
      <c r="A1828" s="98">
        <v>45008</v>
      </c>
      <c r="B1828" s="97">
        <v>2203.48</v>
      </c>
    </row>
    <row r="1829" spans="1:2">
      <c r="A1829" s="98">
        <v>45009</v>
      </c>
      <c r="B1829" s="97">
        <v>2181.91</v>
      </c>
    </row>
    <row r="1830" spans="1:2">
      <c r="A1830" s="98">
        <v>45012</v>
      </c>
      <c r="B1830" s="97">
        <v>2199.54</v>
      </c>
    </row>
    <row r="1831" spans="1:2">
      <c r="A1831" s="98">
        <v>45013</v>
      </c>
      <c r="B1831" s="97">
        <v>2194.0100000000002</v>
      </c>
    </row>
    <row r="1832" spans="1:2">
      <c r="A1832" s="98">
        <v>45014</v>
      </c>
      <c r="B1832" s="97">
        <v>2225.92</v>
      </c>
    </row>
    <row r="1833" spans="1:2">
      <c r="A1833" s="98">
        <v>45015</v>
      </c>
      <c r="B1833" s="97">
        <v>2246.9</v>
      </c>
    </row>
    <row r="1834" spans="1:2">
      <c r="A1834" s="98">
        <v>45016</v>
      </c>
      <c r="B1834" s="97">
        <v>2267.56</v>
      </c>
    </row>
    <row r="1835" spans="1:2">
      <c r="A1835" s="98">
        <v>45019</v>
      </c>
      <c r="B1835" s="97">
        <v>2263.0700000000002</v>
      </c>
    </row>
    <row r="1836" spans="1:2">
      <c r="A1836" s="98">
        <v>45020</v>
      </c>
      <c r="B1836" s="97">
        <v>2253.4499999999998</v>
      </c>
    </row>
    <row r="1837" spans="1:2">
      <c r="A1837" s="98">
        <v>45021</v>
      </c>
      <c r="B1837" s="97">
        <v>2251.2199999999998</v>
      </c>
    </row>
    <row r="1838" spans="1:2">
      <c r="A1838" s="98">
        <v>45022</v>
      </c>
      <c r="B1838" s="97">
        <v>2260.79</v>
      </c>
    </row>
    <row r="1839" spans="1:2">
      <c r="A1839" s="98">
        <v>45026</v>
      </c>
      <c r="B1839" s="97">
        <v>2267.5300000000002</v>
      </c>
    </row>
    <row r="1840" spans="1:2">
      <c r="A1840" s="98">
        <v>45027</v>
      </c>
      <c r="B1840" s="97">
        <v>2266.08</v>
      </c>
    </row>
    <row r="1841" spans="1:2">
      <c r="A1841" s="98">
        <v>45028</v>
      </c>
      <c r="B1841" s="97">
        <v>2261.2800000000002</v>
      </c>
    </row>
    <row r="1842" spans="1:2">
      <c r="A1842" s="98">
        <v>45029</v>
      </c>
      <c r="B1842" s="97">
        <v>2265.5500000000002</v>
      </c>
    </row>
    <row r="1843" spans="1:2">
      <c r="A1843" s="98">
        <v>45030</v>
      </c>
      <c r="B1843" s="97">
        <v>2279.35</v>
      </c>
    </row>
    <row r="1844" spans="1:2">
      <c r="A1844" s="98">
        <v>45033</v>
      </c>
      <c r="B1844" s="97">
        <v>2278.58</v>
      </c>
    </row>
    <row r="1845" spans="1:2">
      <c r="A1845" s="98">
        <v>45034</v>
      </c>
      <c r="B1845" s="97">
        <v>2288.7600000000002</v>
      </c>
    </row>
    <row r="1846" spans="1:2">
      <c r="A1846" s="98">
        <v>45035</v>
      </c>
      <c r="B1846" s="97">
        <v>2289.46</v>
      </c>
    </row>
    <row r="1847" spans="1:2">
      <c r="A1847" s="98">
        <v>45036</v>
      </c>
      <c r="B1847" s="97">
        <v>2274.2800000000002</v>
      </c>
    </row>
    <row r="1848" spans="1:2">
      <c r="A1848" s="98">
        <v>45037</v>
      </c>
      <c r="B1848" s="97">
        <v>2280.3000000000002</v>
      </c>
    </row>
    <row r="1849" spans="1:2">
      <c r="A1849" s="98">
        <v>45040</v>
      </c>
      <c r="B1849" s="97">
        <v>2275.21</v>
      </c>
    </row>
    <row r="1850" spans="1:2">
      <c r="A1850" s="98">
        <v>45041</v>
      </c>
      <c r="B1850" s="97">
        <v>2259.94</v>
      </c>
    </row>
    <row r="1851" spans="1:2">
      <c r="A1851" s="98">
        <v>45042</v>
      </c>
      <c r="B1851" s="97">
        <v>2244.77</v>
      </c>
    </row>
    <row r="1852" spans="1:2">
      <c r="A1852" s="98">
        <v>45043</v>
      </c>
      <c r="B1852" s="97">
        <v>2265.31</v>
      </c>
    </row>
    <row r="1853" spans="1:2">
      <c r="A1853" s="98">
        <v>45044</v>
      </c>
      <c r="B1853" s="97">
        <v>2274.19</v>
      </c>
    </row>
    <row r="1854" spans="1:2">
      <c r="A1854" s="98">
        <v>45047</v>
      </c>
      <c r="B1854" s="97">
        <v>2278.75</v>
      </c>
    </row>
    <row r="1855" spans="1:2">
      <c r="A1855" s="98">
        <v>45048</v>
      </c>
      <c r="B1855" s="97">
        <v>2248.04</v>
      </c>
    </row>
    <row r="1856" spans="1:2">
      <c r="A1856" s="98">
        <v>45049</v>
      </c>
      <c r="B1856" s="97">
        <v>2240.6</v>
      </c>
    </row>
    <row r="1857" spans="1:2">
      <c r="A1857" s="98">
        <v>45050</v>
      </c>
      <c r="B1857" s="97">
        <v>2217.42</v>
      </c>
    </row>
    <row r="1858" spans="1:2">
      <c r="A1858" s="98">
        <v>45051</v>
      </c>
      <c r="B1858" s="97">
        <v>2249.02</v>
      </c>
    </row>
    <row r="1859" spans="1:2">
      <c r="A1859" s="98">
        <v>45054</v>
      </c>
      <c r="B1859" s="97">
        <v>2251.62</v>
      </c>
    </row>
    <row r="1860" spans="1:2">
      <c r="A1860" s="98">
        <v>45055</v>
      </c>
      <c r="B1860" s="97">
        <v>2247.3200000000002</v>
      </c>
    </row>
    <row r="1861" spans="1:2">
      <c r="A1861" s="98">
        <v>45056</v>
      </c>
      <c r="B1861" s="97">
        <v>2243.27</v>
      </c>
    </row>
    <row r="1862" spans="1:2">
      <c r="A1862" s="98">
        <v>45057</v>
      </c>
      <c r="B1862" s="97">
        <v>2245.1</v>
      </c>
    </row>
    <row r="1863" spans="1:2">
      <c r="A1863" s="98">
        <v>45058</v>
      </c>
      <c r="B1863" s="97">
        <v>2256.33</v>
      </c>
    </row>
    <row r="1864" spans="1:2">
      <c r="A1864" s="98">
        <v>45061</v>
      </c>
      <c r="B1864" s="97">
        <v>2257.9499999999998</v>
      </c>
    </row>
    <row r="1865" spans="1:2">
      <c r="A1865" s="98">
        <v>45062</v>
      </c>
      <c r="B1865" s="97">
        <v>2247.4499999999998</v>
      </c>
    </row>
    <row r="1866" spans="1:2">
      <c r="A1866" s="98">
        <v>45063</v>
      </c>
      <c r="B1866" s="97">
        <v>2261.13</v>
      </c>
    </row>
    <row r="1867" spans="1:2">
      <c r="A1867" s="98">
        <v>45064</v>
      </c>
      <c r="B1867" s="97">
        <v>2285.85</v>
      </c>
    </row>
    <row r="1868" spans="1:2">
      <c r="A1868" s="98">
        <v>45065</v>
      </c>
      <c r="B1868" s="97">
        <v>2294.7199999999998</v>
      </c>
    </row>
    <row r="1869" spans="1:2">
      <c r="A1869" s="98">
        <v>45068</v>
      </c>
      <c r="B1869" s="97">
        <v>2293.9899999999998</v>
      </c>
    </row>
    <row r="1870" spans="1:2">
      <c r="A1870" s="98">
        <v>45069</v>
      </c>
      <c r="B1870" s="97">
        <v>2282.0500000000002</v>
      </c>
    </row>
    <row r="1871" spans="1:2">
      <c r="A1871" s="98">
        <v>45070</v>
      </c>
      <c r="B1871" s="97">
        <v>2249.27</v>
      </c>
    </row>
    <row r="1872" spans="1:2">
      <c r="A1872" s="98">
        <v>45071</v>
      </c>
      <c r="B1872" s="97">
        <v>2253.4699999999998</v>
      </c>
    </row>
    <row r="1873" spans="1:2">
      <c r="A1873" s="98">
        <v>45072</v>
      </c>
      <c r="B1873" s="97">
        <v>2281.5100000000002</v>
      </c>
    </row>
    <row r="1874" spans="1:2">
      <c r="A1874" s="98">
        <v>45075</v>
      </c>
      <c r="B1874" s="97">
        <v>2277.0500000000002</v>
      </c>
    </row>
    <row r="1875" spans="1:2">
      <c r="A1875" s="98">
        <v>45076</v>
      </c>
      <c r="B1875" s="97">
        <v>2263.42</v>
      </c>
    </row>
    <row r="1876" spans="1:2">
      <c r="A1876" s="98">
        <v>45077</v>
      </c>
      <c r="B1876" s="97">
        <v>2250.29</v>
      </c>
    </row>
    <row r="1877" spans="1:2">
      <c r="A1877" s="98">
        <v>45078</v>
      </c>
      <c r="B1877" s="97">
        <v>2260.7399999999998</v>
      </c>
    </row>
    <row r="1878" spans="1:2">
      <c r="A1878" s="98">
        <v>45079</v>
      </c>
      <c r="B1878" s="97">
        <v>2291.66</v>
      </c>
    </row>
    <row r="1879" spans="1:2">
      <c r="A1879" s="98">
        <v>45082</v>
      </c>
      <c r="B1879" s="97">
        <v>2282.6799999999998</v>
      </c>
    </row>
    <row r="1880" spans="1:2">
      <c r="A1880" s="98">
        <v>45083</v>
      </c>
      <c r="B1880" s="97">
        <v>2284.02</v>
      </c>
    </row>
    <row r="1881" spans="1:2">
      <c r="A1881" s="98">
        <v>45084</v>
      </c>
      <c r="B1881" s="97">
        <v>2276.36</v>
      </c>
    </row>
    <row r="1882" spans="1:2">
      <c r="A1882" s="98">
        <v>45085</v>
      </c>
      <c r="B1882" s="97">
        <v>2280.11</v>
      </c>
    </row>
    <row r="1883" spans="1:2">
      <c r="A1883" s="98">
        <v>45086</v>
      </c>
      <c r="B1883" s="97">
        <v>2277.5100000000002</v>
      </c>
    </row>
    <row r="1884" spans="1:2">
      <c r="A1884" s="98">
        <v>45089</v>
      </c>
      <c r="B1884" s="97">
        <v>2293.56</v>
      </c>
    </row>
    <row r="1885" spans="1:2">
      <c r="A1885" s="98">
        <v>45090</v>
      </c>
      <c r="B1885" s="97">
        <v>2298.9899999999998</v>
      </c>
    </row>
    <row r="1886" spans="1:2">
      <c r="A1886" s="98">
        <v>45091</v>
      </c>
      <c r="B1886" s="97">
        <v>2305.12</v>
      </c>
    </row>
    <row r="1887" spans="1:2">
      <c r="A1887" s="98">
        <v>45092</v>
      </c>
      <c r="B1887" s="97">
        <v>2305.85</v>
      </c>
    </row>
    <row r="1888" spans="1:2">
      <c r="A1888" s="98">
        <v>45093</v>
      </c>
      <c r="B1888" s="97">
        <v>2310.94</v>
      </c>
    </row>
    <row r="1889" spans="1:2">
      <c r="A1889" s="98">
        <v>45096</v>
      </c>
      <c r="B1889" s="97">
        <v>2303.7600000000002</v>
      </c>
    </row>
    <row r="1890" spans="1:2">
      <c r="A1890" s="98">
        <v>45097</v>
      </c>
      <c r="B1890" s="97">
        <v>2296.5700000000002</v>
      </c>
    </row>
    <row r="1891" spans="1:2">
      <c r="A1891" s="98">
        <v>45098</v>
      </c>
      <c r="B1891" s="97">
        <v>2282.6999999999998</v>
      </c>
    </row>
    <row r="1892" spans="1:2">
      <c r="A1892" s="98">
        <v>45099</v>
      </c>
      <c r="B1892" s="97">
        <v>2278.0500000000002</v>
      </c>
    </row>
    <row r="1893" spans="1:2">
      <c r="A1893" s="98">
        <v>45100</v>
      </c>
      <c r="B1893" s="97">
        <v>2269.42</v>
      </c>
    </row>
    <row r="1894" spans="1:2">
      <c r="A1894" s="98">
        <v>45103</v>
      </c>
      <c r="B1894" s="97">
        <v>2266.09</v>
      </c>
    </row>
    <row r="1895" spans="1:2">
      <c r="A1895" s="98">
        <v>45104</v>
      </c>
      <c r="B1895" s="97">
        <v>2282.75</v>
      </c>
    </row>
    <row r="1896" spans="1:2">
      <c r="A1896" s="98">
        <v>45105</v>
      </c>
      <c r="B1896" s="97">
        <v>2295.2600000000002</v>
      </c>
    </row>
    <row r="1897" spans="1:2">
      <c r="A1897" s="98">
        <v>45106</v>
      </c>
      <c r="B1897" s="97">
        <v>2304.92</v>
      </c>
    </row>
    <row r="1898" spans="1:2">
      <c r="A1898" s="98">
        <v>45107</v>
      </c>
      <c r="B1898" s="97">
        <v>2326.4299999999998</v>
      </c>
    </row>
    <row r="1899" spans="1:2">
      <c r="A1899" s="98">
        <v>45110</v>
      </c>
      <c r="B1899" s="97">
        <v>2327.46</v>
      </c>
    </row>
    <row r="1900" spans="1:2">
      <c r="A1900" s="98">
        <v>45111</v>
      </c>
      <c r="B1900" s="97">
        <v>2323.6799999999998</v>
      </c>
    </row>
    <row r="1901" spans="1:2">
      <c r="A1901" s="98">
        <v>45112</v>
      </c>
      <c r="B1901" s="97">
        <v>2312.48</v>
      </c>
    </row>
    <row r="1902" spans="1:2">
      <c r="A1902" s="98">
        <v>45113</v>
      </c>
      <c r="B1902" s="97">
        <v>2265.89</v>
      </c>
    </row>
    <row r="1903" spans="1:2">
      <c r="A1903" s="98">
        <v>45114</v>
      </c>
      <c r="B1903" s="97">
        <v>2260.44</v>
      </c>
    </row>
    <row r="1904" spans="1:2">
      <c r="A1904" s="98">
        <v>45117</v>
      </c>
      <c r="B1904" s="97">
        <v>2269.46</v>
      </c>
    </row>
    <row r="1905" spans="1:2">
      <c r="A1905" s="98">
        <v>45118</v>
      </c>
      <c r="B1905" s="97">
        <v>2287.7800000000002</v>
      </c>
    </row>
    <row r="1906" spans="1:2">
      <c r="A1906" s="98">
        <v>45119</v>
      </c>
      <c r="B1906" s="97">
        <v>2305.06</v>
      </c>
    </row>
    <row r="1907" spans="1:2">
      <c r="A1907" s="98">
        <v>45120</v>
      </c>
      <c r="B1907" s="97">
        <v>2313.1799999999998</v>
      </c>
    </row>
    <row r="1908" spans="1:2">
      <c r="A1908" s="98">
        <v>45121</v>
      </c>
      <c r="B1908" s="97">
        <v>2312.6</v>
      </c>
    </row>
    <row r="1909" spans="1:2">
      <c r="A1909" s="98">
        <v>45124</v>
      </c>
      <c r="B1909" s="97">
        <v>2310.71</v>
      </c>
    </row>
    <row r="1910" spans="1:2">
      <c r="A1910" s="98">
        <v>45125</v>
      </c>
      <c r="B1910" s="97">
        <v>2321.87</v>
      </c>
    </row>
    <row r="1911" spans="1:2">
      <c r="A1911" s="98">
        <v>45126</v>
      </c>
      <c r="B1911" s="97">
        <v>2326.3000000000002</v>
      </c>
    </row>
    <row r="1912" spans="1:2">
      <c r="A1912" s="98">
        <v>45127</v>
      </c>
      <c r="B1912" s="97">
        <v>2337.9299999999998</v>
      </c>
    </row>
    <row r="1913" spans="1:2">
      <c r="A1913" s="98">
        <v>45128</v>
      </c>
      <c r="B1913" s="97">
        <v>2344.92</v>
      </c>
    </row>
    <row r="1914" spans="1:2">
      <c r="A1914" s="98">
        <v>45131</v>
      </c>
      <c r="B1914" s="97">
        <v>2349.87</v>
      </c>
    </row>
    <row r="1915" spans="1:2">
      <c r="A1915" s="98">
        <v>45132</v>
      </c>
      <c r="B1915" s="97">
        <v>2354.73</v>
      </c>
    </row>
    <row r="1916" spans="1:2">
      <c r="A1916" s="98">
        <v>45133</v>
      </c>
      <c r="B1916" s="97">
        <v>2345.6799999999998</v>
      </c>
    </row>
    <row r="1917" spans="1:2">
      <c r="A1917" s="98">
        <v>45134</v>
      </c>
      <c r="B1917" s="97">
        <v>2382.66</v>
      </c>
    </row>
    <row r="1918" spans="1:2">
      <c r="A1918" s="98">
        <v>45135</v>
      </c>
      <c r="B1918" s="97">
        <v>2374.56</v>
      </c>
    </row>
    <row r="1919" spans="1:2">
      <c r="A1919" s="98">
        <v>45138</v>
      </c>
      <c r="B1919" s="97">
        <v>2374.29</v>
      </c>
    </row>
    <row r="1920" spans="1:2">
      <c r="A1920" s="98">
        <v>45139</v>
      </c>
      <c r="B1920" s="97">
        <v>2358.3000000000002</v>
      </c>
    </row>
    <row r="1921" spans="1:2">
      <c r="A1921" s="98">
        <v>45140</v>
      </c>
      <c r="B1921" s="97">
        <v>2328.9</v>
      </c>
    </row>
    <row r="1922" spans="1:2">
      <c r="A1922" s="98">
        <v>45141</v>
      </c>
      <c r="B1922" s="97">
        <v>2318.2800000000002</v>
      </c>
    </row>
    <row r="1923" spans="1:2">
      <c r="A1923" s="98">
        <v>45142</v>
      </c>
      <c r="B1923" s="97">
        <v>2320.4299999999998</v>
      </c>
    </row>
    <row r="1924" spans="1:2">
      <c r="A1924" s="98">
        <v>45145</v>
      </c>
      <c r="B1924" s="97">
        <v>2335.21</v>
      </c>
    </row>
    <row r="1925" spans="1:2">
      <c r="A1925" s="98">
        <v>45146</v>
      </c>
      <c r="B1925" s="97">
        <v>2315.12</v>
      </c>
    </row>
    <row r="1926" spans="1:2">
      <c r="A1926" s="98">
        <v>45147</v>
      </c>
      <c r="B1926" s="97">
        <v>2319.41</v>
      </c>
    </row>
    <row r="1927" spans="1:2">
      <c r="A1927" s="98">
        <v>45148</v>
      </c>
      <c r="B1927" s="97">
        <v>2339.08</v>
      </c>
    </row>
    <row r="1928" spans="1:2">
      <c r="A1928" s="98">
        <v>45149</v>
      </c>
      <c r="B1928" s="97">
        <v>2329.52</v>
      </c>
    </row>
    <row r="1929" spans="1:2">
      <c r="A1929" s="98">
        <v>45152</v>
      </c>
      <c r="B1929" s="97">
        <v>2343.87</v>
      </c>
    </row>
    <row r="1930" spans="1:2">
      <c r="A1930" s="98">
        <v>45153</v>
      </c>
      <c r="B1930" s="97">
        <v>2326.58</v>
      </c>
    </row>
    <row r="1931" spans="1:2">
      <c r="A1931" s="98">
        <v>45154</v>
      </c>
      <c r="B1931" s="97">
        <v>2319.3000000000002</v>
      </c>
    </row>
    <row r="1932" spans="1:2">
      <c r="A1932" s="98">
        <v>45155</v>
      </c>
      <c r="B1932" s="97">
        <v>2307.44</v>
      </c>
    </row>
    <row r="1933" spans="1:2">
      <c r="A1933" s="98">
        <v>45156</v>
      </c>
      <c r="B1933" s="97">
        <v>2302.84</v>
      </c>
    </row>
    <row r="1934" spans="1:2">
      <c r="A1934" s="98">
        <v>45159</v>
      </c>
      <c r="B1934" s="97">
        <v>2309.1799999999998</v>
      </c>
    </row>
    <row r="1935" spans="1:2">
      <c r="A1935" s="98">
        <v>45160</v>
      </c>
      <c r="B1935" s="97">
        <v>2315.92</v>
      </c>
    </row>
    <row r="1936" spans="1:2">
      <c r="A1936" s="98">
        <v>45161</v>
      </c>
      <c r="B1936" s="97">
        <v>2320.5500000000002</v>
      </c>
    </row>
    <row r="1937" spans="1:2">
      <c r="A1937" s="98">
        <v>45162</v>
      </c>
      <c r="B1937" s="97">
        <v>2306.7199999999998</v>
      </c>
    </row>
    <row r="1938" spans="1:2">
      <c r="A1938" s="98">
        <v>45163</v>
      </c>
      <c r="B1938" s="97">
        <v>2316.58</v>
      </c>
    </row>
    <row r="1939" spans="1:2">
      <c r="A1939" s="98">
        <v>45166</v>
      </c>
      <c r="B1939" s="97">
        <v>2339.4899999999998</v>
      </c>
    </row>
    <row r="1940" spans="1:2">
      <c r="A1940" s="98">
        <v>45167</v>
      </c>
      <c r="B1940" s="97">
        <v>2363.04</v>
      </c>
    </row>
    <row r="1941" spans="1:2">
      <c r="A1941" s="98">
        <v>45168</v>
      </c>
      <c r="B1941" s="97">
        <v>2356.44</v>
      </c>
    </row>
    <row r="1942" spans="1:2">
      <c r="A1942" s="98">
        <v>45169</v>
      </c>
      <c r="B1942" s="97">
        <v>2351.65</v>
      </c>
    </row>
    <row r="1943" spans="1:2">
      <c r="A1943" s="98">
        <v>45170</v>
      </c>
      <c r="B1943" s="97">
        <v>2352.4899999999998</v>
      </c>
    </row>
    <row r="1944" spans="1:2">
      <c r="A1944" s="98">
        <v>45173</v>
      </c>
      <c r="B1944" s="97">
        <v>2349.21</v>
      </c>
    </row>
    <row r="1945" spans="1:2">
      <c r="A1945" s="98">
        <v>45174</v>
      </c>
      <c r="B1945" s="97">
        <v>2338.79</v>
      </c>
    </row>
    <row r="1946" spans="1:2">
      <c r="A1946" s="98">
        <v>45175</v>
      </c>
      <c r="B1946" s="97">
        <v>2322.1999999999998</v>
      </c>
    </row>
    <row r="1947" spans="1:2">
      <c r="A1947" s="98">
        <v>45176</v>
      </c>
      <c r="B1947" s="97">
        <v>2321.12</v>
      </c>
    </row>
    <row r="1948" spans="1:2">
      <c r="A1948" s="98">
        <v>45177</v>
      </c>
      <c r="B1948" s="97">
        <v>2332.17</v>
      </c>
    </row>
    <row r="1949" spans="1:2">
      <c r="A1949" s="98">
        <v>45180</v>
      </c>
      <c r="B1949" s="97">
        <v>2342.7199999999998</v>
      </c>
    </row>
    <row r="1950" spans="1:2">
      <c r="A1950" s="98">
        <v>45181</v>
      </c>
      <c r="B1950" s="97">
        <v>2339.79</v>
      </c>
    </row>
    <row r="1951" spans="1:2">
      <c r="A1951" s="98">
        <v>45182</v>
      </c>
      <c r="B1951" s="97">
        <v>2335.08</v>
      </c>
    </row>
    <row r="1952" spans="1:2">
      <c r="A1952" s="98">
        <v>45183</v>
      </c>
      <c r="B1952" s="97">
        <v>2360.9</v>
      </c>
    </row>
    <row r="1953" spans="1:2">
      <c r="A1953" s="98">
        <v>45184</v>
      </c>
      <c r="B1953" s="97">
        <v>2354.6999999999998</v>
      </c>
    </row>
    <row r="1954" spans="1:2">
      <c r="A1954" s="98">
        <v>45187</v>
      </c>
      <c r="B1954" s="97">
        <v>2334.39</v>
      </c>
    </row>
    <row r="1955" spans="1:2">
      <c r="A1955" s="98">
        <v>45188</v>
      </c>
      <c r="B1955" s="97">
        <v>2331.56</v>
      </c>
    </row>
    <row r="1956" spans="1:2">
      <c r="A1956" s="98">
        <v>45189</v>
      </c>
      <c r="B1956" s="97">
        <v>2340.41</v>
      </c>
    </row>
    <row r="1957" spans="1:2">
      <c r="A1957" s="98">
        <v>45190</v>
      </c>
      <c r="B1957" s="97">
        <v>2321.85</v>
      </c>
    </row>
    <row r="1958" spans="1:2">
      <c r="A1958" s="98">
        <v>45191</v>
      </c>
      <c r="B1958" s="97">
        <v>2312.79</v>
      </c>
    </row>
    <row r="1959" spans="1:2">
      <c r="A1959" s="98">
        <v>45194</v>
      </c>
      <c r="B1959" s="97">
        <v>2303.5300000000002</v>
      </c>
    </row>
    <row r="1960" spans="1:2">
      <c r="A1960" s="98">
        <v>45195</v>
      </c>
      <c r="B1960" s="97">
        <v>2284</v>
      </c>
    </row>
    <row r="1961" spans="1:2">
      <c r="A1961" s="98">
        <v>45196</v>
      </c>
      <c r="B1961" s="97">
        <v>2277.79</v>
      </c>
    </row>
    <row r="1962" spans="1:2">
      <c r="A1962" s="98">
        <v>45197</v>
      </c>
      <c r="B1962" s="97">
        <v>2292.59</v>
      </c>
    </row>
    <row r="1963" spans="1:2">
      <c r="A1963" s="98">
        <v>45198</v>
      </c>
      <c r="B1963" s="97">
        <v>2288.06</v>
      </c>
    </row>
    <row r="1964" spans="1:2">
      <c r="A1964" s="98">
        <v>45201</v>
      </c>
      <c r="B1964" s="97">
        <v>2285.42</v>
      </c>
    </row>
    <row r="1965" spans="1:2">
      <c r="A1965" s="98">
        <v>45202</v>
      </c>
      <c r="B1965" s="97">
        <v>2260.61</v>
      </c>
    </row>
    <row r="1966" spans="1:2">
      <c r="A1966" s="98">
        <v>45203</v>
      </c>
      <c r="B1966" s="97">
        <v>2264.09</v>
      </c>
    </row>
    <row r="1967" spans="1:2">
      <c r="A1967" s="98">
        <v>45204</v>
      </c>
      <c r="B1967" s="97">
        <v>2266.58</v>
      </c>
    </row>
    <row r="1968" spans="1:2">
      <c r="A1968" s="98">
        <v>45205</v>
      </c>
      <c r="B1968" s="97">
        <v>2293.98</v>
      </c>
    </row>
    <row r="1969" spans="1:2">
      <c r="A1969" s="98">
        <v>45208</v>
      </c>
      <c r="B1969" s="97">
        <v>2282.38</v>
      </c>
    </row>
    <row r="1970" spans="1:2">
      <c r="A1970" s="98">
        <v>45209</v>
      </c>
      <c r="B1970" s="97">
        <v>2308.73</v>
      </c>
    </row>
    <row r="1971" spans="1:2">
      <c r="A1971" s="98">
        <v>45210</v>
      </c>
      <c r="B1971" s="97">
        <v>2309.63</v>
      </c>
    </row>
    <row r="1972" spans="1:2">
      <c r="A1972" s="98">
        <v>45211</v>
      </c>
      <c r="B1972" s="97">
        <v>2309.36</v>
      </c>
    </row>
    <row r="1973" spans="1:2">
      <c r="A1973" s="98">
        <v>45212</v>
      </c>
      <c r="B1973" s="97">
        <v>2287.58</v>
      </c>
    </row>
    <row r="1974" spans="1:2">
      <c r="A1974" s="98">
        <v>45215</v>
      </c>
      <c r="B1974" s="97">
        <v>2296.27</v>
      </c>
    </row>
    <row r="1975" spans="1:2">
      <c r="A1975" s="98">
        <v>45216</v>
      </c>
      <c r="B1975" s="97">
        <v>2293.41</v>
      </c>
    </row>
    <row r="1976" spans="1:2">
      <c r="A1976" s="98">
        <v>45217</v>
      </c>
      <c r="B1976" s="97">
        <v>2274.9499999999998</v>
      </c>
    </row>
    <row r="1977" spans="1:2">
      <c r="A1977" s="98">
        <v>45218</v>
      </c>
      <c r="B1977" s="97">
        <v>2257.8000000000002</v>
      </c>
    </row>
    <row r="1978" spans="1:2">
      <c r="A1978" s="98">
        <v>45219</v>
      </c>
      <c r="B1978" s="97">
        <v>2224.8200000000002</v>
      </c>
    </row>
    <row r="1979" spans="1:2">
      <c r="A1979" s="98">
        <v>45222</v>
      </c>
      <c r="B1979" s="97">
        <v>2219.54</v>
      </c>
    </row>
    <row r="1980" spans="1:2">
      <c r="A1980" s="98">
        <v>45223</v>
      </c>
      <c r="B1980" s="97">
        <v>2227.4899999999998</v>
      </c>
    </row>
    <row r="1981" spans="1:2">
      <c r="A1981" s="98">
        <v>45224</v>
      </c>
      <c r="B1981" s="97">
        <v>2227</v>
      </c>
    </row>
    <row r="1982" spans="1:2">
      <c r="A1982" s="98">
        <v>45225</v>
      </c>
      <c r="B1982" s="97">
        <v>2211.5500000000002</v>
      </c>
    </row>
    <row r="1983" spans="1:2">
      <c r="A1983" s="98">
        <v>45226</v>
      </c>
      <c r="B1983" s="97">
        <v>2187.39</v>
      </c>
    </row>
    <row r="1984" spans="1:2">
      <c r="A1984" s="98">
        <v>45229</v>
      </c>
      <c r="B1984" s="97">
        <v>2203.36</v>
      </c>
    </row>
    <row r="1985" spans="1:2">
      <c r="A1985" s="98">
        <v>45230</v>
      </c>
      <c r="B1985" s="97">
        <v>2215.41</v>
      </c>
    </row>
    <row r="1986" spans="1:2">
      <c r="A1986" s="98">
        <v>45231</v>
      </c>
      <c r="B1986" s="97">
        <v>2234.73</v>
      </c>
    </row>
    <row r="1987" spans="1:2">
      <c r="A1987" s="98">
        <v>45232</v>
      </c>
      <c r="B1987" s="97">
        <v>2264.71</v>
      </c>
    </row>
    <row r="1988" spans="1:2">
      <c r="A1988" s="98">
        <v>45233</v>
      </c>
      <c r="B1988" s="97">
        <v>2270.56</v>
      </c>
    </row>
    <row r="1989" spans="1:2">
      <c r="A1989" s="98">
        <v>45236</v>
      </c>
      <c r="B1989" s="97">
        <v>2264.44</v>
      </c>
    </row>
    <row r="1990" spans="1:2">
      <c r="A1990" s="98">
        <v>45237</v>
      </c>
      <c r="B1990" s="97">
        <v>2269.0100000000002</v>
      </c>
    </row>
    <row r="1991" spans="1:2">
      <c r="A1991" s="98">
        <v>45238</v>
      </c>
      <c r="B1991" s="97">
        <v>2271.12</v>
      </c>
    </row>
    <row r="1992" spans="1:2">
      <c r="A1992" s="98">
        <v>45239</v>
      </c>
      <c r="B1992" s="97">
        <v>2275.64</v>
      </c>
    </row>
    <row r="1993" spans="1:2">
      <c r="A1993" s="98">
        <v>45240</v>
      </c>
      <c r="B1993" s="97">
        <v>2274.88</v>
      </c>
    </row>
    <row r="1994" spans="1:2">
      <c r="A1994" s="98">
        <v>45243</v>
      </c>
      <c r="B1994" s="97">
        <v>2282.4899999999998</v>
      </c>
    </row>
    <row r="1995" spans="1:2">
      <c r="A1995" s="98">
        <v>45244</v>
      </c>
      <c r="B1995" s="97">
        <v>2303.69</v>
      </c>
    </row>
    <row r="1996" spans="1:2">
      <c r="A1996" s="98">
        <v>45245</v>
      </c>
      <c r="B1996" s="97">
        <v>2314.88</v>
      </c>
    </row>
    <row r="1997" spans="1:2">
      <c r="A1997" s="98">
        <v>45246</v>
      </c>
      <c r="B1997" s="97">
        <v>2310.96</v>
      </c>
    </row>
    <row r="1998" spans="1:2">
      <c r="A1998" s="98">
        <v>45247</v>
      </c>
      <c r="B1998" s="97">
        <v>2324.41</v>
      </c>
    </row>
    <row r="1999" spans="1:2">
      <c r="A1999" s="98">
        <v>45250</v>
      </c>
      <c r="B1999" s="97">
        <v>2328.0100000000002</v>
      </c>
    </row>
    <row r="2000" spans="1:2">
      <c r="A2000" s="98">
        <v>45251</v>
      </c>
      <c r="B2000" s="97">
        <v>2320.54</v>
      </c>
    </row>
    <row r="2001" spans="1:2">
      <c r="A2001" s="98">
        <v>45252</v>
      </c>
      <c r="B2001" s="97">
        <v>2339.0500000000002</v>
      </c>
    </row>
    <row r="2002" spans="1:2">
      <c r="A2002" s="98">
        <v>45253</v>
      </c>
      <c r="B2002" s="97">
        <v>2340.27</v>
      </c>
    </row>
    <row r="2003" spans="1:2">
      <c r="A2003" s="98">
        <v>45254</v>
      </c>
      <c r="B2003" s="97">
        <v>2344.11</v>
      </c>
    </row>
    <row r="2004" spans="1:2">
      <c r="A2004" s="98">
        <v>45257</v>
      </c>
      <c r="B2004" s="97">
        <v>2338.2199999999998</v>
      </c>
    </row>
    <row r="2005" spans="1:2">
      <c r="A2005" s="98">
        <v>45258</v>
      </c>
      <c r="B2005" s="97">
        <v>2337.9299999999998</v>
      </c>
    </row>
    <row r="2006" spans="1:2">
      <c r="A2006" s="98">
        <v>45259</v>
      </c>
      <c r="B2006" s="97">
        <v>2351.89</v>
      </c>
    </row>
    <row r="2007" spans="1:2">
      <c r="A2007" s="98">
        <v>45260</v>
      </c>
      <c r="B2007" s="97">
        <v>2373.6799999999998</v>
      </c>
    </row>
    <row r="2008" spans="1:2">
      <c r="A2008" s="98">
        <v>45261</v>
      </c>
      <c r="B2008" s="97">
        <v>2395.85</v>
      </c>
    </row>
    <row r="2009" spans="1:2">
      <c r="A2009" s="98">
        <v>45264</v>
      </c>
      <c r="B2009" s="97">
        <v>2397.58</v>
      </c>
    </row>
    <row r="2010" spans="1:2">
      <c r="A2010" s="98">
        <v>45265</v>
      </c>
      <c r="B2010" s="97">
        <v>2411.2199999999998</v>
      </c>
    </row>
    <row r="2011" spans="1:2">
      <c r="A2011" s="98">
        <v>45266</v>
      </c>
      <c r="B2011" s="97">
        <v>2419.0700000000002</v>
      </c>
    </row>
    <row r="2012" spans="1:2">
      <c r="A2012" s="98">
        <v>45267</v>
      </c>
      <c r="B2012" s="97">
        <v>2419.7199999999998</v>
      </c>
    </row>
    <row r="2013" spans="1:2">
      <c r="A2013" s="98">
        <v>45268</v>
      </c>
      <c r="B2013" s="97">
        <v>2439.1999999999998</v>
      </c>
    </row>
    <row r="2014" spans="1:2">
      <c r="A2014" s="98">
        <v>45271</v>
      </c>
      <c r="B2014" s="97">
        <v>2449.73</v>
      </c>
    </row>
    <row r="2015" spans="1:2">
      <c r="A2015" s="98">
        <v>45272</v>
      </c>
      <c r="B2015" s="97">
        <v>2446.4499999999998</v>
      </c>
    </row>
    <row r="2016" spans="1:2">
      <c r="A2016" s="98">
        <v>45273</v>
      </c>
      <c r="B2016" s="97">
        <v>2446.0700000000002</v>
      </c>
    </row>
    <row r="2017" spans="1:2">
      <c r="A2017" s="98">
        <v>45274</v>
      </c>
      <c r="B2017" s="97">
        <v>2435.25</v>
      </c>
    </row>
    <row r="2018" spans="1:2">
      <c r="A2018" s="98">
        <v>45275</v>
      </c>
      <c r="B2018" s="97">
        <v>2441.9499999999998</v>
      </c>
    </row>
    <row r="2019" spans="1:2">
      <c r="A2019" s="98">
        <v>45278</v>
      </c>
      <c r="B2019" s="97">
        <v>2435.1999999999998</v>
      </c>
    </row>
    <row r="2020" spans="1:2">
      <c r="A2020" s="98">
        <v>45279</v>
      </c>
      <c r="B2020" s="97">
        <v>2439.13</v>
      </c>
    </row>
    <row r="2021" spans="1:2">
      <c r="A2021" s="98">
        <v>45280</v>
      </c>
      <c r="B2021" s="97">
        <v>2435.9699999999998</v>
      </c>
    </row>
    <row r="2022" spans="1:2">
      <c r="A2022" s="98">
        <v>45281</v>
      </c>
      <c r="B2022" s="97">
        <v>2438.59</v>
      </c>
    </row>
    <row r="2023" spans="1:2">
      <c r="A2023" s="98">
        <v>45282</v>
      </c>
      <c r="B2023" s="97">
        <v>2442.41</v>
      </c>
    </row>
    <row r="2024" spans="1:2">
      <c r="A2024" s="98">
        <v>45286</v>
      </c>
      <c r="B2024" s="97">
        <v>2441.79</v>
      </c>
    </row>
    <row r="2025" spans="1:2">
      <c r="A2025" s="98">
        <v>45287</v>
      </c>
      <c r="B2025" s="97">
        <v>2441.17</v>
      </c>
    </row>
    <row r="2026" spans="1:2">
      <c r="A2026" s="98">
        <v>45288</v>
      </c>
      <c r="B2026" s="97">
        <v>2434.27</v>
      </c>
    </row>
    <row r="2027" spans="1:2">
      <c r="A2027" s="98">
        <v>45289</v>
      </c>
      <c r="B2027" s="97">
        <v>2440.36</v>
      </c>
    </row>
    <row r="2028" spans="1:2">
      <c r="A2028" s="98">
        <v>45293</v>
      </c>
      <c r="B2028" s="97">
        <v>2456.1799999999998</v>
      </c>
    </row>
    <row r="2029" spans="1:2">
      <c r="A2029" s="98">
        <v>45294</v>
      </c>
      <c r="B2029" s="97">
        <v>2434.4899999999998</v>
      </c>
    </row>
    <row r="2030" spans="1:2">
      <c r="A2030" s="98">
        <v>45295</v>
      </c>
      <c r="B2030" s="97">
        <v>2442.23</v>
      </c>
    </row>
    <row r="2031" spans="1:2">
      <c r="A2031" s="98">
        <v>45296</v>
      </c>
      <c r="B2031" s="97">
        <v>2441.7800000000002</v>
      </c>
    </row>
    <row r="2032" spans="1:2">
      <c r="A2032" s="98">
        <v>45299</v>
      </c>
      <c r="B2032" s="97">
        <v>2461.8000000000002</v>
      </c>
    </row>
    <row r="2033" spans="1:2">
      <c r="A2033" s="98">
        <v>45300</v>
      </c>
      <c r="B2033" s="97">
        <v>2454.6</v>
      </c>
    </row>
    <row r="2034" spans="1:2">
      <c r="A2034" s="98">
        <v>45301</v>
      </c>
      <c r="B2034" s="97">
        <v>2455.61</v>
      </c>
    </row>
    <row r="2035" spans="1:2">
      <c r="A2035" s="98">
        <v>45302</v>
      </c>
      <c r="B2035" s="97">
        <v>2441.9499999999998</v>
      </c>
    </row>
    <row r="2036" spans="1:2">
      <c r="A2036" s="98">
        <v>45303</v>
      </c>
      <c r="B2036" s="97">
        <v>2450.58</v>
      </c>
    </row>
    <row r="2037" spans="1:2">
      <c r="A2037" s="98">
        <v>45306</v>
      </c>
      <c r="B2037" s="97">
        <v>2449.2199999999998</v>
      </c>
    </row>
    <row r="2038" spans="1:2">
      <c r="A2038" s="98">
        <v>45307</v>
      </c>
      <c r="B2038" s="97">
        <v>2450.16</v>
      </c>
    </row>
    <row r="2039" spans="1:2">
      <c r="A2039" s="98">
        <v>45308</v>
      </c>
      <c r="B2039" s="97">
        <v>2440.11</v>
      </c>
    </row>
    <row r="2040" spans="1:2">
      <c r="A2040" s="98">
        <v>45309</v>
      </c>
      <c r="B2040" s="97">
        <v>2460.48</v>
      </c>
    </row>
    <row r="2041" spans="1:2">
      <c r="A2041" s="98">
        <v>45310</v>
      </c>
      <c r="B2041" s="97">
        <v>2465.94</v>
      </c>
    </row>
    <row r="2042" spans="1:2">
      <c r="A2042" s="98">
        <v>45313</v>
      </c>
      <c r="B2042" s="97">
        <v>2486.71</v>
      </c>
    </row>
    <row r="2043" spans="1:2">
      <c r="A2043" s="98">
        <v>45314</v>
      </c>
      <c r="B2043" s="97">
        <v>2483.92</v>
      </c>
    </row>
    <row r="2044" spans="1:2">
      <c r="A2044" s="98">
        <v>45315</v>
      </c>
      <c r="B2044" s="97">
        <v>2504.21</v>
      </c>
    </row>
    <row r="2045" spans="1:2">
      <c r="A2045" s="98">
        <v>45316</v>
      </c>
      <c r="B2045" s="97">
        <v>2515.04</v>
      </c>
    </row>
    <row r="2046" spans="1:2">
      <c r="A2046" s="98">
        <v>45317</v>
      </c>
      <c r="B2046" s="97">
        <v>2529.66</v>
      </c>
    </row>
    <row r="2047" spans="1:2">
      <c r="A2047" s="98">
        <v>45320</v>
      </c>
      <c r="B2047" s="97">
        <v>2537.58</v>
      </c>
    </row>
    <row r="2048" spans="1:2">
      <c r="A2048" s="98">
        <v>45321</v>
      </c>
      <c r="B2048" s="97">
        <v>2550.81</v>
      </c>
    </row>
    <row r="2049" spans="1:2">
      <c r="A2049" s="98">
        <v>45322</v>
      </c>
      <c r="B2049" s="97">
        <v>2533.6799999999998</v>
      </c>
    </row>
    <row r="2050" spans="1:2">
      <c r="A2050" s="98">
        <v>45323</v>
      </c>
      <c r="B2050" s="97">
        <v>2528.81</v>
      </c>
    </row>
    <row r="2051" spans="1:2">
      <c r="A2051" s="98">
        <v>45324</v>
      </c>
      <c r="B2051" s="97">
        <v>2538.3200000000002</v>
      </c>
    </row>
    <row r="2052" spans="1:2">
      <c r="A2052" s="98">
        <v>45327</v>
      </c>
      <c r="B2052" s="97">
        <v>2534.4899999999998</v>
      </c>
    </row>
    <row r="2053" spans="1:2">
      <c r="A2053" s="98">
        <v>45328</v>
      </c>
      <c r="B2053" s="97">
        <v>2540.38</v>
      </c>
    </row>
    <row r="2054" spans="1:2">
      <c r="A2054" s="98">
        <v>45329</v>
      </c>
      <c r="B2054" s="97">
        <v>2524.04</v>
      </c>
    </row>
    <row r="2055" spans="1:2">
      <c r="A2055" s="98">
        <v>45330</v>
      </c>
      <c r="B2055" s="97">
        <v>2534</v>
      </c>
    </row>
    <row r="2056" spans="1:2">
      <c r="A2056" s="98">
        <v>45331</v>
      </c>
      <c r="B2056" s="97">
        <v>2534.0700000000002</v>
      </c>
    </row>
    <row r="2057" spans="1:2">
      <c r="A2057" s="98">
        <v>45334</v>
      </c>
      <c r="B2057" s="97">
        <v>2547.65</v>
      </c>
    </row>
    <row r="2058" spans="1:2">
      <c r="A2058" s="98">
        <v>45335</v>
      </c>
      <c r="B2058" s="97">
        <v>2525.14</v>
      </c>
    </row>
    <row r="2059" spans="1:2">
      <c r="A2059" s="98">
        <v>45336</v>
      </c>
      <c r="B2059" s="97">
        <v>2542.42</v>
      </c>
    </row>
    <row r="2060" spans="1:2">
      <c r="A2060" s="98">
        <v>45337</v>
      </c>
      <c r="B2060" s="97">
        <v>2550.15</v>
      </c>
    </row>
    <row r="2061" spans="1:2">
      <c r="A2061" s="98">
        <v>45338</v>
      </c>
      <c r="B2061" s="97">
        <v>2549.3200000000002</v>
      </c>
    </row>
    <row r="2062" spans="1:2">
      <c r="A2062" s="98">
        <v>45341</v>
      </c>
      <c r="B2062" s="97">
        <v>2553.88</v>
      </c>
    </row>
    <row r="2063" spans="1:2">
      <c r="A2063" s="98">
        <v>45342</v>
      </c>
      <c r="B2063" s="97">
        <v>2549.0300000000002</v>
      </c>
    </row>
    <row r="2064" spans="1:2">
      <c r="A2064" s="98">
        <v>45343</v>
      </c>
      <c r="B2064" s="97">
        <v>2559.64</v>
      </c>
    </row>
    <row r="2065" spans="1:2">
      <c r="A2065" s="98">
        <v>45344</v>
      </c>
      <c r="B2065" s="97">
        <v>2590.23</v>
      </c>
    </row>
    <row r="2066" spans="1:2">
      <c r="A2066" s="98">
        <v>45345</v>
      </c>
      <c r="B2066" s="97">
        <v>2601.39</v>
      </c>
    </row>
    <row r="2067" spans="1:2">
      <c r="A2067" s="98">
        <v>45348</v>
      </c>
      <c r="B2067" s="97">
        <v>2589.71</v>
      </c>
    </row>
    <row r="2068" spans="1:2">
      <c r="A2068" s="98">
        <v>45349</v>
      </c>
      <c r="B2068" s="97">
        <v>2595.59</v>
      </c>
    </row>
    <row r="2069" spans="1:2">
      <c r="A2069" s="98">
        <v>45350</v>
      </c>
      <c r="B2069" s="97">
        <v>2592.89</v>
      </c>
    </row>
    <row r="2070" spans="1:2">
      <c r="A2070" s="98">
        <v>45351</v>
      </c>
      <c r="B2070" s="97">
        <v>2599.31</v>
      </c>
    </row>
    <row r="2071" spans="1:2">
      <c r="A2071" s="98">
        <v>45352</v>
      </c>
      <c r="B2071" s="97">
        <v>2609.6799999999998</v>
      </c>
    </row>
    <row r="2072" spans="1:2">
      <c r="A2072" s="98">
        <v>45355</v>
      </c>
      <c r="B2072" s="97">
        <v>2603.19</v>
      </c>
    </row>
    <row r="2073" spans="1:2">
      <c r="A2073" s="98">
        <v>45356</v>
      </c>
      <c r="B2073" s="97">
        <v>2592.4</v>
      </c>
    </row>
    <row r="2074" spans="1:2">
      <c r="A2074" s="98">
        <v>45357</v>
      </c>
      <c r="B2074" s="97">
        <v>2598.94</v>
      </c>
    </row>
    <row r="2075" spans="1:2">
      <c r="A2075" s="98">
        <v>45358</v>
      </c>
      <c r="B2075" s="97">
        <v>2613.79</v>
      </c>
    </row>
    <row r="2076" spans="1:2">
      <c r="A2076" s="98">
        <v>45359</v>
      </c>
      <c r="B2076" s="97">
        <v>2612.27</v>
      </c>
    </row>
    <row r="2077" spans="1:2">
      <c r="A2077" s="98">
        <v>45362</v>
      </c>
      <c r="B2077" s="97">
        <v>2616.88</v>
      </c>
    </row>
    <row r="2078" spans="1:2">
      <c r="A2078" s="98">
        <v>45363</v>
      </c>
      <c r="B2078" s="97">
        <v>2644.56</v>
      </c>
    </row>
    <row r="2079" spans="1:2">
      <c r="A2079" s="98">
        <v>45364</v>
      </c>
      <c r="B2079" s="97">
        <v>2648.87</v>
      </c>
    </row>
    <row r="2080" spans="1:2">
      <c r="A2080" s="98">
        <v>45365</v>
      </c>
      <c r="B2080" s="97">
        <v>2650.7</v>
      </c>
    </row>
    <row r="2081" spans="1:2">
      <c r="A2081" s="98">
        <v>45366</v>
      </c>
      <c r="B2081" s="97">
        <v>2638.76</v>
      </c>
    </row>
    <row r="2082" spans="1:2">
      <c r="A2082" s="98">
        <v>45369</v>
      </c>
      <c r="B2082" s="97">
        <v>2641.9</v>
      </c>
    </row>
    <row r="2083" spans="1:2">
      <c r="A2083" s="98">
        <v>45370</v>
      </c>
      <c r="B2083" s="97">
        <v>2655.62</v>
      </c>
    </row>
    <row r="2084" spans="1:2">
      <c r="A2084" s="98">
        <v>45371</v>
      </c>
      <c r="B2084" s="97">
        <v>2653.01</v>
      </c>
    </row>
    <row r="2085" spans="1:2">
      <c r="A2085" s="98">
        <v>45372</v>
      </c>
      <c r="B2085" s="97">
        <v>2673.36</v>
      </c>
    </row>
    <row r="2086" spans="1:2">
      <c r="A2086" s="98">
        <v>45373</v>
      </c>
      <c r="B2086" s="97">
        <v>2672.63</v>
      </c>
    </row>
    <row r="2087" spans="1:2">
      <c r="A2087" s="98">
        <v>45376</v>
      </c>
      <c r="B2087" s="97">
        <v>2667.85</v>
      </c>
    </row>
    <row r="2088" spans="1:2">
      <c r="A2088" s="98">
        <v>45377</v>
      </c>
      <c r="B2088" s="97">
        <v>2681.31</v>
      </c>
    </row>
    <row r="2089" spans="1:2">
      <c r="A2089" s="98">
        <v>45378</v>
      </c>
      <c r="B2089" s="97">
        <v>2699.75</v>
      </c>
    </row>
    <row r="2090" spans="1:2">
      <c r="A2090" s="98">
        <v>45379</v>
      </c>
      <c r="B2090" s="97">
        <v>2702.55</v>
      </c>
    </row>
    <row r="2091" spans="1:2">
      <c r="A2091" s="98">
        <v>45383</v>
      </c>
      <c r="B2091" s="97">
        <v>2700.53</v>
      </c>
    </row>
    <row r="2092" spans="1:2">
      <c r="A2092" s="98">
        <v>45384</v>
      </c>
      <c r="B2092" s="97">
        <v>2674.75</v>
      </c>
    </row>
    <row r="2093" spans="1:2">
      <c r="A2093" s="98">
        <v>45385</v>
      </c>
      <c r="B2093" s="97">
        <v>2677.41</v>
      </c>
    </row>
    <row r="2094" spans="1:2">
      <c r="A2094" s="98">
        <v>45386</v>
      </c>
      <c r="B2094" s="97">
        <v>2661.98</v>
      </c>
    </row>
    <row r="2095" spans="1:2">
      <c r="A2095" s="98">
        <v>45387</v>
      </c>
      <c r="B2095" s="97">
        <v>2651.44</v>
      </c>
    </row>
    <row r="2096" spans="1:2">
      <c r="A2096" s="98">
        <v>45390</v>
      </c>
      <c r="B2096" s="97">
        <v>2657.52</v>
      </c>
    </row>
    <row r="2097" spans="1:2">
      <c r="A2097" s="98">
        <v>45391</v>
      </c>
      <c r="B2097" s="97">
        <v>2646.53</v>
      </c>
    </row>
    <row r="2098" spans="1:2">
      <c r="A2098" s="98">
        <v>45392</v>
      </c>
      <c r="B2098" s="97">
        <v>2648.03</v>
      </c>
    </row>
    <row r="2099" spans="1:2">
      <c r="A2099" s="98">
        <v>45393</v>
      </c>
      <c r="B2099" s="97">
        <v>2633.41</v>
      </c>
    </row>
    <row r="2100" spans="1:2">
      <c r="A2100" s="98">
        <v>45394</v>
      </c>
      <c r="B2100" s="97">
        <v>2624.76</v>
      </c>
    </row>
    <row r="2101" spans="1:2">
      <c r="A2101" s="98">
        <v>45397</v>
      </c>
      <c r="B2101" s="97">
        <v>2622.32</v>
      </c>
    </row>
    <row r="2102" spans="1:2">
      <c r="A2102" s="98">
        <v>45398</v>
      </c>
      <c r="B2102" s="97">
        <v>2594.9499999999998</v>
      </c>
    </row>
    <row r="2103" spans="1:2">
      <c r="A2103" s="98">
        <v>45399</v>
      </c>
      <c r="B2103" s="97">
        <v>2598.37</v>
      </c>
    </row>
    <row r="2104" spans="1:2">
      <c r="A2104" s="98">
        <v>45400</v>
      </c>
      <c r="B2104" s="97">
        <v>2611.39</v>
      </c>
    </row>
    <row r="2105" spans="1:2">
      <c r="A2105" s="98">
        <v>45401</v>
      </c>
      <c r="B2105" s="97">
        <v>2607.6</v>
      </c>
    </row>
    <row r="2106" spans="1:2">
      <c r="A2106" s="98">
        <v>45404</v>
      </c>
      <c r="B2106" s="97">
        <v>2630.04</v>
      </c>
    </row>
    <row r="2107" spans="1:2">
      <c r="A2107" s="98">
        <v>45405</v>
      </c>
      <c r="B2107" s="97">
        <v>2659.81</v>
      </c>
    </row>
    <row r="2108" spans="1:2">
      <c r="A2108" s="98">
        <v>45406</v>
      </c>
      <c r="B2108" s="97">
        <v>2653.21</v>
      </c>
    </row>
    <row r="2109" spans="1:2">
      <c r="A2109" s="98">
        <v>45407</v>
      </c>
      <c r="B2109" s="97">
        <v>2634.31</v>
      </c>
    </row>
    <row r="2110" spans="1:2">
      <c r="A2110" s="98">
        <v>45408</v>
      </c>
      <c r="B2110" s="97">
        <v>2662.58</v>
      </c>
    </row>
    <row r="2111" spans="1:2">
      <c r="A2111" s="98">
        <v>45411</v>
      </c>
      <c r="B2111" s="97">
        <v>2648.37</v>
      </c>
    </row>
    <row r="2112" spans="1:2">
      <c r="A2112" s="98">
        <v>45412</v>
      </c>
      <c r="B2112" s="97">
        <v>2616.5700000000002</v>
      </c>
    </row>
    <row r="2113" spans="1:2">
      <c r="A2113" s="98">
        <v>45413</v>
      </c>
      <c r="B2113" s="97">
        <v>2614.27</v>
      </c>
    </row>
    <row r="2114" spans="1:2">
      <c r="A2114" s="98">
        <v>45414</v>
      </c>
      <c r="B2114" s="97">
        <v>2612.66</v>
      </c>
    </row>
    <row r="2115" spans="1:2">
      <c r="A2115" s="98">
        <v>45415</v>
      </c>
      <c r="B2115" s="97">
        <v>2613.92</v>
      </c>
    </row>
    <row r="2116" spans="1:2">
      <c r="A2116" s="98">
        <v>45418</v>
      </c>
      <c r="B2116" s="97">
        <v>2630.64</v>
      </c>
    </row>
    <row r="2117" spans="1:2">
      <c r="A2117" s="98">
        <v>45419</v>
      </c>
      <c r="B2117" s="97">
        <v>2657.99</v>
      </c>
    </row>
    <row r="2118" spans="1:2">
      <c r="A2118" s="98">
        <v>45420</v>
      </c>
      <c r="B2118" s="97">
        <v>2670.95</v>
      </c>
    </row>
    <row r="2119" spans="1:2">
      <c r="A2119" s="98">
        <v>45421</v>
      </c>
      <c r="B2119" s="97">
        <v>2671.43</v>
      </c>
    </row>
    <row r="2120" spans="1:2">
      <c r="A2120" s="98">
        <v>45422</v>
      </c>
      <c r="B2120" s="97">
        <v>2688.55</v>
      </c>
    </row>
    <row r="2121" spans="1:2">
      <c r="A2121" s="98">
        <v>45425</v>
      </c>
      <c r="B2121" s="97">
        <v>2684.81</v>
      </c>
    </row>
    <row r="2122" spans="1:2">
      <c r="A2122" s="98">
        <v>45426</v>
      </c>
      <c r="B2122" s="97">
        <v>2691.36</v>
      </c>
    </row>
    <row r="2123" spans="1:2">
      <c r="A2123" s="98">
        <v>45427</v>
      </c>
      <c r="B2123" s="97">
        <v>2710.55</v>
      </c>
    </row>
    <row r="2124" spans="1:2">
      <c r="A2124" s="98">
        <v>45428</v>
      </c>
      <c r="B2124" s="97">
        <v>2701.36</v>
      </c>
    </row>
    <row r="2125" spans="1:2">
      <c r="A2125" s="98">
        <v>45429</v>
      </c>
      <c r="B2125" s="97">
        <v>2699.91</v>
      </c>
    </row>
    <row r="2126" spans="1:2">
      <c r="A2126" s="98">
        <v>45432</v>
      </c>
      <c r="B2126" s="97">
        <v>2704.64</v>
      </c>
    </row>
    <row r="2127" spans="1:2">
      <c r="A2127" s="98">
        <v>45433</v>
      </c>
      <c r="B2127" s="97">
        <v>2699.9</v>
      </c>
    </row>
    <row r="2128" spans="1:2">
      <c r="A2128" s="98">
        <v>45434</v>
      </c>
      <c r="B2128" s="97">
        <v>2696.63</v>
      </c>
    </row>
    <row r="2129" spans="1:2">
      <c r="A2129" s="98">
        <v>45435</v>
      </c>
      <c r="B2129" s="97">
        <v>2693.34</v>
      </c>
    </row>
    <row r="2130" spans="1:2">
      <c r="A2130" s="98">
        <v>45436</v>
      </c>
      <c r="B2130" s="97">
        <v>2688.36</v>
      </c>
    </row>
    <row r="2131" spans="1:2">
      <c r="A2131" s="98">
        <v>45439</v>
      </c>
      <c r="B2131" s="97">
        <v>2690.54</v>
      </c>
    </row>
    <row r="2132" spans="1:2">
      <c r="A2132" s="98">
        <v>45440</v>
      </c>
      <c r="B2132" s="97">
        <v>2670.64</v>
      </c>
    </row>
    <row r="2133" spans="1:2">
      <c r="A2133" s="98">
        <v>45441</v>
      </c>
      <c r="B2133" s="97">
        <v>2649.32</v>
      </c>
    </row>
    <row r="2134" spans="1:2">
      <c r="A2134" s="98">
        <v>45442</v>
      </c>
      <c r="B2134" s="97">
        <v>2638.69</v>
      </c>
    </row>
    <row r="2135" spans="1:2">
      <c r="A2135" s="98">
        <v>45443</v>
      </c>
      <c r="B2135" s="97">
        <v>2641.59</v>
      </c>
    </row>
    <row r="2136" spans="1:2">
      <c r="A2136" s="98">
        <v>45446</v>
      </c>
      <c r="B2136" s="97">
        <v>2650.75</v>
      </c>
    </row>
    <row r="2137" spans="1:2">
      <c r="A2137" s="98">
        <v>45447</v>
      </c>
      <c r="B2137" s="97">
        <v>2636.78</v>
      </c>
    </row>
    <row r="2138" spans="1:2">
      <c r="A2138" s="98">
        <v>45448</v>
      </c>
      <c r="B2138" s="97">
        <v>2665.03</v>
      </c>
    </row>
    <row r="2139" spans="1:2">
      <c r="A2139" s="98">
        <v>45449</v>
      </c>
      <c r="B2139" s="97">
        <v>2679.38</v>
      </c>
    </row>
    <row r="2140" spans="1:2">
      <c r="A2140" s="98">
        <v>45450</v>
      </c>
      <c r="B2140" s="97">
        <v>2678.72</v>
      </c>
    </row>
    <row r="2141" spans="1:2">
      <c r="A2141" s="98">
        <v>45453</v>
      </c>
      <c r="B2141" s="97">
        <v>2669.4</v>
      </c>
    </row>
    <row r="2142" spans="1:2">
      <c r="A2142" s="98">
        <v>45454</v>
      </c>
      <c r="B2142" s="97">
        <v>2648.92</v>
      </c>
    </row>
    <row r="2143" spans="1:2">
      <c r="A2143" s="98">
        <v>45455</v>
      </c>
      <c r="B2143" s="97">
        <v>2657.13</v>
      </c>
    </row>
    <row r="2144" spans="1:2">
      <c r="A2144" s="98">
        <v>45456</v>
      </c>
      <c r="B2144" s="97">
        <v>2625.65</v>
      </c>
    </row>
    <row r="2145" spans="1:2">
      <c r="A2145" s="98">
        <v>45457</v>
      </c>
      <c r="B2145" s="97">
        <v>2610</v>
      </c>
    </row>
    <row r="2146" spans="1:2">
      <c r="A2146" s="98">
        <v>45460</v>
      </c>
      <c r="B2146" s="97">
        <v>2622.37</v>
      </c>
    </row>
    <row r="2147" spans="1:2">
      <c r="A2147" s="98">
        <v>45461</v>
      </c>
      <c r="B2147" s="97">
        <v>2638.91</v>
      </c>
    </row>
    <row r="2148" spans="1:2">
      <c r="A2148" s="98">
        <v>45462</v>
      </c>
      <c r="B2148" s="97">
        <v>2632.55</v>
      </c>
    </row>
    <row r="2149" spans="1:2">
      <c r="A2149" s="98">
        <v>45463</v>
      </c>
      <c r="B2149" s="97">
        <v>2661.16</v>
      </c>
    </row>
    <row r="2150" spans="1:2">
      <c r="A2150" s="98">
        <v>45464</v>
      </c>
      <c r="B2150" s="97">
        <v>2652.84</v>
      </c>
    </row>
    <row r="2151" spans="1:2">
      <c r="A2151" s="98">
        <v>45467</v>
      </c>
      <c r="B2151" s="97">
        <v>2665.85</v>
      </c>
    </row>
    <row r="2152" spans="1:2">
      <c r="A2152" s="98">
        <v>45468</v>
      </c>
      <c r="B2152" s="97">
        <v>2659.51</v>
      </c>
    </row>
    <row r="2153" spans="1:2">
      <c r="A2153" s="98">
        <v>45469</v>
      </c>
      <c r="B2153" s="97">
        <v>2654.13</v>
      </c>
    </row>
    <row r="2154" spans="1:2">
      <c r="A2154" s="98">
        <v>45470</v>
      </c>
      <c r="B2154" s="97">
        <v>2650.23</v>
      </c>
    </row>
    <row r="2155" spans="1:2">
      <c r="A2155" s="98">
        <v>45471</v>
      </c>
      <c r="B2155" s="97">
        <v>2648.81</v>
      </c>
    </row>
    <row r="2156" spans="1:2">
      <c r="A2156" s="98">
        <v>45474</v>
      </c>
      <c r="B2156" s="97">
        <v>2666.07</v>
      </c>
    </row>
    <row r="2157" spans="1:2">
      <c r="A2157" s="98">
        <v>45475</v>
      </c>
      <c r="B2157" s="97">
        <v>2658.05</v>
      </c>
    </row>
    <row r="2158" spans="1:2">
      <c r="A2158" s="98">
        <v>45476</v>
      </c>
      <c r="B2158" s="97">
        <v>2670.35</v>
      </c>
    </row>
    <row r="2159" spans="1:2">
      <c r="A2159" s="98">
        <v>45477</v>
      </c>
      <c r="B2159" s="97">
        <v>2682.11</v>
      </c>
    </row>
    <row r="2160" spans="1:2">
      <c r="A2160" s="98">
        <v>45478</v>
      </c>
      <c r="B2160" s="97">
        <v>2679.04</v>
      </c>
    </row>
    <row r="2161" spans="1:2">
      <c r="A2161" s="98">
        <v>45481</v>
      </c>
      <c r="B2161" s="97">
        <v>2675.7</v>
      </c>
    </row>
    <row r="2162" spans="1:2">
      <c r="A2162" s="98">
        <v>45482</v>
      </c>
      <c r="B2162" s="97">
        <v>2657.71</v>
      </c>
    </row>
    <row r="2163" spans="1:2">
      <c r="A2163" s="98">
        <v>45483</v>
      </c>
      <c r="B2163" s="97">
        <v>2683.6</v>
      </c>
    </row>
    <row r="2164" spans="1:2">
      <c r="A2164" s="98">
        <v>45484</v>
      </c>
      <c r="B2164" s="97">
        <v>2681.58</v>
      </c>
    </row>
    <row r="2165" spans="1:2">
      <c r="A2165" s="98">
        <v>45485</v>
      </c>
      <c r="B2165" s="97">
        <v>2706.19</v>
      </c>
    </row>
    <row r="2166" spans="1:2">
      <c r="A2166" s="98">
        <v>45488</v>
      </c>
      <c r="B2166" s="97">
        <v>2697.52</v>
      </c>
    </row>
    <row r="2167" spans="1:2">
      <c r="A2167" s="98">
        <v>45489</v>
      </c>
      <c r="B2167" s="97">
        <v>2702.02</v>
      </c>
    </row>
    <row r="2168" spans="1:2">
      <c r="A2168" s="98">
        <v>45490</v>
      </c>
      <c r="B2168" s="97">
        <v>2683.54</v>
      </c>
    </row>
    <row r="2169" spans="1:2">
      <c r="A2169" s="98">
        <v>45491</v>
      </c>
      <c r="B2169" s="97">
        <v>2670.94</v>
      </c>
    </row>
    <row r="2170" spans="1:2">
      <c r="A2170" s="98">
        <v>45492</v>
      </c>
      <c r="B2170" s="97">
        <v>2660.28</v>
      </c>
    </row>
    <row r="2171" spans="1:2">
      <c r="A2171" s="98">
        <v>45495</v>
      </c>
      <c r="B2171" s="97">
        <v>2685.52</v>
      </c>
    </row>
    <row r="2172" spans="1:2">
      <c r="A2172" s="98">
        <v>45496</v>
      </c>
      <c r="B2172" s="97">
        <v>2698.99</v>
      </c>
    </row>
    <row r="2173" spans="1:2">
      <c r="A2173" s="98">
        <v>45497</v>
      </c>
      <c r="B2173" s="97">
        <v>2663.96</v>
      </c>
    </row>
    <row r="2174" spans="1:2">
      <c r="A2174" s="98">
        <v>45498</v>
      </c>
      <c r="B2174" s="97">
        <v>2650.6</v>
      </c>
    </row>
    <row r="2175" spans="1:2">
      <c r="A2175" s="98">
        <v>45499</v>
      </c>
      <c r="B2175" s="97">
        <v>2667.76</v>
      </c>
    </row>
    <row r="2176" spans="1:2">
      <c r="A2176" s="98">
        <v>45502</v>
      </c>
      <c r="B2176" s="97">
        <v>2656.16</v>
      </c>
    </row>
    <row r="2177" spans="1:2">
      <c r="A2177" s="98">
        <v>45503</v>
      </c>
      <c r="B2177" s="97">
        <v>2663.72</v>
      </c>
    </row>
    <row r="2178" spans="1:2">
      <c r="A2178" s="98">
        <v>45504</v>
      </c>
      <c r="B2178" s="97">
        <v>2673.91</v>
      </c>
    </row>
    <row r="2179" spans="1:2">
      <c r="A2179" s="98">
        <v>45505</v>
      </c>
      <c r="B2179" s="97">
        <v>2624.11</v>
      </c>
    </row>
    <row r="2180" spans="1:2">
      <c r="A2180" s="98">
        <v>45506</v>
      </c>
      <c r="B2180" s="97">
        <v>2552.4899999999998</v>
      </c>
    </row>
    <row r="2181" spans="1:2">
      <c r="A2181" s="98">
        <v>45509</v>
      </c>
      <c r="B2181" s="97">
        <v>2493.6999999999998</v>
      </c>
    </row>
    <row r="2182" spans="1:2">
      <c r="A2182" s="98">
        <v>45510</v>
      </c>
      <c r="B2182" s="97">
        <v>2496.9499999999998</v>
      </c>
    </row>
    <row r="2183" spans="1:2">
      <c r="A2183" s="98">
        <v>45511</v>
      </c>
      <c r="B2183" s="97">
        <v>2530.63</v>
      </c>
    </row>
    <row r="2184" spans="1:2">
      <c r="A2184" s="98">
        <v>45512</v>
      </c>
      <c r="B2184" s="97">
        <v>2548.4699999999998</v>
      </c>
    </row>
    <row r="2185" spans="1:2">
      <c r="A2185" s="98">
        <v>45513</v>
      </c>
      <c r="B2185" s="97">
        <v>2551.9</v>
      </c>
    </row>
    <row r="2186" spans="1:2">
      <c r="A2186" s="98">
        <v>45516</v>
      </c>
      <c r="B2186" s="97">
        <v>2550.5</v>
      </c>
    </row>
    <row r="2187" spans="1:2">
      <c r="A2187" s="98">
        <v>45517</v>
      </c>
      <c r="B2187" s="97">
        <v>2566.9699999999998</v>
      </c>
    </row>
    <row r="2188" spans="1:2">
      <c r="A2188" s="98">
        <v>45518</v>
      </c>
      <c r="B2188" s="97">
        <v>2576.5100000000002</v>
      </c>
    </row>
    <row r="2189" spans="1:2">
      <c r="A2189" s="98">
        <v>45519</v>
      </c>
      <c r="B2189" s="97">
        <v>2618.39</v>
      </c>
    </row>
    <row r="2190" spans="1:2">
      <c r="A2190" s="98">
        <v>45520</v>
      </c>
      <c r="B2190" s="97">
        <v>2629.72</v>
      </c>
    </row>
    <row r="2191" spans="1:2">
      <c r="A2191" s="98">
        <v>45523</v>
      </c>
      <c r="B2191" s="97">
        <v>2642.41</v>
      </c>
    </row>
    <row r="2192" spans="1:2">
      <c r="A2192" s="98">
        <v>45524</v>
      </c>
      <c r="B2192" s="97">
        <v>2634.99</v>
      </c>
    </row>
    <row r="2193" spans="1:2">
      <c r="A2193" s="98">
        <v>45525</v>
      </c>
      <c r="B2193" s="97">
        <v>2644.04</v>
      </c>
    </row>
    <row r="2194" spans="1:2">
      <c r="A2194" s="98">
        <v>45526</v>
      </c>
      <c r="B2194" s="97">
        <v>2640.33</v>
      </c>
    </row>
    <row r="2195" spans="1:2">
      <c r="A2195" s="98">
        <v>45527</v>
      </c>
      <c r="B2195" s="97">
        <v>2652.66</v>
      </c>
    </row>
    <row r="2196" spans="1:2">
      <c r="A2196" s="98">
        <v>45530</v>
      </c>
      <c r="B2196" s="97">
        <v>2651.65</v>
      </c>
    </row>
    <row r="2197" spans="1:2">
      <c r="A2197" s="98">
        <v>45531</v>
      </c>
      <c r="B2197" s="97">
        <v>2661.14</v>
      </c>
    </row>
    <row r="2198" spans="1:2">
      <c r="A2198" s="98">
        <v>45532</v>
      </c>
      <c r="B2198" s="97">
        <v>2662.86</v>
      </c>
    </row>
    <row r="2199" spans="1:2">
      <c r="A2199" s="98">
        <v>45533</v>
      </c>
      <c r="B2199" s="97">
        <v>2687.94</v>
      </c>
    </row>
    <row r="2200" spans="1:2">
      <c r="A2200" s="98">
        <v>45534</v>
      </c>
      <c r="B2200" s="97">
        <v>2694.24</v>
      </c>
    </row>
    <row r="2201" spans="1:2">
      <c r="A2201" s="98">
        <v>45537</v>
      </c>
      <c r="B2201" s="97">
        <v>2697.67</v>
      </c>
    </row>
    <row r="2202" spans="1:2">
      <c r="A2202" s="98">
        <v>45538</v>
      </c>
      <c r="B2202" s="97">
        <v>2672.61</v>
      </c>
    </row>
    <row r="2203" spans="1:2">
      <c r="A2203" s="98">
        <v>45539</v>
      </c>
      <c r="B2203" s="97">
        <v>2651.28</v>
      </c>
    </row>
    <row r="2204" spans="1:2">
      <c r="A2204" s="98">
        <v>45540</v>
      </c>
      <c r="B2204" s="97">
        <v>2643.64</v>
      </c>
    </row>
    <row r="2205" spans="1:2">
      <c r="A2205" s="98">
        <v>45541</v>
      </c>
      <c r="B2205" s="97">
        <v>2614.75</v>
      </c>
    </row>
    <row r="2206" spans="1:2">
      <c r="A2206" s="98">
        <v>45544</v>
      </c>
      <c r="B2206" s="97">
        <v>2643.18</v>
      </c>
    </row>
    <row r="2207" spans="1:2">
      <c r="A2207" s="98">
        <v>45545</v>
      </c>
      <c r="B2207" s="97">
        <v>2642.52</v>
      </c>
    </row>
    <row r="2208" spans="1:2">
      <c r="A2208" s="98">
        <v>45546</v>
      </c>
      <c r="B2208" s="97">
        <v>2653.73</v>
      </c>
    </row>
    <row r="2209" spans="1:2">
      <c r="A2209" s="98">
        <v>45547</v>
      </c>
      <c r="B2209" s="97">
        <v>2672.79</v>
      </c>
    </row>
    <row r="2210" spans="1:2">
      <c r="A2210" s="98">
        <v>45548</v>
      </c>
      <c r="B2210" s="97">
        <v>2681.53</v>
      </c>
    </row>
    <row r="2211" spans="1:2">
      <c r="A2211" s="98">
        <v>45551</v>
      </c>
      <c r="B2211" s="97">
        <v>2682.47</v>
      </c>
    </row>
    <row r="2212" spans="1:2">
      <c r="A2212" s="98">
        <v>45552</v>
      </c>
      <c r="B2212" s="97">
        <v>2686.26</v>
      </c>
    </row>
    <row r="2213" spans="1:2">
      <c r="A2213" s="98">
        <v>45553</v>
      </c>
      <c r="B2213" s="97">
        <v>2678.83</v>
      </c>
    </row>
    <row r="2214" spans="1:2">
      <c r="A2214" s="98">
        <v>45554</v>
      </c>
      <c r="B2214" s="97">
        <v>2716.29</v>
      </c>
    </row>
    <row r="2215" spans="1:2">
      <c r="A2215" s="98">
        <v>45555</v>
      </c>
      <c r="B2215" s="97">
        <v>2694.37</v>
      </c>
    </row>
    <row r="2216" spans="1:2">
      <c r="A2216" s="98">
        <v>45558</v>
      </c>
      <c r="B2216" s="97">
        <v>2701.01</v>
      </c>
    </row>
    <row r="2217" spans="1:2">
      <c r="A2217" s="98">
        <v>45559</v>
      </c>
      <c r="B2217" s="97">
        <v>2706.02</v>
      </c>
    </row>
    <row r="2218" spans="1:2">
      <c r="A2218" s="98">
        <v>45560</v>
      </c>
      <c r="B2218" s="97">
        <v>2697.35</v>
      </c>
    </row>
    <row r="2219" spans="1:2">
      <c r="A2219" s="98">
        <v>45561</v>
      </c>
      <c r="B2219" s="97">
        <v>2739.19</v>
      </c>
    </row>
    <row r="2220" spans="1:2">
      <c r="A2220" s="98">
        <v>45562</v>
      </c>
      <c r="B2220" s="97">
        <v>2751.58</v>
      </c>
    </row>
    <row r="2221" spans="1:2">
      <c r="A2221" s="98">
        <v>45565</v>
      </c>
      <c r="B2221" s="97">
        <v>2726.4</v>
      </c>
    </row>
    <row r="2222" spans="1:2">
      <c r="A2222" s="98">
        <v>45566</v>
      </c>
      <c r="B2222" s="97">
        <v>2703.98</v>
      </c>
    </row>
    <row r="2223" spans="1:2">
      <c r="A2223" s="98">
        <v>45567</v>
      </c>
      <c r="B2223" s="97">
        <v>2704.2</v>
      </c>
    </row>
    <row r="2224" spans="1:2">
      <c r="A2224" s="98">
        <v>45568</v>
      </c>
      <c r="B2224" s="97">
        <v>2686.2</v>
      </c>
    </row>
    <row r="2225" spans="1:2">
      <c r="A2225" s="98">
        <v>45569</v>
      </c>
      <c r="B2225" s="97">
        <v>2707.49</v>
      </c>
    </row>
    <row r="2226" spans="1:2">
      <c r="A2226" s="98">
        <v>45572</v>
      </c>
      <c r="B2226" s="97">
        <v>2705.44</v>
      </c>
    </row>
    <row r="2227" spans="1:2">
      <c r="A2227" s="98">
        <v>45573</v>
      </c>
      <c r="B2227" s="97">
        <v>2707.8</v>
      </c>
    </row>
    <row r="2228" spans="1:2">
      <c r="A2228" s="98">
        <v>45574</v>
      </c>
      <c r="B2228" s="97">
        <v>2732.67</v>
      </c>
    </row>
    <row r="2229" spans="1:2">
      <c r="A2229" s="98">
        <v>45575</v>
      </c>
      <c r="B2229" s="97">
        <v>2730.6</v>
      </c>
    </row>
    <row r="2230" spans="1:2">
      <c r="A2230" s="98">
        <v>45576</v>
      </c>
      <c r="B2230" s="97">
        <v>2740.93</v>
      </c>
    </row>
    <row r="2231" spans="1:2">
      <c r="A2231" s="98">
        <v>45579</v>
      </c>
      <c r="B2231" s="97">
        <v>2765.49</v>
      </c>
    </row>
    <row r="2232" spans="1:2">
      <c r="A2232" s="98">
        <v>45580</v>
      </c>
      <c r="B2232" s="97">
        <v>2741.06</v>
      </c>
    </row>
    <row r="2233" spans="1:2">
      <c r="A2233" s="98">
        <v>45581</v>
      </c>
      <c r="B2233" s="97">
        <v>2744.93</v>
      </c>
    </row>
    <row r="2234" spans="1:2">
      <c r="A2234" s="98">
        <v>45582</v>
      </c>
      <c r="B2234" s="97">
        <v>2760.24</v>
      </c>
    </row>
    <row r="2235" spans="1:2">
      <c r="A2235" s="98">
        <v>45583</v>
      </c>
      <c r="B2235" s="97">
        <v>2771.64</v>
      </c>
    </row>
    <row r="2236" spans="1:2">
      <c r="A2236" s="98">
        <v>45586</v>
      </c>
      <c r="B2236" s="97">
        <v>2750.48</v>
      </c>
    </row>
    <row r="2237" spans="1:2">
      <c r="A2237" s="98">
        <v>45587</v>
      </c>
      <c r="B2237" s="97">
        <v>2747.02</v>
      </c>
    </row>
    <row r="2238" spans="1:2">
      <c r="A2238" s="98">
        <v>45588</v>
      </c>
      <c r="B2238" s="97">
        <v>2737.91</v>
      </c>
    </row>
    <row r="2239" spans="1:2">
      <c r="A2239" s="98">
        <v>45589</v>
      </c>
      <c r="B2239" s="97">
        <v>2731.69</v>
      </c>
    </row>
    <row r="2240" spans="1:2">
      <c r="A2240" s="98">
        <v>45590</v>
      </c>
      <c r="B2240" s="97">
        <v>2723.87</v>
      </c>
    </row>
    <row r="2241" spans="1:2">
      <c r="A2241" s="98">
        <v>45593</v>
      </c>
      <c r="B2241" s="97">
        <v>2739.97</v>
      </c>
    </row>
    <row r="2242" spans="1:2">
      <c r="A2242" s="98">
        <v>45594</v>
      </c>
      <c r="B2242" s="97">
        <v>2734.83</v>
      </c>
    </row>
    <row r="2243" spans="1:2">
      <c r="A2243" s="98">
        <v>45595</v>
      </c>
      <c r="B2243" s="97">
        <v>2709.05</v>
      </c>
    </row>
    <row r="2244" spans="1:2">
      <c r="A2244" s="98">
        <v>45596</v>
      </c>
      <c r="B2244" s="97">
        <v>2689.98</v>
      </c>
    </row>
    <row r="2245" spans="1:2">
      <c r="A2245" s="98">
        <v>45597</v>
      </c>
      <c r="B2245" s="97">
        <v>2717.96</v>
      </c>
    </row>
    <row r="2246" spans="1:2">
      <c r="A2246" s="98">
        <v>45600</v>
      </c>
      <c r="B2246" s="97">
        <v>2703.04</v>
      </c>
    </row>
    <row r="2247" spans="1:2">
      <c r="A2247" s="98">
        <v>45601</v>
      </c>
      <c r="B2247" s="97">
        <v>2712.42</v>
      </c>
    </row>
    <row r="2248" spans="1:2">
      <c r="A2248" s="98">
        <v>45602</v>
      </c>
      <c r="B2248" s="97">
        <v>2728.95</v>
      </c>
    </row>
    <row r="2249" spans="1:2">
      <c r="A2249" s="98">
        <v>45603</v>
      </c>
      <c r="B2249" s="97">
        <v>2734.8</v>
      </c>
    </row>
    <row r="2250" spans="1:2">
      <c r="A2250" s="98">
        <v>45604</v>
      </c>
      <c r="B2250" s="97">
        <v>2727.12</v>
      </c>
    </row>
    <row r="2251" spans="1:2">
      <c r="A2251" s="98">
        <v>45607</v>
      </c>
      <c r="B2251" s="97">
        <v>2750.53</v>
      </c>
    </row>
    <row r="2252" spans="1:2">
      <c r="A2252" s="98">
        <v>45608</v>
      </c>
      <c r="B2252" s="97">
        <v>2710.61</v>
      </c>
    </row>
    <row r="2253" spans="1:2">
      <c r="A2253" s="98">
        <v>45609</v>
      </c>
      <c r="B2253" s="97">
        <v>2708.23</v>
      </c>
    </row>
    <row r="2254" spans="1:2">
      <c r="A2254" s="98">
        <v>45610</v>
      </c>
      <c r="B2254" s="97">
        <v>2734.06</v>
      </c>
    </row>
    <row r="2255" spans="1:2">
      <c r="A2255" s="98">
        <v>45611</v>
      </c>
      <c r="B2255" s="97">
        <v>2714.9</v>
      </c>
    </row>
    <row r="2256" spans="1:2">
      <c r="A2256" s="98">
        <v>45614</v>
      </c>
      <c r="B2256" s="97">
        <v>2718.13</v>
      </c>
    </row>
    <row r="2257" spans="1:2">
      <c r="A2257" s="98">
        <v>45615</v>
      </c>
      <c r="B2257" s="97">
        <v>2697.18</v>
      </c>
    </row>
    <row r="2258" spans="1:2">
      <c r="A2258" s="98">
        <v>45616</v>
      </c>
      <c r="B2258" s="97">
        <v>2702.69</v>
      </c>
    </row>
    <row r="2259" spans="1:2">
      <c r="A2259" s="98">
        <v>45617</v>
      </c>
      <c r="B2259" s="97">
        <v>2718.5</v>
      </c>
    </row>
    <row r="2260" spans="1:2">
      <c r="A2260" s="98">
        <v>45618</v>
      </c>
      <c r="B2260" s="97">
        <v>2737.38</v>
      </c>
    </row>
    <row r="2261" spans="1:2">
      <c r="A2261" s="98">
        <v>45621</v>
      </c>
      <c r="B2261" s="97">
        <v>2748.38</v>
      </c>
    </row>
    <row r="2262" spans="1:2">
      <c r="A2262" s="98">
        <v>45622</v>
      </c>
      <c r="B2262" s="97">
        <v>2740.65</v>
      </c>
    </row>
    <row r="2263" spans="1:2">
      <c r="A2263" s="98">
        <v>45623</v>
      </c>
      <c r="B2263" s="97">
        <v>2718.2</v>
      </c>
    </row>
    <row r="2264" spans="1:2">
      <c r="A2264" s="98">
        <v>45624</v>
      </c>
      <c r="B2264" s="97">
        <v>2731.13</v>
      </c>
    </row>
    <row r="2265" spans="1:2">
      <c r="A2265" s="98">
        <v>45625</v>
      </c>
      <c r="B2265" s="97">
        <v>2743.58</v>
      </c>
    </row>
    <row r="2266" spans="1:2">
      <c r="A2266" s="98">
        <v>45628</v>
      </c>
      <c r="B2266" s="97">
        <v>2761.11</v>
      </c>
    </row>
    <row r="2267" spans="1:2">
      <c r="A2267" s="98">
        <v>45629</v>
      </c>
      <c r="B2267" s="97">
        <v>2762.72</v>
      </c>
    </row>
    <row r="2268" spans="1:2">
      <c r="A2268" s="98">
        <v>45630</v>
      </c>
      <c r="B2268" s="97">
        <v>2784.89</v>
      </c>
    </row>
    <row r="2269" spans="1:2">
      <c r="A2269" s="98">
        <v>45631</v>
      </c>
      <c r="B2269" s="97">
        <v>2797.64</v>
      </c>
    </row>
    <row r="2270" spans="1:2">
      <c r="A2270" s="98">
        <v>45632</v>
      </c>
      <c r="B2270" s="97">
        <v>2812.85</v>
      </c>
    </row>
    <row r="2271" spans="1:2">
      <c r="A2271" s="98">
        <v>45635</v>
      </c>
      <c r="B2271" s="97">
        <v>2810.89</v>
      </c>
    </row>
    <row r="2272" spans="1:2">
      <c r="A2272" s="98">
        <v>45636</v>
      </c>
      <c r="B2272" s="97">
        <v>2804.74</v>
      </c>
    </row>
    <row r="2273" spans="1:2">
      <c r="A2273" s="98">
        <v>45637</v>
      </c>
      <c r="B2273" s="97">
        <v>2805.59</v>
      </c>
    </row>
    <row r="2274" spans="1:2">
      <c r="A2274" s="98">
        <v>45638</v>
      </c>
      <c r="B2274" s="97">
        <v>2796.92</v>
      </c>
    </row>
    <row r="2275" spans="1:2">
      <c r="A2275" s="98">
        <v>45639</v>
      </c>
      <c r="B2275" s="97">
        <v>2797.75</v>
      </c>
    </row>
    <row r="2276" spans="1:2">
      <c r="A2276" s="98">
        <v>45642</v>
      </c>
      <c r="B2276" s="97">
        <v>2786.98</v>
      </c>
    </row>
    <row r="2277" spans="1:2">
      <c r="A2277" s="98">
        <v>45643</v>
      </c>
      <c r="B2277" s="97">
        <v>2776.21</v>
      </c>
    </row>
    <row r="2278" spans="1:2">
      <c r="A2278" s="98">
        <v>45644</v>
      </c>
      <c r="B2278" s="97">
        <v>2762.75</v>
      </c>
    </row>
    <row r="2279" spans="1:2">
      <c r="A2279" s="98">
        <v>45645</v>
      </c>
      <c r="B2279" s="97">
        <v>2748.48</v>
      </c>
    </row>
    <row r="2280" spans="1:2">
      <c r="A2280" s="98">
        <v>45646</v>
      </c>
      <c r="B2280" s="97">
        <v>2750.06</v>
      </c>
    </row>
    <row r="2281" spans="1:2">
      <c r="A2281" s="98">
        <v>45649</v>
      </c>
      <c r="B2281" s="97">
        <v>2748.73</v>
      </c>
    </row>
    <row r="2282" spans="1:2">
      <c r="A2282" s="98">
        <v>45650</v>
      </c>
      <c r="B2282" s="97">
        <v>2758.69</v>
      </c>
    </row>
    <row r="2283" spans="1:2">
      <c r="A2283" s="98">
        <v>45652</v>
      </c>
      <c r="B2283" s="97">
        <v>2757.75</v>
      </c>
    </row>
    <row r="2284" spans="1:2">
      <c r="A2284" s="98">
        <v>45653</v>
      </c>
      <c r="B2284" s="97">
        <v>2764.04</v>
      </c>
    </row>
    <row r="2285" spans="1:2">
      <c r="A2285" s="98">
        <v>45656</v>
      </c>
      <c r="B2285" s="97">
        <v>2751.33</v>
      </c>
    </row>
    <row r="2286" spans="1:2">
      <c r="A2286" s="98">
        <v>45657</v>
      </c>
      <c r="B2286" s="97">
        <v>2761.78</v>
      </c>
    </row>
    <row r="2287" spans="1:2">
      <c r="A2287" s="98">
        <v>45659</v>
      </c>
      <c r="B2287" s="97">
        <v>2773</v>
      </c>
    </row>
    <row r="2288" spans="1:2">
      <c r="A2288" s="98">
        <v>45660</v>
      </c>
      <c r="B2288" s="97">
        <v>2759.45</v>
      </c>
    </row>
    <row r="2289" spans="1:2">
      <c r="A2289" s="98">
        <v>45663</v>
      </c>
      <c r="B2289" s="97">
        <v>2794.36</v>
      </c>
    </row>
    <row r="2290" spans="1:2">
      <c r="A2290" s="98">
        <v>45664</v>
      </c>
      <c r="B2290" s="97">
        <v>2805.9</v>
      </c>
    </row>
    <row r="2291" spans="1:2">
      <c r="A2291" s="98">
        <v>45665</v>
      </c>
      <c r="B2291" s="97">
        <v>2807.68</v>
      </c>
    </row>
    <row r="2292" spans="1:2">
      <c r="A2292" s="98">
        <v>45666</v>
      </c>
      <c r="B2292" s="97">
        <v>2816.26</v>
      </c>
    </row>
    <row r="2293" spans="1:2">
      <c r="A2293" s="98">
        <v>45667</v>
      </c>
      <c r="B2293" s="97">
        <v>2791.49</v>
      </c>
    </row>
    <row r="2294" spans="1:2">
      <c r="A2294" s="98">
        <v>45670</v>
      </c>
      <c r="B2294" s="97">
        <v>2792.57</v>
      </c>
    </row>
    <row r="2295" spans="1:2">
      <c r="A2295" s="98">
        <v>45671</v>
      </c>
      <c r="B2295" s="97">
        <v>2799.27</v>
      </c>
    </row>
    <row r="2296" spans="1:2">
      <c r="A2296" s="98">
        <v>45672</v>
      </c>
      <c r="B2296" s="97">
        <v>2824.34</v>
      </c>
    </row>
    <row r="2297" spans="1:2">
      <c r="A2297" s="98">
        <v>45673</v>
      </c>
      <c r="B2297" s="97">
        <v>2847.17</v>
      </c>
    </row>
    <row r="2298" spans="1:2">
      <c r="A2298" s="98">
        <v>45674</v>
      </c>
      <c r="B2298" s="97">
        <v>2867.03</v>
      </c>
    </row>
    <row r="2299" spans="1:2">
      <c r="A2299" s="98">
        <v>45677</v>
      </c>
      <c r="B2299" s="97">
        <v>2869.1</v>
      </c>
    </row>
    <row r="2300" spans="1:2">
      <c r="A2300" s="98">
        <v>45678</v>
      </c>
      <c r="B2300" s="97">
        <v>2875.33</v>
      </c>
    </row>
    <row r="2301" spans="1:2">
      <c r="A2301" s="98">
        <v>45679</v>
      </c>
      <c r="B2301" s="97">
        <v>2882.45</v>
      </c>
    </row>
    <row r="2302" spans="1:2">
      <c r="A2302" s="98">
        <v>45680</v>
      </c>
      <c r="B2302" s="97">
        <v>2903.01</v>
      </c>
    </row>
    <row r="2303" spans="1:2">
      <c r="A2303" s="98">
        <v>45681</v>
      </c>
      <c r="B2303" s="97">
        <v>2895.92</v>
      </c>
    </row>
    <row r="2304" spans="1:2">
      <c r="A2304" s="98">
        <v>45684</v>
      </c>
      <c r="B2304" s="97">
        <v>2892.1</v>
      </c>
    </row>
    <row r="2305" spans="1:2">
      <c r="A2305" s="98">
        <v>45685</v>
      </c>
      <c r="B2305" s="97">
        <v>2910.62</v>
      </c>
    </row>
    <row r="2306" spans="1:2">
      <c r="A2306" s="98">
        <v>45686</v>
      </c>
      <c r="B2306" s="97">
        <v>2920.95</v>
      </c>
    </row>
    <row r="2307" spans="1:2">
      <c r="A2307" s="98">
        <v>45687</v>
      </c>
      <c r="B2307" s="97">
        <v>2944.97</v>
      </c>
    </row>
    <row r="2308" spans="1:2">
      <c r="A2308" s="98">
        <v>45688</v>
      </c>
      <c r="B2308" s="97">
        <v>2947.53</v>
      </c>
    </row>
    <row r="2309" spans="1:2">
      <c r="A2309" s="98">
        <v>45691</v>
      </c>
      <c r="B2309" s="97">
        <v>2930.13</v>
      </c>
    </row>
    <row r="2310" spans="1:2">
      <c r="A2310" s="98">
        <v>45692</v>
      </c>
      <c r="B2310" s="97">
        <v>2943.3</v>
      </c>
    </row>
    <row r="2311" spans="1:2">
      <c r="A2311" s="98">
        <v>45693</v>
      </c>
      <c r="B2311" s="97">
        <v>2948.71</v>
      </c>
    </row>
    <row r="2312" spans="1:2">
      <c r="A2312" s="98">
        <v>45694</v>
      </c>
      <c r="B2312" s="97">
        <v>2981.14</v>
      </c>
    </row>
    <row r="2313" spans="1:2">
      <c r="A2313" s="98">
        <v>45695</v>
      </c>
      <c r="B2313" s="97">
        <v>2971.12</v>
      </c>
    </row>
    <row r="2314" spans="1:2">
      <c r="A2314" s="98">
        <v>45698</v>
      </c>
      <c r="B2314" s="97">
        <v>2986.94</v>
      </c>
    </row>
    <row r="2315" spans="1:2">
      <c r="A2315" s="98">
        <v>45699</v>
      </c>
      <c r="B2315" s="97">
        <v>3008.15</v>
      </c>
    </row>
    <row r="2316" spans="1:2">
      <c r="A2316" s="98">
        <v>45700</v>
      </c>
      <c r="B2316" s="97">
        <v>3019.77</v>
      </c>
    </row>
    <row r="2317" spans="1:2">
      <c r="A2317" s="98">
        <v>45701</v>
      </c>
      <c r="B2317" s="97">
        <v>3051.92</v>
      </c>
    </row>
    <row r="2318" spans="1:2">
      <c r="A2318" s="98">
        <v>45702</v>
      </c>
      <c r="B2318" s="97">
        <v>3037.18</v>
      </c>
    </row>
    <row r="2319" spans="1:2">
      <c r="A2319" s="98">
        <v>45705</v>
      </c>
      <c r="B2319" s="97">
        <v>3045.76</v>
      </c>
    </row>
    <row r="2320" spans="1:2">
      <c r="A2320" s="98">
        <v>45706</v>
      </c>
      <c r="B2320" s="97">
        <v>3054.7</v>
      </c>
    </row>
    <row r="2321" spans="1:2">
      <c r="A2321" s="98">
        <v>45707</v>
      </c>
      <c r="B2321" s="97">
        <v>3032.05</v>
      </c>
    </row>
    <row r="2322" spans="1:2">
      <c r="A2322" s="98">
        <v>45708</v>
      </c>
      <c r="B2322" s="97">
        <v>3025.49</v>
      </c>
    </row>
    <row r="2323" spans="1:2">
      <c r="A2323" s="98">
        <v>45709</v>
      </c>
      <c r="B2323" s="97">
        <v>3020.85</v>
      </c>
    </row>
    <row r="2324" spans="1:2">
      <c r="A2324" s="98">
        <v>45712</v>
      </c>
      <c r="B2324" s="97">
        <v>3015.4</v>
      </c>
    </row>
    <row r="2325" spans="1:2">
      <c r="A2325" s="98">
        <v>45713</v>
      </c>
      <c r="B2325" s="97">
        <v>3016.18</v>
      </c>
    </row>
    <row r="2326" spans="1:2">
      <c r="A2326" s="98">
        <v>45714</v>
      </c>
      <c r="B2326" s="97">
        <v>3038.3</v>
      </c>
    </row>
    <row r="2327" spans="1:2">
      <c r="A2327" s="98">
        <v>45715</v>
      </c>
      <c r="B2327" s="97">
        <v>3021.41</v>
      </c>
    </row>
    <row r="2328" spans="1:2">
      <c r="A2328" s="98">
        <v>45716</v>
      </c>
      <c r="B2328" s="97">
        <v>3031.23</v>
      </c>
    </row>
    <row r="2329" spans="1:2">
      <c r="A2329" s="98">
        <v>45719</v>
      </c>
      <c r="B2329" s="97">
        <v>3039.42</v>
      </c>
    </row>
    <row r="2330" spans="1:2">
      <c r="A2330" s="98">
        <v>45720</v>
      </c>
      <c r="B2330" s="97">
        <v>2971.13</v>
      </c>
    </row>
    <row r="2331" spans="1:2">
      <c r="A2331" s="98">
        <v>45721</v>
      </c>
      <c r="B2331" s="97">
        <v>2996.37</v>
      </c>
    </row>
    <row r="2332" spans="1:2">
      <c r="A2332" s="98">
        <v>45722</v>
      </c>
      <c r="B2332" s="97">
        <v>3001.05</v>
      </c>
    </row>
    <row r="2333" spans="1:2">
      <c r="A2333" s="98">
        <v>45723</v>
      </c>
      <c r="B2333" s="97">
        <v>2996.75</v>
      </c>
    </row>
    <row r="2334" spans="1:2">
      <c r="A2334" s="98">
        <v>45726</v>
      </c>
      <c r="B2334" s="97">
        <v>2958.85</v>
      </c>
    </row>
    <row r="2335" spans="1:2">
      <c r="A2335" s="98">
        <v>45727</v>
      </c>
      <c r="B2335" s="97">
        <v>2909.22</v>
      </c>
    </row>
    <row r="2336" spans="1:2">
      <c r="A2336" s="98">
        <v>45728</v>
      </c>
      <c r="B2336" s="97">
        <v>2919.59</v>
      </c>
    </row>
    <row r="2337" spans="1:2">
      <c r="A2337" s="98">
        <v>45729</v>
      </c>
      <c r="B2337" s="97">
        <v>2902.04</v>
      </c>
    </row>
    <row r="2338" spans="1:2">
      <c r="A2338" s="98">
        <v>45730</v>
      </c>
      <c r="B2338" s="97">
        <v>2937.84</v>
      </c>
    </row>
    <row r="2339" spans="1:2">
      <c r="A2339" s="98">
        <v>45733</v>
      </c>
      <c r="B2339" s="97">
        <v>2957.95</v>
      </c>
    </row>
    <row r="2340" spans="1:2">
      <c r="A2340" s="98">
        <v>45734</v>
      </c>
      <c r="B2340" s="97">
        <v>2977.66</v>
      </c>
    </row>
    <row r="2341" spans="1:2">
      <c r="A2341" s="98">
        <v>45735</v>
      </c>
      <c r="B2341" s="97">
        <v>2990.87</v>
      </c>
    </row>
    <row r="2342" spans="1:2">
      <c r="A2342" s="98">
        <v>45736</v>
      </c>
      <c r="B2342" s="97">
        <v>2965.87</v>
      </c>
    </row>
    <row r="2343" spans="1:2">
      <c r="A2343" s="98">
        <v>45737</v>
      </c>
      <c r="B2343" s="97">
        <v>2964.24</v>
      </c>
    </row>
    <row r="2344" spans="1:2">
      <c r="A2344" s="98">
        <v>45740</v>
      </c>
      <c r="B2344" s="97">
        <v>2969.43</v>
      </c>
    </row>
    <row r="2345" spans="1:2">
      <c r="A2345" s="98">
        <v>45741</v>
      </c>
      <c r="B2345" s="97">
        <v>2989.82</v>
      </c>
    </row>
    <row r="2346" spans="1:2">
      <c r="A2346" s="98">
        <v>45742</v>
      </c>
      <c r="B2346" s="97">
        <v>2972.14</v>
      </c>
    </row>
    <row r="2347" spans="1:2">
      <c r="A2347" s="98">
        <v>45743</v>
      </c>
      <c r="B2347" s="97">
        <v>2959.34</v>
      </c>
    </row>
    <row r="2348" spans="1:2">
      <c r="A2348" s="98">
        <v>45744</v>
      </c>
      <c r="B2348" s="97">
        <v>2921.85</v>
      </c>
    </row>
    <row r="2349" spans="1:2">
      <c r="A2349" s="98">
        <v>45747</v>
      </c>
      <c r="B2349" s="97">
        <v>2900.54</v>
      </c>
    </row>
    <row r="2350" spans="1:2">
      <c r="A2350" s="98">
        <v>45748</v>
      </c>
      <c r="B2350" s="97">
        <v>2921.63</v>
      </c>
    </row>
    <row r="2351" spans="1:2">
      <c r="A2351" s="98">
        <v>45749</v>
      </c>
      <c r="B2351" s="97">
        <v>2917.52</v>
      </c>
    </row>
    <row r="2352" spans="1:2">
      <c r="A2352" s="98">
        <v>45750</v>
      </c>
      <c r="B2352" s="97">
        <v>2809.03</v>
      </c>
    </row>
    <row r="2353" spans="1:2">
      <c r="A2353" s="98">
        <v>45751</v>
      </c>
      <c r="B2353" s="97">
        <v>2660.71</v>
      </c>
    </row>
    <row r="2354" spans="1:2">
      <c r="A2354" s="98">
        <v>45754</v>
      </c>
      <c r="B2354" s="97">
        <v>2575.38</v>
      </c>
    </row>
    <row r="2355" spans="1:2">
      <c r="A2355" s="98">
        <v>45755</v>
      </c>
      <c r="B2355" s="97">
        <v>2612.19</v>
      </c>
    </row>
    <row r="2356" spans="1:2">
      <c r="A2356" s="98">
        <v>45756</v>
      </c>
      <c r="B2356" s="97">
        <v>2603.34</v>
      </c>
    </row>
    <row r="2357" spans="1:2">
      <c r="A2357" s="98">
        <v>45757</v>
      </c>
      <c r="B2357" s="97">
        <v>2642.61</v>
      </c>
    </row>
    <row r="2358" spans="1:2">
      <c r="A2358" s="98">
        <v>45758</v>
      </c>
      <c r="B2358" s="97">
        <v>2639.06</v>
      </c>
    </row>
    <row r="2359" spans="1:2">
      <c r="A2359" s="98">
        <v>45761</v>
      </c>
      <c r="B2359" s="97">
        <v>2692.64</v>
      </c>
    </row>
    <row r="2360" spans="1:2">
      <c r="A2360" s="98">
        <v>45762</v>
      </c>
      <c r="B2360" s="97">
        <v>2728.51</v>
      </c>
    </row>
    <row r="2361" spans="1:2">
      <c r="A2361" s="98">
        <v>45763</v>
      </c>
      <c r="B2361" s="97">
        <v>2713.32</v>
      </c>
    </row>
    <row r="2362" spans="1:2">
      <c r="A2362" s="98">
        <v>45764</v>
      </c>
      <c r="B2362" s="97">
        <v>2693.51</v>
      </c>
    </row>
    <row r="2363" spans="1:2">
      <c r="A2363" s="98">
        <v>45768</v>
      </c>
      <c r="B2363" s="97">
        <v>2670.49</v>
      </c>
    </row>
    <row r="2364" spans="1:2">
      <c r="A2364" s="98">
        <v>45769</v>
      </c>
      <c r="B2364" s="97">
        <v>2696.22</v>
      </c>
    </row>
    <row r="2365" spans="1:2">
      <c r="A2365" s="98">
        <v>45770</v>
      </c>
      <c r="B2365" s="97">
        <v>2759.08</v>
      </c>
    </row>
    <row r="2366" spans="1:2">
      <c r="A2366" s="98">
        <v>45771</v>
      </c>
      <c r="B2366" s="97">
        <v>2763.47</v>
      </c>
    </row>
    <row r="2367" spans="1:2">
      <c r="A2367" s="98">
        <v>45772</v>
      </c>
      <c r="B2367" s="97">
        <v>2784.08</v>
      </c>
    </row>
    <row r="2368" spans="1:2">
      <c r="A2368" s="98">
        <v>45775</v>
      </c>
      <c r="B2368" s="97">
        <v>2793.97</v>
      </c>
    </row>
    <row r="2369" spans="1:2">
      <c r="A2369" s="98">
        <v>45776</v>
      </c>
      <c r="B2369" s="97">
        <v>2800.55</v>
      </c>
    </row>
    <row r="2370" spans="1:2">
      <c r="A2370" s="98">
        <v>45777</v>
      </c>
      <c r="B2370" s="97">
        <v>2814.08</v>
      </c>
    </row>
    <row r="2371" spans="1:2">
      <c r="A2371" s="98">
        <v>45778</v>
      </c>
      <c r="B2371" s="97">
        <v>2815.46</v>
      </c>
    </row>
    <row r="2372" spans="1:2">
      <c r="A2372" s="98">
        <v>45779</v>
      </c>
      <c r="B2372" s="97">
        <v>2867.52</v>
      </c>
    </row>
    <row r="2373" spans="1:2">
      <c r="A2373" s="98">
        <v>45782</v>
      </c>
      <c r="B2373" s="97">
        <v>2874.92</v>
      </c>
    </row>
    <row r="2374" spans="1:2">
      <c r="A2374" s="98">
        <v>45783</v>
      </c>
      <c r="B2374" s="97">
        <v>2860.44</v>
      </c>
    </row>
    <row r="2375" spans="1:2">
      <c r="A2375" s="98">
        <v>45784</v>
      </c>
      <c r="B2375" s="97">
        <v>2853.32</v>
      </c>
    </row>
    <row r="2376" spans="1:2">
      <c r="A2376" s="98">
        <v>45785</v>
      </c>
      <c r="B2376" s="97">
        <v>2881.68</v>
      </c>
    </row>
    <row r="2377" spans="1:2">
      <c r="A2377" s="98">
        <v>45786</v>
      </c>
      <c r="B2377" s="97">
        <v>2885.88</v>
      </c>
    </row>
    <row r="2378" spans="1:2">
      <c r="A2378" s="98">
        <v>45789</v>
      </c>
      <c r="B2378" s="97">
        <v>2949.94</v>
      </c>
    </row>
    <row r="2379" spans="1:2">
      <c r="A2379" s="98">
        <v>45790</v>
      </c>
      <c r="B2379" s="97">
        <v>2959.11</v>
      </c>
    </row>
    <row r="2380" spans="1:2">
      <c r="A2380" s="98">
        <v>45791</v>
      </c>
      <c r="B2380" s="97">
        <v>2952.8</v>
      </c>
    </row>
    <row r="2381" spans="1:2">
      <c r="A2381" s="98">
        <v>45792</v>
      </c>
      <c r="B2381" s="97">
        <v>2970.72</v>
      </c>
    </row>
    <row r="2382" spans="1:2">
      <c r="A2382" s="98">
        <v>45793</v>
      </c>
      <c r="B2382" s="97">
        <v>2990.82</v>
      </c>
    </row>
    <row r="2383" spans="1:2">
      <c r="A2383" s="98">
        <v>45796</v>
      </c>
      <c r="B2383" s="97">
        <v>2984.09</v>
      </c>
    </row>
    <row r="2384" spans="1:2">
      <c r="A2384" s="98">
        <v>45797</v>
      </c>
      <c r="B2384" s="97">
        <v>2994.54</v>
      </c>
    </row>
    <row r="2385" spans="1:2">
      <c r="A2385" s="98">
        <v>45798</v>
      </c>
      <c r="B2385" s="97">
        <v>2977.39</v>
      </c>
    </row>
    <row r="2386" spans="1:2">
      <c r="A2386" s="98">
        <v>45799</v>
      </c>
      <c r="B2386" s="97">
        <v>2970.65</v>
      </c>
    </row>
    <row r="2387" spans="1:2">
      <c r="A2387" s="98">
        <v>45800</v>
      </c>
      <c r="B2387" s="97">
        <v>2923.99</v>
      </c>
    </row>
    <row r="2388" spans="1:2">
      <c r="A2388" s="98">
        <v>45803</v>
      </c>
      <c r="B2388" s="97">
        <v>2944.41</v>
      </c>
    </row>
    <row r="2389" spans="1:2">
      <c r="A2389" s="98">
        <v>45804</v>
      </c>
      <c r="B2389" s="97">
        <v>2975</v>
      </c>
    </row>
    <row r="2390" spans="1:2">
      <c r="A2390" s="98">
        <v>45805</v>
      </c>
      <c r="B2390" s="97">
        <v>2960.29</v>
      </c>
    </row>
    <row r="2391" spans="1:2">
      <c r="A2391" s="98">
        <v>45806</v>
      </c>
      <c r="B2391" s="97">
        <v>2956.65</v>
      </c>
    </row>
    <row r="2392" spans="1:2">
      <c r="A2392" s="98">
        <v>45807</v>
      </c>
      <c r="B2392" s="97">
        <v>2951.13</v>
      </c>
    </row>
    <row r="2393" spans="1:2">
      <c r="A2393" s="98">
        <v>45810</v>
      </c>
      <c r="B2393" s="97">
        <v>2944.76</v>
      </c>
    </row>
    <row r="2394" spans="1:2">
      <c r="A2394" s="98">
        <v>45811</v>
      </c>
      <c r="B2394" s="97">
        <v>2956.79</v>
      </c>
    </row>
    <row r="2395" spans="1:2">
      <c r="A2395" s="98">
        <v>45812</v>
      </c>
      <c r="B2395" s="97">
        <v>2960.11</v>
      </c>
    </row>
    <row r="2396" spans="1:2">
      <c r="A2396" s="98">
        <v>45813</v>
      </c>
      <c r="B2396" s="97">
        <v>2965.84</v>
      </c>
    </row>
    <row r="2397" spans="1:2">
      <c r="A2397" s="98">
        <v>45814</v>
      </c>
      <c r="B2397" s="97">
        <v>2989.21</v>
      </c>
    </row>
    <row r="2398" spans="1:2">
      <c r="A2398" s="98">
        <v>45817</v>
      </c>
      <c r="B2398" s="97">
        <v>2984.56</v>
      </c>
    </row>
    <row r="2399" spans="1:2">
      <c r="A2399" s="98">
        <v>45818</v>
      </c>
      <c r="B2399" s="97">
        <v>2977.11</v>
      </c>
    </row>
    <row r="2400" spans="1:2">
      <c r="A2400" s="98">
        <v>45819</v>
      </c>
      <c r="B2400" s="97">
        <v>2961.77</v>
      </c>
    </row>
    <row r="2401" spans="1:2">
      <c r="A2401" s="98">
        <v>45820</v>
      </c>
      <c r="B2401" s="97">
        <v>2936.04</v>
      </c>
    </row>
    <row r="2402" spans="1:2">
      <c r="A2402" s="98">
        <v>45821</v>
      </c>
      <c r="B2402" s="97">
        <v>2893.17</v>
      </c>
    </row>
    <row r="2403" spans="1:2">
      <c r="A2403" s="98">
        <v>45824</v>
      </c>
      <c r="B2403" s="97">
        <v>2930.91</v>
      </c>
    </row>
    <row r="2404" spans="1:2">
      <c r="A2404" s="98">
        <v>45825</v>
      </c>
      <c r="B2404" s="97">
        <v>2897.37</v>
      </c>
    </row>
    <row r="2405" spans="1:2">
      <c r="A2405" s="98">
        <v>45826</v>
      </c>
      <c r="B2405" s="97">
        <v>2887.11</v>
      </c>
    </row>
    <row r="2406" spans="1:2">
      <c r="A2406" s="98">
        <v>45827</v>
      </c>
      <c r="B2406" s="97">
        <v>2862.7</v>
      </c>
    </row>
    <row r="2407" spans="1:2">
      <c r="A2407" s="98">
        <v>45828</v>
      </c>
      <c r="B2407" s="97">
        <v>2866.16</v>
      </c>
    </row>
    <row r="2408" spans="1:2">
      <c r="A2408" s="98">
        <v>45831</v>
      </c>
      <c r="B2408" s="97">
        <v>2865.54</v>
      </c>
    </row>
    <row r="2409" spans="1:2">
      <c r="A2409" s="98">
        <v>45832</v>
      </c>
      <c r="B2409" s="97">
        <v>2898.03</v>
      </c>
    </row>
    <row r="2410" spans="1:2">
      <c r="A2410" s="98">
        <v>45833</v>
      </c>
      <c r="B2410" s="97">
        <v>2887.42</v>
      </c>
    </row>
    <row r="2411" spans="1:2">
      <c r="A2411" s="98">
        <v>45834</v>
      </c>
      <c r="B2411" s="97">
        <v>2883</v>
      </c>
    </row>
    <row r="2412" spans="1:2">
      <c r="A2412" s="98">
        <v>45835</v>
      </c>
      <c r="B2412" s="97">
        <v>2913.08</v>
      </c>
    </row>
    <row r="2413" spans="1:2">
      <c r="A2413" s="98">
        <v>45838</v>
      </c>
      <c r="B2413" s="97">
        <v>2916.66</v>
      </c>
    </row>
    <row r="2414" spans="1:2">
      <c r="A2414" s="98">
        <v>45839</v>
      </c>
      <c r="B2414" s="97">
        <v>2905.64</v>
      </c>
    </row>
    <row r="2415" spans="1:2">
      <c r="A2415" s="98">
        <v>45840</v>
      </c>
      <c r="B2415" s="97">
        <v>2918.44</v>
      </c>
    </row>
    <row r="2416" spans="1:2">
      <c r="A2416" s="98">
        <v>45841</v>
      </c>
      <c r="B2416" s="97">
        <v>2938.42</v>
      </c>
    </row>
    <row r="2417" spans="1:2">
      <c r="A2417" s="98">
        <v>45842</v>
      </c>
      <c r="B2417" s="97">
        <v>2918.25</v>
      </c>
    </row>
    <row r="2418" spans="1:2">
      <c r="A2418" s="98">
        <v>45845</v>
      </c>
      <c r="B2418" s="97">
        <v>2935.4</v>
      </c>
    </row>
    <row r="2419" spans="1:2">
      <c r="A2419" s="98">
        <v>45846</v>
      </c>
      <c r="B2419" s="97">
        <v>2944.57</v>
      </c>
    </row>
    <row r="2420" spans="1:2">
      <c r="A2420" s="98">
        <v>45847</v>
      </c>
      <c r="B2420" s="97">
        <v>2972.69</v>
      </c>
    </row>
    <row r="2421" spans="1:2">
      <c r="A2421" s="98">
        <v>45848</v>
      </c>
      <c r="B2421" s="97">
        <v>2968.41</v>
      </c>
    </row>
    <row r="2422" spans="1:2">
      <c r="A2422" s="98">
        <v>45849</v>
      </c>
      <c r="B2422" s="97">
        <v>2938.78</v>
      </c>
    </row>
    <row r="2423" spans="1:2">
      <c r="A2423" s="98">
        <v>45852</v>
      </c>
      <c r="B2423" s="97">
        <v>2939.99</v>
      </c>
    </row>
    <row r="2424" spans="1:2">
      <c r="A2424" s="98">
        <v>45853</v>
      </c>
      <c r="B2424" s="97">
        <v>2924.5</v>
      </c>
    </row>
    <row r="2425" spans="1:2">
      <c r="A2425" s="98">
        <v>45854</v>
      </c>
      <c r="B2425" s="97">
        <v>2918.91</v>
      </c>
    </row>
    <row r="2426" spans="1:2">
      <c r="A2426" s="98">
        <v>45855</v>
      </c>
      <c r="B2426" s="97">
        <v>2946.26</v>
      </c>
    </row>
    <row r="2427" spans="1:2">
      <c r="A2427" s="98">
        <v>45856</v>
      </c>
      <c r="B2427" s="97">
        <v>2943.63</v>
      </c>
    </row>
    <row r="2428" spans="1:2">
      <c r="A2428" s="98">
        <v>45859</v>
      </c>
      <c r="B2428" s="97">
        <v>2939.68</v>
      </c>
    </row>
    <row r="2429" spans="1:2">
      <c r="A2429" s="98">
        <v>45860</v>
      </c>
      <c r="B2429" s="97">
        <v>2924.66</v>
      </c>
    </row>
    <row r="2430" spans="1:2">
      <c r="A2430" s="98">
        <v>45861</v>
      </c>
      <c r="B2430" s="97">
        <v>2947.3</v>
      </c>
    </row>
    <row r="2431" spans="1:2">
      <c r="A2431" s="98">
        <v>45862</v>
      </c>
      <c r="B2431" s="97">
        <v>2950.19</v>
      </c>
    </row>
    <row r="2432" spans="1:2">
      <c r="A2432" s="98">
        <v>45863</v>
      </c>
      <c r="B2432" s="97">
        <v>2956.13</v>
      </c>
    </row>
    <row r="2433" spans="1:2">
      <c r="A2433" s="98">
        <v>45866</v>
      </c>
      <c r="B2433" s="97">
        <v>2956.33</v>
      </c>
    </row>
    <row r="2434" spans="1:2">
      <c r="A2434" s="98">
        <v>45867</v>
      </c>
      <c r="B2434" s="97">
        <v>2984.93</v>
      </c>
    </row>
    <row r="2435" spans="1:2">
      <c r="A2435" s="98">
        <v>45868</v>
      </c>
      <c r="B2435" s="97">
        <v>2991.24</v>
      </c>
    </row>
    <row r="2436" spans="1:2">
      <c r="A2436" s="98">
        <v>45869</v>
      </c>
      <c r="B2436" s="97">
        <v>2955.63</v>
      </c>
    </row>
    <row r="2437" spans="1:2">
      <c r="A2437" s="98">
        <v>45870</v>
      </c>
      <c r="B2437" s="97">
        <v>2889.08</v>
      </c>
    </row>
    <row r="2438" spans="1:2">
      <c r="A2438" s="98">
        <v>45873</v>
      </c>
      <c r="B2438" s="97">
        <v>2927.56</v>
      </c>
    </row>
    <row r="2439" spans="1:2">
      <c r="A2439" s="98">
        <v>45874</v>
      </c>
      <c r="B2439" s="97">
        <v>2923.04</v>
      </c>
    </row>
    <row r="2440" spans="1:2">
      <c r="A2440" s="98">
        <v>45875</v>
      </c>
      <c r="B2440" s="97">
        <v>2936.07</v>
      </c>
    </row>
    <row r="2441" spans="1:2">
      <c r="A2441" s="98">
        <v>45876</v>
      </c>
      <c r="B2441" s="97">
        <v>2953.08</v>
      </c>
    </row>
    <row r="2442" spans="1:2">
      <c r="A2442" s="98">
        <v>45877</v>
      </c>
      <c r="B2442" s="97">
        <v>2959.19</v>
      </c>
    </row>
    <row r="2443" spans="1:2">
      <c r="A2443" s="98">
        <v>45880</v>
      </c>
      <c r="B2443" s="97">
        <v>2952.08</v>
      </c>
    </row>
    <row r="2444" spans="1:2">
      <c r="A2444" s="98">
        <v>45881</v>
      </c>
      <c r="B2444" s="97">
        <v>2949.96</v>
      </c>
    </row>
    <row r="2445" spans="1:2">
      <c r="A2445" s="98">
        <v>45882</v>
      </c>
      <c r="B2445" s="97">
        <v>2973.26</v>
      </c>
    </row>
    <row r="2446" spans="1:2">
      <c r="A2446" s="98">
        <v>45883</v>
      </c>
      <c r="B2446" s="97">
        <v>2997.23</v>
      </c>
    </row>
    <row r="2447" spans="1:2">
      <c r="A2447" s="98">
        <v>45884</v>
      </c>
      <c r="B2447" s="97">
        <v>3000.14</v>
      </c>
    </row>
    <row r="2448" spans="1:2">
      <c r="A2448" s="98">
        <v>45887</v>
      </c>
      <c r="B2448" s="97">
        <v>3005.13</v>
      </c>
    </row>
    <row r="2449" spans="1:2">
      <c r="A2449" s="98">
        <v>45888</v>
      </c>
      <c r="B2449" s="97">
        <v>3013.5</v>
      </c>
    </row>
    <row r="2450" spans="1:2">
      <c r="A2450" s="98">
        <v>45889</v>
      </c>
      <c r="B2450" s="97">
        <v>3014.92</v>
      </c>
    </row>
    <row r="2451" spans="1:2">
      <c r="A2451" s="98">
        <v>45890</v>
      </c>
      <c r="B2451" s="97">
        <v>3010.94</v>
      </c>
    </row>
    <row r="2452" spans="1:2">
      <c r="A2452" s="98">
        <v>45891</v>
      </c>
      <c r="B2452" s="97">
        <v>3022.28</v>
      </c>
    </row>
    <row r="2453" spans="1:2">
      <c r="A2453" s="98">
        <v>45894</v>
      </c>
      <c r="B2453" s="97">
        <v>3006.97</v>
      </c>
    </row>
    <row r="2454" spans="1:2">
      <c r="A2454" s="98">
        <v>45895</v>
      </c>
      <c r="B2454" s="97">
        <v>2988.63</v>
      </c>
    </row>
    <row r="2455" spans="1:2">
      <c r="A2455" s="98">
        <v>45896</v>
      </c>
      <c r="B2455" s="97">
        <v>2997.15</v>
      </c>
    </row>
    <row r="2456" spans="1:2">
      <c r="A2456" s="98">
        <v>45897</v>
      </c>
      <c r="B2456" s="97">
        <v>2998.03</v>
      </c>
    </row>
    <row r="2457" spans="1:2">
      <c r="A2457" s="98">
        <v>45898</v>
      </c>
      <c r="B2457" s="97">
        <v>2978.8</v>
      </c>
    </row>
    <row r="2458" spans="1:2">
      <c r="A2458" s="98">
        <v>45901</v>
      </c>
      <c r="B2458" s="97">
        <v>2982.3</v>
      </c>
    </row>
    <row r="2459" spans="1:2">
      <c r="A2459" s="98">
        <v>45902</v>
      </c>
      <c r="B2459" s="97">
        <v>2951.5</v>
      </c>
    </row>
    <row r="2460" spans="1:2">
      <c r="A2460" s="98">
        <v>45903</v>
      </c>
      <c r="B2460" s="97">
        <v>2969.28</v>
      </c>
    </row>
    <row r="2461" spans="1:2">
      <c r="A2461" s="98">
        <v>45904</v>
      </c>
      <c r="B2461" s="97">
        <v>2977.56</v>
      </c>
    </row>
    <row r="2462" spans="1:2">
      <c r="A2462" s="98">
        <v>45905</v>
      </c>
      <c r="B2462" s="97">
        <v>2960.05</v>
      </c>
    </row>
    <row r="2463" spans="1:2">
      <c r="A2463" s="98">
        <v>45908</v>
      </c>
      <c r="B2463" s="97">
        <v>2976.03</v>
      </c>
    </row>
    <row r="2464" spans="1:2">
      <c r="A2464" s="98">
        <v>45909</v>
      </c>
      <c r="B2464" s="97">
        <v>2986.06</v>
      </c>
    </row>
    <row r="2465" spans="1:2">
      <c r="A2465" s="98">
        <v>45910</v>
      </c>
      <c r="B2465" s="97">
        <v>2987.38</v>
      </c>
    </row>
    <row r="2466" spans="1:2">
      <c r="A2466" s="98">
        <v>45911</v>
      </c>
      <c r="B2466" s="97">
        <v>3014.47</v>
      </c>
    </row>
    <row r="2467" spans="1:2">
      <c r="A2467" s="98">
        <v>45912</v>
      </c>
      <c r="B2467" s="97">
        <v>3011.42</v>
      </c>
    </row>
    <row r="2468" spans="1:2">
      <c r="A2468" s="98">
        <v>45915</v>
      </c>
      <c r="B2468" s="97">
        <v>3036.09</v>
      </c>
    </row>
    <row r="2469" spans="1:2">
      <c r="A2469" s="98">
        <v>45916</v>
      </c>
      <c r="B2469" s="97">
        <v>3003.57</v>
      </c>
    </row>
    <row r="2470" spans="1:2">
      <c r="A2470" s="98">
        <v>45917</v>
      </c>
      <c r="B2470" s="97">
        <v>3008.19</v>
      </c>
    </row>
    <row r="2471" spans="1:2">
      <c r="A2471" s="98">
        <v>45918</v>
      </c>
      <c r="B2471" s="97">
        <v>3044.26</v>
      </c>
    </row>
    <row r="2472" spans="1:2">
      <c r="A2472" s="98">
        <v>45919</v>
      </c>
      <c r="B2472" s="97">
        <v>3045.58</v>
      </c>
    </row>
    <row r="2473" spans="1:2">
      <c r="A2473" s="98">
        <v>45922</v>
      </c>
      <c r="B2473" s="97">
        <v>3042.4</v>
      </c>
    </row>
    <row r="2474" spans="1:2">
      <c r="A2474" s="98">
        <v>45923</v>
      </c>
      <c r="B2474" s="97">
        <v>3038.35</v>
      </c>
    </row>
    <row r="2475" spans="1:2">
      <c r="A2475" s="98">
        <v>45924</v>
      </c>
      <c r="B2475" s="97">
        <v>3034.44</v>
      </c>
    </row>
    <row r="2476" spans="1:2">
      <c r="A2476" s="98">
        <v>45925</v>
      </c>
      <c r="B2476" s="97">
        <v>3027.65</v>
      </c>
    </row>
    <row r="2477" spans="1:2">
      <c r="A2477" s="98">
        <v>45926</v>
      </c>
      <c r="B2477" s="97">
        <v>3055</v>
      </c>
    </row>
    <row r="2478" spans="1:2">
      <c r="A2478" s="98">
        <v>45929</v>
      </c>
      <c r="B2478" s="97">
        <v>3065.12</v>
      </c>
    </row>
    <row r="2479" spans="1:2">
      <c r="A2479" s="98">
        <v>45930</v>
      </c>
      <c r="B2479" s="97">
        <v>3080.33</v>
      </c>
    </row>
    <row r="2480" spans="1:2">
      <c r="A2480" s="98">
        <v>45931</v>
      </c>
      <c r="B2480" s="97">
        <v>3103.42</v>
      </c>
    </row>
    <row r="2481" spans="1:2">
      <c r="A2481" s="98">
        <v>45932</v>
      </c>
      <c r="B2481" s="97">
        <v>3126.48</v>
      </c>
    </row>
    <row r="2482" spans="1:2">
      <c r="A2482" s="98">
        <v>45933</v>
      </c>
      <c r="B2482" s="97">
        <v>3129.64</v>
      </c>
    </row>
    <row r="2483" spans="1:2">
      <c r="A2483" s="98">
        <v>45936</v>
      </c>
      <c r="B2483" s="97">
        <v>3117.57</v>
      </c>
    </row>
    <row r="2484" spans="1:2">
      <c r="A2484" s="98">
        <v>45937</v>
      </c>
      <c r="B2484" s="97">
        <v>3123.06</v>
      </c>
    </row>
    <row r="2485" spans="1:2">
      <c r="A2485" s="98">
        <v>45938</v>
      </c>
      <c r="B2485" s="97">
        <v>3143.62</v>
      </c>
    </row>
    <row r="2486" spans="1:2">
      <c r="A2486" s="98">
        <v>45939</v>
      </c>
      <c r="B2486" s="97">
        <v>3123.1</v>
      </c>
    </row>
    <row r="2487" spans="1:2">
      <c r="A2487" s="98">
        <v>45940</v>
      </c>
      <c r="B2487" s="97">
        <v>3070.06</v>
      </c>
    </row>
    <row r="2488" spans="1:2">
      <c r="A2488" s="98">
        <v>45943</v>
      </c>
      <c r="B2488" s="97">
        <v>3087.56</v>
      </c>
    </row>
    <row r="2489" spans="1:2">
      <c r="A2489" s="98">
        <v>45944</v>
      </c>
      <c r="B2489" s="97">
        <v>3085.64</v>
      </c>
    </row>
    <row r="2490" spans="1:2">
      <c r="A2490" s="98">
        <v>45945</v>
      </c>
      <c r="B2490" s="97">
        <v>3104.6</v>
      </c>
    </row>
    <row r="2491" spans="1:2">
      <c r="A2491" s="98">
        <v>45946</v>
      </c>
      <c r="B2491" s="97">
        <v>3102.19</v>
      </c>
    </row>
    <row r="2492" spans="1:2">
      <c r="A2492" s="98">
        <v>45947</v>
      </c>
      <c r="B2492" s="97">
        <v>3094.36</v>
      </c>
    </row>
    <row r="2493" spans="1:2">
      <c r="A2493" s="98">
        <v>45950</v>
      </c>
      <c r="B2493" s="97">
        <v>3139.61</v>
      </c>
    </row>
    <row r="2494" spans="1:2">
      <c r="A2494" s="98">
        <v>45951</v>
      </c>
      <c r="B2494" s="97">
        <v>3156.58</v>
      </c>
    </row>
    <row r="2495" spans="1:2">
      <c r="A2495" s="98">
        <v>45952</v>
      </c>
      <c r="B2495" s="97">
        <v>3143.68</v>
      </c>
    </row>
    <row r="2496" spans="1:2">
      <c r="A2496" s="98">
        <v>45953</v>
      </c>
      <c r="B2496" s="97">
        <v>3151.06</v>
      </c>
    </row>
    <row r="2497" spans="1:2">
      <c r="A2497" s="98">
        <v>45954</v>
      </c>
      <c r="B2497" s="97">
        <v>3159.55</v>
      </c>
    </row>
    <row r="2498" spans="1:2">
      <c r="A2498" s="98">
        <v>45957</v>
      </c>
      <c r="B2498" s="97">
        <v>3184.4</v>
      </c>
    </row>
    <row r="2499" spans="1:2">
      <c r="A2499" s="98">
        <v>45958</v>
      </c>
      <c r="B2499" s="97">
        <v>3182.04</v>
      </c>
    </row>
    <row r="2500" spans="1:2">
      <c r="A2500" s="98">
        <v>45959</v>
      </c>
      <c r="B2500" s="97">
        <v>3165.95</v>
      </c>
    </row>
    <row r="2501" spans="1:2">
      <c r="A2501" s="98">
        <v>45960</v>
      </c>
      <c r="B2501" s="97">
        <v>3174.91</v>
      </c>
    </row>
    <row r="2502" spans="1:2">
      <c r="A2502" s="98">
        <v>45961</v>
      </c>
      <c r="B2502" s="97">
        <v>3165.84</v>
      </c>
    </row>
    <row r="2503" spans="1:2">
      <c r="A2503" s="98">
        <v>45964</v>
      </c>
      <c r="B2503" s="97">
        <v>3164.69</v>
      </c>
    </row>
    <row r="2504" spans="1:2">
      <c r="A2504" s="98">
        <v>45965</v>
      </c>
      <c r="B2504" s="97">
        <v>3142.46</v>
      </c>
    </row>
    <row r="2505" spans="1:2">
      <c r="A2505" s="98">
        <v>45966</v>
      </c>
      <c r="B2505" s="97">
        <v>3150.06</v>
      </c>
    </row>
    <row r="2506" spans="1:2">
      <c r="A2506" s="98">
        <v>45967</v>
      </c>
      <c r="B2506" s="97">
        <v>3113.02</v>
      </c>
    </row>
    <row r="2507" spans="1:2">
      <c r="A2507" s="98">
        <v>45968</v>
      </c>
      <c r="B2507" s="97">
        <v>3097.74</v>
      </c>
    </row>
    <row r="2508" spans="1:2">
      <c r="A2508" s="98">
        <v>45971</v>
      </c>
      <c r="B2508" s="97">
        <v>3147.9</v>
      </c>
    </row>
    <row r="2509" spans="1:2">
      <c r="A2509" s="98">
        <v>45972</v>
      </c>
      <c r="B2509" s="97">
        <v>3176.79</v>
      </c>
    </row>
    <row r="2510" spans="1:2">
      <c r="A2510" s="98">
        <v>45973</v>
      </c>
      <c r="B2510" s="97">
        <v>3208.39</v>
      </c>
    </row>
    <row r="2511" spans="1:2">
      <c r="A2511" s="98">
        <v>45974</v>
      </c>
      <c r="B2511" s="97">
        <v>3190.17</v>
      </c>
    </row>
    <row r="2512" spans="1:2">
      <c r="A2512" s="98">
        <v>45975</v>
      </c>
      <c r="B2512" s="97">
        <v>3164.71</v>
      </c>
    </row>
    <row r="2513" spans="1:2">
      <c r="A2513" s="98">
        <v>45978</v>
      </c>
      <c r="B2513" s="97">
        <v>3130.99</v>
      </c>
    </row>
    <row r="2514" spans="1:2">
      <c r="A2514" s="98">
        <v>45979</v>
      </c>
      <c r="B2514" s="97">
        <v>3083.12</v>
      </c>
    </row>
    <row r="2515" spans="1:2">
      <c r="A2515" s="98">
        <v>45980</v>
      </c>
      <c r="B2515" s="97">
        <v>3087.51</v>
      </c>
    </row>
    <row r="2516" spans="1:2">
      <c r="A2516" s="98">
        <v>45981</v>
      </c>
      <c r="B2516" s="97">
        <v>3090.28</v>
      </c>
    </row>
    <row r="2517" spans="1:2">
      <c r="A2517" s="98">
        <v>45982</v>
      </c>
      <c r="B2517" s="97">
        <v>3102.29</v>
      </c>
    </row>
    <row r="2518" spans="1:2">
      <c r="A2518" s="98">
        <v>45985</v>
      </c>
      <c r="B2518" s="97">
        <v>3105.61</v>
      </c>
    </row>
    <row r="2519" spans="1:2">
      <c r="A2519" s="98">
        <v>45986</v>
      </c>
      <c r="B2519" s="97">
        <v>3131.35</v>
      </c>
    </row>
    <row r="2520" spans="1:2">
      <c r="A2520" s="98">
        <v>45987</v>
      </c>
      <c r="B2520" s="97">
        <v>3148.94</v>
      </c>
    </row>
    <row r="2521" spans="1:2">
      <c r="A2521" s="98">
        <v>45988</v>
      </c>
      <c r="B2521" s="97">
        <v>3149.69</v>
      </c>
    </row>
    <row r="2522" spans="1:2">
      <c r="A2522" s="98">
        <v>45989</v>
      </c>
      <c r="B2522" s="97">
        <v>3159.97</v>
      </c>
    </row>
    <row r="2523" spans="1:2">
      <c r="A2523" s="98">
        <v>45992</v>
      </c>
      <c r="B2523" s="97">
        <v>3149.45</v>
      </c>
    </row>
    <row r="2524" spans="1:2">
      <c r="A2524" s="98">
        <v>45993</v>
      </c>
      <c r="B2524" s="97">
        <v>3157.62</v>
      </c>
    </row>
    <row r="2525" spans="1:2">
      <c r="A2525" s="98">
        <v>45994</v>
      </c>
      <c r="B2525" s="97">
        <v>3170.17</v>
      </c>
    </row>
    <row r="2526" spans="1:2">
      <c r="A2526" s="98">
        <v>45995</v>
      </c>
      <c r="B2526" s="97">
        <v>3187.74</v>
      </c>
    </row>
    <row r="2527" spans="1:2">
      <c r="A2527" s="98">
        <v>45996</v>
      </c>
      <c r="B2527" s="97">
        <v>3198.19</v>
      </c>
    </row>
    <row r="2528" spans="1:2">
      <c r="A2528" s="98">
        <v>45999</v>
      </c>
      <c r="B2528" s="97">
        <v>3199.1</v>
      </c>
    </row>
    <row r="2529" spans="1:2">
      <c r="A2529" s="98">
        <v>46000</v>
      </c>
      <c r="B2529" s="97">
        <v>3204.88</v>
      </c>
    </row>
    <row r="2530" spans="1:2">
      <c r="A2530" s="98">
        <v>46001</v>
      </c>
      <c r="B2530" s="97">
        <v>3201.83</v>
      </c>
    </row>
    <row r="2531" spans="1:2">
      <c r="A2531" s="98">
        <v>46002</v>
      </c>
      <c r="B2531" s="97">
        <v>3213.96</v>
      </c>
    </row>
    <row r="2532" spans="1:2">
      <c r="A2532" s="98">
        <v>46003</v>
      </c>
      <c r="B2532" s="97">
        <v>3202.4</v>
      </c>
    </row>
    <row r="2533" spans="1:2">
      <c r="A2533" s="98">
        <v>46006</v>
      </c>
      <c r="B2533" s="97">
        <v>3212.36</v>
      </c>
    </row>
    <row r="2534" spans="1:2">
      <c r="A2534" s="98">
        <v>46007</v>
      </c>
      <c r="B2534" s="97">
        <v>3196.02</v>
      </c>
    </row>
    <row r="2535" spans="1:2">
      <c r="A2535" s="98">
        <v>46008</v>
      </c>
      <c r="B2535" s="97">
        <v>3192.66</v>
      </c>
    </row>
    <row r="2536" spans="1:2">
      <c r="A2536" s="98">
        <v>46009</v>
      </c>
      <c r="B2536" s="97">
        <v>3222.66</v>
      </c>
    </row>
    <row r="2537" spans="1:2">
      <c r="A2537" s="98">
        <v>46010</v>
      </c>
      <c r="B2537" s="97">
        <v>3234.42</v>
      </c>
    </row>
    <row r="2538" spans="1:2">
      <c r="A2538" s="98">
        <v>46013</v>
      </c>
      <c r="B2538" s="97">
        <v>3236.97</v>
      </c>
    </row>
    <row r="2539" spans="1:2">
      <c r="A2539" s="98">
        <v>46014</v>
      </c>
      <c r="B2539" s="97">
        <v>3237.14</v>
      </c>
    </row>
    <row r="2540" spans="1:2">
      <c r="A2540" s="98">
        <v>46015</v>
      </c>
      <c r="B2540" s="97">
        <v>3239.15</v>
      </c>
    </row>
    <row r="2541" spans="1:2">
      <c r="A2541" s="98">
        <v>46017</v>
      </c>
      <c r="B2541" s="97">
        <v>3240.98</v>
      </c>
    </row>
    <row r="2542" spans="1:2">
      <c r="A2542" s="98">
        <v>46020</v>
      </c>
      <c r="B2542" s="97">
        <v>3236.1</v>
      </c>
    </row>
    <row r="2543" spans="1:2">
      <c r="A2543" s="98">
        <v>46021</v>
      </c>
      <c r="B2543" s="97">
        <v>3249.32</v>
      </c>
    </row>
    <row r="2544" spans="1:2">
      <c r="A2544" s="98">
        <v>46022</v>
      </c>
      <c r="B2544" s="97">
        <v>3240.01</v>
      </c>
    </row>
    <row r="2545" spans="1:2">
      <c r="A2545" s="98">
        <v>46024</v>
      </c>
      <c r="B2545" s="97">
        <v>3242.97</v>
      </c>
    </row>
    <row r="2546" spans="1:2">
      <c r="A2546" s="98">
        <v>46027</v>
      </c>
      <c r="B2546" s="97">
        <v>3279.76</v>
      </c>
    </row>
    <row r="2547" spans="1:2">
      <c r="A2547" s="98">
        <v>46028</v>
      </c>
      <c r="B2547" s="97">
        <v>3302.06</v>
      </c>
    </row>
    <row r="2548" spans="1:2">
      <c r="A2548" s="98">
        <v>46029</v>
      </c>
      <c r="B2548" s="97">
        <v>3296.7</v>
      </c>
    </row>
    <row r="2549" spans="1:2">
      <c r="A2549" s="98">
        <v>46030</v>
      </c>
      <c r="B2549" s="97">
        <v>3308.02</v>
      </c>
    </row>
    <row r="2550" spans="1:2">
      <c r="A2550" s="98">
        <v>46031</v>
      </c>
      <c r="B2550" s="97">
        <v>3323.76</v>
      </c>
    </row>
    <row r="2551" spans="1:2">
      <c r="A2551" s="98">
        <v>46034</v>
      </c>
      <c r="B2551" s="97">
        <v>3318.43</v>
      </c>
    </row>
    <row r="2552" spans="1:2">
      <c r="A2552" s="98">
        <v>46035</v>
      </c>
      <c r="B2552" s="97">
        <v>3294.73</v>
      </c>
    </row>
    <row r="2553" spans="1:2">
      <c r="A2553" s="98">
        <v>46036</v>
      </c>
      <c r="B2553" s="97">
        <v>3286.26</v>
      </c>
    </row>
    <row r="2554" spans="1:2">
      <c r="A2554" s="98">
        <v>46037</v>
      </c>
      <c r="B2554" s="97">
        <v>3290.2</v>
      </c>
    </row>
    <row r="2555" spans="1:2">
      <c r="A2555" s="98">
        <v>46038</v>
      </c>
      <c r="B2555" s="97">
        <v>3275.21</v>
      </c>
    </row>
    <row r="2556" spans="1:2">
      <c r="A2556" s="98">
        <v>46041</v>
      </c>
      <c r="B2556" s="97">
        <v>3243.82</v>
      </c>
    </row>
    <row r="2557" spans="1:2">
      <c r="A2557" s="98">
        <v>46042</v>
      </c>
      <c r="B2557" s="97">
        <v>3194.96</v>
      </c>
    </row>
    <row r="2558" spans="1:2">
      <c r="A2558" s="98">
        <v>46043</v>
      </c>
      <c r="B2558" s="97">
        <v>3197.08</v>
      </c>
    </row>
    <row r="2559" spans="1:2">
      <c r="A2559" s="98">
        <v>46044</v>
      </c>
      <c r="B2559" s="97">
        <v>3222.45</v>
      </c>
    </row>
    <row r="2560" spans="1:2">
      <c r="A2560" s="98">
        <v>46045</v>
      </c>
      <c r="B2560" s="97">
        <v>3208.01</v>
      </c>
    </row>
    <row r="2561" spans="1:2">
      <c r="A2561" s="98">
        <v>46048</v>
      </c>
      <c r="B2561" s="97">
        <v>3205.29</v>
      </c>
    </row>
    <row r="2562" spans="1:2">
      <c r="A2562" s="98">
        <v>46049</v>
      </c>
      <c r="B2562" s="97">
        <v>3205.46</v>
      </c>
    </row>
    <row r="2563" spans="1:2">
      <c r="A2563" s="98">
        <v>46050</v>
      </c>
      <c r="B2563" s="97">
        <v>3177.94</v>
      </c>
    </row>
    <row r="2564" spans="1:2">
      <c r="A2564" s="98">
        <v>46051</v>
      </c>
      <c r="B2564" s="97">
        <v>3161.49</v>
      </c>
    </row>
    <row r="2565" spans="1:2">
      <c r="A2565" s="98">
        <v>46052</v>
      </c>
      <c r="B2565" s="97">
        <v>3197.54</v>
      </c>
    </row>
    <row r="2566" spans="1:2">
      <c r="A2566" s="98">
        <v>46055</v>
      </c>
      <c r="B2566" s="97">
        <v>3240.86</v>
      </c>
    </row>
    <row r="2567" spans="1:2">
      <c r="A2567" s="98">
        <v>46056</v>
      </c>
      <c r="B2567" s="97">
        <v>3195.21</v>
      </c>
    </row>
    <row r="2568" spans="1:2">
      <c r="A2568" s="98">
        <v>46057</v>
      </c>
      <c r="B2568" s="97">
        <v>3196.17</v>
      </c>
    </row>
    <row r="2569" spans="1:2">
      <c r="A2569" s="98">
        <v>46058</v>
      </c>
      <c r="B2569" s="97">
        <v>3160.4</v>
      </c>
    </row>
    <row r="2570" spans="1:2">
      <c r="A2570" s="98">
        <v>46059</v>
      </c>
      <c r="B2570" s="97">
        <v>3181.23</v>
      </c>
    </row>
    <row r="2571" spans="1:2">
      <c r="A2571" s="98">
        <v>46062</v>
      </c>
      <c r="B2571" s="97">
        <v>3189.41</v>
      </c>
    </row>
    <row r="2572" spans="1:2">
      <c r="A2572" s="98">
        <v>46063</v>
      </c>
      <c r="B2572" s="97">
        <v>3184.03</v>
      </c>
    </row>
    <row r="2573" spans="1:2">
      <c r="A2573" s="98">
        <v>46064</v>
      </c>
      <c r="B2573" s="97">
        <v>3138.29</v>
      </c>
    </row>
    <row r="2574" spans="1:2">
      <c r="A2574" s="98">
        <v>46065</v>
      </c>
      <c r="B2574" s="97">
        <v>3121.53</v>
      </c>
    </row>
    <row r="2575" spans="1:2">
      <c r="A2575" s="98">
        <v>46066</v>
      </c>
      <c r="B2575" s="97">
        <v>3107.93</v>
      </c>
    </row>
    <row r="2576" spans="1:2">
      <c r="A2576" s="98">
        <v>46069</v>
      </c>
      <c r="B2576" s="97">
        <v>3100.36</v>
      </c>
    </row>
    <row r="2577" spans="1:2">
      <c r="A2577" s="98">
        <v>46070</v>
      </c>
      <c r="B2577" s="97">
        <v>3113.29</v>
      </c>
    </row>
    <row r="2578" spans="1:2">
      <c r="A2578" s="98">
        <v>46071</v>
      </c>
      <c r="B2578" s="97">
        <v>3139.44</v>
      </c>
    </row>
    <row r="2579" spans="1:2">
      <c r="A2579" s="98">
        <v>46072</v>
      </c>
      <c r="B2579" s="97">
        <v>3124.91</v>
      </c>
    </row>
    <row r="2580" spans="1:2">
      <c r="A2580" s="98">
        <v>46073</v>
      </c>
      <c r="B2580" s="97">
        <v>3161.87</v>
      </c>
    </row>
    <row r="2581" spans="1:2">
      <c r="A2581" s="98">
        <v>46076</v>
      </c>
      <c r="B2581" s="97">
        <v>3132.8</v>
      </c>
    </row>
    <row r="2582" spans="1:2">
      <c r="A2582" s="98">
        <v>46077</v>
      </c>
      <c r="B2582" s="97">
        <v>3134.55</v>
      </c>
    </row>
    <row r="2583" spans="1:2">
      <c r="A2583" s="98">
        <v>46078</v>
      </c>
      <c r="B2583" s="97">
        <v>3159</v>
      </c>
    </row>
    <row r="2584" spans="1:2">
      <c r="A2584" s="98">
        <v>46079</v>
      </c>
      <c r="B2584" s="97">
        <v>3168.89</v>
      </c>
    </row>
    <row r="2585" spans="1:2">
      <c r="A2585" s="98">
        <v>46080</v>
      </c>
      <c r="B2585" s="97">
        <v>3171.72</v>
      </c>
    </row>
    <row r="2586" spans="1:2">
      <c r="A2586" s="98">
        <v>46083</v>
      </c>
      <c r="B2586" s="97">
        <v>3125.56</v>
      </c>
    </row>
    <row r="2587" spans="1:2">
      <c r="A2587" s="98">
        <v>46084</v>
      </c>
      <c r="B2587" s="97">
        <v>3067.03</v>
      </c>
    </row>
    <row r="2588" spans="1:2">
      <c r="A2588" s="98">
        <v>46085</v>
      </c>
      <c r="B2588" s="97">
        <v>3107.95</v>
      </c>
    </row>
    <row r="2589" spans="1:2">
      <c r="A2589" s="98">
        <v>46086</v>
      </c>
      <c r="B2589" s="97">
        <v>3090.06</v>
      </c>
    </row>
    <row r="2590" spans="1:2">
      <c r="A2590" s="98">
        <v>46087</v>
      </c>
      <c r="B2590" s="97">
        <v>3071.8</v>
      </c>
    </row>
    <row r="2591" spans="1:2">
      <c r="A2591" s="98">
        <v>46090</v>
      </c>
      <c r="B2591" s="97">
        <v>3053.14</v>
      </c>
    </row>
    <row r="2592" spans="1:2">
      <c r="A2592" s="98">
        <v>46091</v>
      </c>
      <c r="B2592" s="97">
        <v>3083.2</v>
      </c>
    </row>
    <row r="2593" spans="1:2">
      <c r="A2593" s="98">
        <v>46092</v>
      </c>
      <c r="B2593" s="97">
        <v>3067.01</v>
      </c>
    </row>
    <row r="2594" spans="1:2">
      <c r="A2594" s="98">
        <v>46093</v>
      </c>
      <c r="B2594" s="97">
        <v>3051.63</v>
      </c>
    </row>
    <row r="2595" spans="1:2">
      <c r="A2595" s="98">
        <v>46094</v>
      </c>
      <c r="B2595" s="97">
        <v>3035.04</v>
      </c>
    </row>
    <row r="2596" spans="1:2">
      <c r="A2596" s="98">
        <v>46097</v>
      </c>
      <c r="B2596" s="97">
        <v>3044.34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0F89-3369-4783-98AC-DB3AF05D7861}">
  <dimension ref="A1:C3572"/>
  <sheetViews>
    <sheetView topLeftCell="A3548" workbookViewId="0">
      <selection activeCell="B973" sqref="A973:B3572"/>
    </sheetView>
  </sheetViews>
  <sheetFormatPr baseColWidth="10" defaultRowHeight="14.4"/>
  <cols>
    <col min="2" max="2" width="11.5546875" style="16"/>
  </cols>
  <sheetData>
    <row r="1" spans="1:3" ht="96.6">
      <c r="A1" s="13"/>
      <c r="B1" s="102" t="s">
        <v>0</v>
      </c>
    </row>
    <row r="2" spans="1:3">
      <c r="A2" s="10" t="s">
        <v>201</v>
      </c>
      <c r="B2" s="16">
        <v>495.64</v>
      </c>
      <c r="C2" s="16"/>
    </row>
    <row r="3" spans="1:3">
      <c r="A3" s="10" t="s">
        <v>202</v>
      </c>
      <c r="B3" s="16">
        <v>493.34</v>
      </c>
    </row>
    <row r="4" spans="1:3">
      <c r="A4" s="10" t="s">
        <v>203</v>
      </c>
      <c r="B4" s="16">
        <v>492.7</v>
      </c>
    </row>
    <row r="5" spans="1:3">
      <c r="A5" s="10" t="s">
        <v>204</v>
      </c>
      <c r="B5" s="16">
        <v>488.16</v>
      </c>
    </row>
    <row r="6" spans="1:3">
      <c r="A6" s="10" t="s">
        <v>205</v>
      </c>
      <c r="B6" s="16">
        <v>486.54</v>
      </c>
    </row>
    <row r="7" spans="1:3">
      <c r="A7" s="10" t="s">
        <v>206</v>
      </c>
      <c r="B7" s="16">
        <v>490.28</v>
      </c>
    </row>
    <row r="8" spans="1:3">
      <c r="A8" s="10" t="s">
        <v>207</v>
      </c>
      <c r="B8" s="16">
        <v>489.87</v>
      </c>
    </row>
    <row r="9" spans="1:3">
      <c r="A9" s="10" t="s">
        <v>208</v>
      </c>
      <c r="B9" s="16">
        <v>487.58</v>
      </c>
    </row>
    <row r="10" spans="1:3">
      <c r="A10" s="10" t="s">
        <v>209</v>
      </c>
      <c r="B10" s="16">
        <v>483.4</v>
      </c>
    </row>
    <row r="11" spans="1:3">
      <c r="A11" s="10" t="s">
        <v>210</v>
      </c>
      <c r="B11" s="16">
        <v>485.11</v>
      </c>
    </row>
    <row r="12" spans="1:3">
      <c r="A12" s="10" t="s">
        <v>211</v>
      </c>
      <c r="B12" s="16">
        <v>489.12</v>
      </c>
    </row>
    <row r="13" spans="1:3">
      <c r="A13" s="10" t="s">
        <v>212</v>
      </c>
      <c r="B13" s="16">
        <v>484.39</v>
      </c>
    </row>
    <row r="14" spans="1:3">
      <c r="A14" s="10" t="s">
        <v>213</v>
      </c>
      <c r="B14" s="16">
        <v>480.48</v>
      </c>
    </row>
    <row r="15" spans="1:3">
      <c r="A15" s="10" t="s">
        <v>214</v>
      </c>
      <c r="B15" s="16">
        <v>481.78</v>
      </c>
    </row>
    <row r="16" spans="1:3">
      <c r="A16" s="10" t="s">
        <v>215</v>
      </c>
      <c r="B16" s="16">
        <v>468.24</v>
      </c>
    </row>
    <row r="17" spans="1:2">
      <c r="A17" s="10" t="s">
        <v>216</v>
      </c>
      <c r="B17" s="16">
        <v>470.29</v>
      </c>
    </row>
    <row r="18" spans="1:2">
      <c r="A18" s="10" t="s">
        <v>217</v>
      </c>
      <c r="B18" s="16">
        <v>472.84</v>
      </c>
    </row>
    <row r="19" spans="1:2">
      <c r="A19" s="10" t="s">
        <v>218</v>
      </c>
      <c r="B19" s="16">
        <v>466.62</v>
      </c>
    </row>
    <row r="20" spans="1:2">
      <c r="A20" s="10" t="s">
        <v>219</v>
      </c>
      <c r="B20" s="16">
        <v>467</v>
      </c>
    </row>
    <row r="21" spans="1:2">
      <c r="A21" s="10" t="s">
        <v>220</v>
      </c>
      <c r="B21" s="16">
        <v>475.82</v>
      </c>
    </row>
    <row r="22" spans="1:2">
      <c r="A22" s="10" t="s">
        <v>221</v>
      </c>
      <c r="B22" s="16">
        <v>471.14</v>
      </c>
    </row>
    <row r="23" spans="1:2">
      <c r="A23" s="10" t="s">
        <v>222</v>
      </c>
      <c r="B23" s="16">
        <v>464.78</v>
      </c>
    </row>
    <row r="24" spans="1:2">
      <c r="A24" s="10" t="s">
        <v>223</v>
      </c>
      <c r="B24" s="16">
        <v>466.54</v>
      </c>
    </row>
    <row r="25" spans="1:2">
      <c r="A25" s="10" t="s">
        <v>224</v>
      </c>
      <c r="B25" s="16">
        <v>459.64</v>
      </c>
    </row>
    <row r="26" spans="1:2">
      <c r="A26" s="10" t="s">
        <v>225</v>
      </c>
      <c r="B26" s="16">
        <v>461.68</v>
      </c>
    </row>
    <row r="27" spans="1:2">
      <c r="A27" s="10" t="s">
        <v>226</v>
      </c>
      <c r="B27" s="16">
        <v>470.72</v>
      </c>
    </row>
    <row r="28" spans="1:2">
      <c r="A28" s="10" t="s">
        <v>227</v>
      </c>
      <c r="B28" s="16">
        <v>470.98</v>
      </c>
    </row>
    <row r="29" spans="1:2">
      <c r="A29" s="10" t="s">
        <v>228</v>
      </c>
      <c r="B29" s="16">
        <v>472.44</v>
      </c>
    </row>
    <row r="30" spans="1:2">
      <c r="A30" s="10" t="s">
        <v>229</v>
      </c>
      <c r="B30" s="16">
        <v>468.63</v>
      </c>
    </row>
    <row r="31" spans="1:2">
      <c r="A31" s="10" t="s">
        <v>230</v>
      </c>
      <c r="B31" s="16">
        <v>469.62</v>
      </c>
    </row>
    <row r="32" spans="1:2">
      <c r="A32" s="10" t="s">
        <v>231</v>
      </c>
      <c r="B32" s="16">
        <v>470.06</v>
      </c>
    </row>
    <row r="33" spans="1:2">
      <c r="A33" s="10" t="s">
        <v>232</v>
      </c>
      <c r="B33" s="16">
        <v>468.28</v>
      </c>
    </row>
    <row r="34" spans="1:2">
      <c r="A34" s="10" t="s">
        <v>233</v>
      </c>
      <c r="B34" s="16">
        <v>461.64</v>
      </c>
    </row>
    <row r="35" spans="1:2">
      <c r="A35" s="10" t="s">
        <v>234</v>
      </c>
      <c r="B35" s="16">
        <v>465.12</v>
      </c>
    </row>
    <row r="36" spans="1:2">
      <c r="A36" s="10" t="s">
        <v>235</v>
      </c>
      <c r="B36" s="16">
        <v>460.95</v>
      </c>
    </row>
    <row r="37" spans="1:2">
      <c r="A37" s="10" t="s">
        <v>236</v>
      </c>
      <c r="B37" s="16">
        <v>460.72</v>
      </c>
    </row>
    <row r="38" spans="1:2">
      <c r="A38" s="10" t="s">
        <v>237</v>
      </c>
      <c r="B38" s="16">
        <v>462.62</v>
      </c>
    </row>
    <row r="39" spans="1:2">
      <c r="A39" s="10" t="s">
        <v>238</v>
      </c>
      <c r="B39" s="16">
        <v>463.7</v>
      </c>
    </row>
    <row r="40" spans="1:2">
      <c r="A40" s="10" t="s">
        <v>239</v>
      </c>
      <c r="B40" s="16">
        <v>458.25</v>
      </c>
    </row>
    <row r="41" spans="1:2">
      <c r="A41" s="10" t="s">
        <v>240</v>
      </c>
      <c r="B41" s="16">
        <v>456.21</v>
      </c>
    </row>
    <row r="42" spans="1:2">
      <c r="A42" s="10" t="s">
        <v>241</v>
      </c>
      <c r="B42" s="16">
        <v>455.56</v>
      </c>
    </row>
    <row r="43" spans="1:2">
      <c r="A43" s="10" t="s">
        <v>242</v>
      </c>
      <c r="B43" s="16">
        <v>450.14</v>
      </c>
    </row>
    <row r="44" spans="1:2">
      <c r="A44" s="10" t="s">
        <v>243</v>
      </c>
      <c r="B44" s="16">
        <v>447.99</v>
      </c>
    </row>
    <row r="45" spans="1:2">
      <c r="A45" s="10" t="s">
        <v>244</v>
      </c>
      <c r="B45" s="16">
        <v>451.72</v>
      </c>
    </row>
    <row r="46" spans="1:2">
      <c r="A46" s="10" t="s">
        <v>245</v>
      </c>
      <c r="B46" s="16">
        <v>455.63</v>
      </c>
    </row>
    <row r="47" spans="1:2">
      <c r="A47" s="10" t="s">
        <v>246</v>
      </c>
      <c r="B47" s="16">
        <v>453.54</v>
      </c>
    </row>
    <row r="48" spans="1:2">
      <c r="A48" s="10" t="s">
        <v>247</v>
      </c>
      <c r="B48" s="16">
        <v>455.64</v>
      </c>
    </row>
    <row r="49" spans="1:2">
      <c r="A49" s="10" t="s">
        <v>248</v>
      </c>
      <c r="B49" s="16">
        <v>457.16</v>
      </c>
    </row>
    <row r="50" spans="1:2">
      <c r="A50" s="10" t="s">
        <v>249</v>
      </c>
      <c r="B50" s="16">
        <v>455.48</v>
      </c>
    </row>
    <row r="51" spans="1:2">
      <c r="A51" s="10" t="s">
        <v>250</v>
      </c>
      <c r="B51" s="16">
        <v>459.54</v>
      </c>
    </row>
    <row r="52" spans="1:2">
      <c r="A52" s="10" t="s">
        <v>251</v>
      </c>
      <c r="B52" s="16">
        <v>456.58</v>
      </c>
    </row>
    <row r="53" spans="1:2">
      <c r="A53" s="10" t="s">
        <v>252</v>
      </c>
      <c r="B53" s="16">
        <v>456.76</v>
      </c>
    </row>
    <row r="54" spans="1:2">
      <c r="A54" s="10" t="s">
        <v>253</v>
      </c>
      <c r="B54" s="16">
        <v>445.62</v>
      </c>
    </row>
    <row r="55" spans="1:2">
      <c r="A55" s="10" t="s">
        <v>254</v>
      </c>
      <c r="B55" s="16">
        <v>443.16</v>
      </c>
    </row>
    <row r="56" spans="1:2">
      <c r="A56" s="10" t="s">
        <v>255</v>
      </c>
      <c r="B56" s="16">
        <v>445.71</v>
      </c>
    </row>
    <row r="57" spans="1:2">
      <c r="A57" s="10" t="s">
        <v>256</v>
      </c>
      <c r="B57" s="16">
        <v>454.93</v>
      </c>
    </row>
    <row r="58" spans="1:2">
      <c r="A58" s="10" t="s">
        <v>257</v>
      </c>
      <c r="B58" s="16">
        <v>454.78</v>
      </c>
    </row>
    <row r="59" spans="1:2">
      <c r="A59" s="10" t="s">
        <v>258</v>
      </c>
      <c r="B59" s="16">
        <v>458.8</v>
      </c>
    </row>
    <row r="60" spans="1:2">
      <c r="A60" s="10" t="s">
        <v>259</v>
      </c>
      <c r="B60" s="16">
        <v>454.04</v>
      </c>
    </row>
    <row r="61" spans="1:2">
      <c r="A61" s="10" t="s">
        <v>260</v>
      </c>
      <c r="B61" s="16">
        <v>458.2</v>
      </c>
    </row>
    <row r="62" spans="1:2">
      <c r="A62" s="10" t="s">
        <v>261</v>
      </c>
      <c r="B62" s="16">
        <v>454.52</v>
      </c>
    </row>
    <row r="63" spans="1:2">
      <c r="A63" s="10" t="s">
        <v>262</v>
      </c>
      <c r="B63" s="16">
        <v>456.4</v>
      </c>
    </row>
    <row r="64" spans="1:2">
      <c r="A64" s="10" t="s">
        <v>263</v>
      </c>
      <c r="B64" s="16">
        <v>460.96</v>
      </c>
    </row>
    <row r="65" spans="1:2">
      <c r="A65" s="10" t="s">
        <v>264</v>
      </c>
      <c r="B65" s="16">
        <v>460.57</v>
      </c>
    </row>
    <row r="66" spans="1:2">
      <c r="A66" s="10" t="s">
        <v>265</v>
      </c>
      <c r="B66" s="16">
        <v>464.27</v>
      </c>
    </row>
    <row r="67" spans="1:2">
      <c r="A67" s="10" t="s">
        <v>266</v>
      </c>
      <c r="B67" s="16">
        <v>464.13</v>
      </c>
    </row>
    <row r="68" spans="1:2">
      <c r="A68" s="10" t="s">
        <v>267</v>
      </c>
      <c r="B68" s="16">
        <v>460.68</v>
      </c>
    </row>
    <row r="69" spans="1:2">
      <c r="A69" s="10" t="s">
        <v>268</v>
      </c>
      <c r="B69" s="16">
        <v>462.36</v>
      </c>
    </row>
    <row r="70" spans="1:2">
      <c r="A70" s="10" t="s">
        <v>269</v>
      </c>
      <c r="B70" s="16">
        <v>454.06</v>
      </c>
    </row>
    <row r="71" spans="1:2">
      <c r="A71" s="10" t="s">
        <v>270</v>
      </c>
      <c r="B71" s="16">
        <v>454.86</v>
      </c>
    </row>
    <row r="72" spans="1:2">
      <c r="A72" s="10" t="s">
        <v>271</v>
      </c>
      <c r="B72" s="16">
        <v>460.34</v>
      </c>
    </row>
    <row r="73" spans="1:2">
      <c r="A73" s="10" t="s">
        <v>272</v>
      </c>
      <c r="B73" s="16">
        <v>458.65</v>
      </c>
    </row>
    <row r="74" spans="1:2">
      <c r="A74" s="10" t="s">
        <v>273</v>
      </c>
      <c r="B74" s="16">
        <v>469.19</v>
      </c>
    </row>
    <row r="75" spans="1:2">
      <c r="A75" s="10" t="s">
        <v>274</v>
      </c>
      <c r="B75" s="16">
        <v>473.57</v>
      </c>
    </row>
    <row r="76" spans="1:2">
      <c r="A76" s="10" t="s">
        <v>275</v>
      </c>
      <c r="B76" s="16">
        <v>476.05</v>
      </c>
    </row>
    <row r="77" spans="1:2">
      <c r="A77" s="10" t="s">
        <v>276</v>
      </c>
      <c r="B77" s="16">
        <v>477.33</v>
      </c>
    </row>
    <row r="78" spans="1:2">
      <c r="A78" s="10" t="s">
        <v>277</v>
      </c>
      <c r="B78" s="16">
        <v>477.38</v>
      </c>
    </row>
    <row r="79" spans="1:2">
      <c r="A79" s="10" t="s">
        <v>278</v>
      </c>
      <c r="B79" s="16">
        <v>472.29</v>
      </c>
    </row>
    <row r="80" spans="1:2">
      <c r="A80" s="10" t="s">
        <v>279</v>
      </c>
      <c r="B80" s="16">
        <v>471.64</v>
      </c>
    </row>
    <row r="81" spans="1:2">
      <c r="A81" s="10" t="s">
        <v>280</v>
      </c>
      <c r="B81" s="16">
        <v>472.23</v>
      </c>
    </row>
    <row r="82" spans="1:2">
      <c r="A82" s="10" t="s">
        <v>281</v>
      </c>
      <c r="B82" s="16">
        <v>471.57</v>
      </c>
    </row>
    <row r="83" spans="1:2">
      <c r="A83" s="10" t="s">
        <v>282</v>
      </c>
      <c r="B83" s="16">
        <v>470.01</v>
      </c>
    </row>
    <row r="84" spans="1:2">
      <c r="A84" s="10" t="s">
        <v>283</v>
      </c>
      <c r="B84" s="16">
        <v>475.7</v>
      </c>
    </row>
    <row r="85" spans="1:2">
      <c r="A85" s="10" t="s">
        <v>284</v>
      </c>
      <c r="B85" s="16">
        <v>474.49</v>
      </c>
    </row>
    <row r="86" spans="1:2">
      <c r="A86" s="10" t="s">
        <v>285</v>
      </c>
      <c r="B86" s="16">
        <v>476.91</v>
      </c>
    </row>
    <row r="87" spans="1:2">
      <c r="A87" s="10" t="s">
        <v>286</v>
      </c>
      <c r="B87" s="16">
        <v>481.08</v>
      </c>
    </row>
    <row r="88" spans="1:2">
      <c r="A88" s="10" t="s">
        <v>287</v>
      </c>
      <c r="B88" s="16">
        <v>483.97</v>
      </c>
    </row>
    <row r="89" spans="1:2">
      <c r="A89" s="10" t="s">
        <v>288</v>
      </c>
      <c r="B89" s="16">
        <v>477.39</v>
      </c>
    </row>
    <row r="90" spans="1:2">
      <c r="A90" s="10" t="s">
        <v>289</v>
      </c>
      <c r="B90" s="16">
        <v>469.83</v>
      </c>
    </row>
    <row r="91" spans="1:2">
      <c r="A91" s="10" t="s">
        <v>290</v>
      </c>
      <c r="B91" s="16">
        <v>466.14</v>
      </c>
    </row>
    <row r="92" spans="1:2">
      <c r="A92" s="10" t="s">
        <v>291</v>
      </c>
      <c r="B92" s="16">
        <v>464.7</v>
      </c>
    </row>
    <row r="93" spans="1:2">
      <c r="A93" s="10" t="s">
        <v>292</v>
      </c>
      <c r="B93" s="16">
        <v>472.76</v>
      </c>
    </row>
    <row r="94" spans="1:2">
      <c r="A94" s="10" t="s">
        <v>293</v>
      </c>
      <c r="B94" s="16">
        <v>479.54</v>
      </c>
    </row>
    <row r="95" spans="1:2">
      <c r="A95" s="10" t="s">
        <v>294</v>
      </c>
      <c r="B95" s="16">
        <v>485.43</v>
      </c>
    </row>
    <row r="96" spans="1:2">
      <c r="A96" s="10" t="s">
        <v>295</v>
      </c>
      <c r="B96" s="16">
        <v>482.2</v>
      </c>
    </row>
    <row r="97" spans="1:2">
      <c r="A97" s="10" t="s">
        <v>296</v>
      </c>
      <c r="B97" s="16">
        <v>482.25</v>
      </c>
    </row>
    <row r="98" spans="1:2">
      <c r="A98" s="10" t="s">
        <v>297</v>
      </c>
      <c r="B98" s="16">
        <v>477.54</v>
      </c>
    </row>
    <row r="99" spans="1:2">
      <c r="A99" s="10" t="s">
        <v>298</v>
      </c>
      <c r="B99" s="16">
        <v>487.97</v>
      </c>
    </row>
    <row r="100" spans="1:2">
      <c r="A100" s="10" t="s">
        <v>299</v>
      </c>
      <c r="B100" s="16">
        <v>488.93</v>
      </c>
    </row>
    <row r="101" spans="1:2">
      <c r="A101" s="10" t="s">
        <v>300</v>
      </c>
      <c r="B101" s="16">
        <v>492.18</v>
      </c>
    </row>
    <row r="102" spans="1:2">
      <c r="A102" s="10" t="s">
        <v>301</v>
      </c>
      <c r="B102" s="16">
        <v>492.93</v>
      </c>
    </row>
    <row r="103" spans="1:2">
      <c r="A103" s="10" t="s">
        <v>302</v>
      </c>
      <c r="B103" s="16">
        <v>494.64</v>
      </c>
    </row>
    <row r="104" spans="1:2">
      <c r="A104" s="10" t="s">
        <v>303</v>
      </c>
      <c r="B104" s="16">
        <v>493.64</v>
      </c>
    </row>
    <row r="105" spans="1:2">
      <c r="A105" s="10" t="s">
        <v>304</v>
      </c>
      <c r="B105" s="16">
        <v>491.61</v>
      </c>
    </row>
    <row r="106" spans="1:2">
      <c r="A106" s="10" t="s">
        <v>305</v>
      </c>
      <c r="B106" s="16">
        <v>494.07</v>
      </c>
    </row>
    <row r="107" spans="1:2">
      <c r="A107" s="10" t="s">
        <v>306</v>
      </c>
      <c r="B107" s="16">
        <v>495</v>
      </c>
    </row>
    <row r="108" spans="1:2">
      <c r="A108" s="10" t="s">
        <v>307</v>
      </c>
      <c r="B108" s="16">
        <v>497.55</v>
      </c>
    </row>
    <row r="109" spans="1:2">
      <c r="A109" s="10" t="s">
        <v>308</v>
      </c>
      <c r="B109" s="16">
        <v>500.49</v>
      </c>
    </row>
    <row r="110" spans="1:2">
      <c r="A110" s="10" t="s">
        <v>309</v>
      </c>
      <c r="B110" s="16">
        <v>499.19</v>
      </c>
    </row>
    <row r="111" spans="1:2">
      <c r="A111" s="10" t="s">
        <v>310</v>
      </c>
      <c r="B111" s="16">
        <v>497.07</v>
      </c>
    </row>
    <row r="112" spans="1:2">
      <c r="A112" s="10" t="s">
        <v>311</v>
      </c>
      <c r="B112" s="16">
        <v>494.42</v>
      </c>
    </row>
    <row r="113" spans="1:2">
      <c r="A113" s="10" t="s">
        <v>312</v>
      </c>
      <c r="B113" s="16">
        <v>487.46</v>
      </c>
    </row>
    <row r="114" spans="1:2">
      <c r="A114" s="10" t="s">
        <v>313</v>
      </c>
      <c r="B114" s="16">
        <v>491.27</v>
      </c>
    </row>
    <row r="115" spans="1:2">
      <c r="A115" s="10" t="s">
        <v>314</v>
      </c>
      <c r="B115" s="16">
        <v>493.62</v>
      </c>
    </row>
    <row r="116" spans="1:2">
      <c r="A116" s="10" t="s">
        <v>315</v>
      </c>
      <c r="B116" s="16">
        <v>490.24</v>
      </c>
    </row>
    <row r="117" spans="1:2">
      <c r="A117" s="10" t="s">
        <v>316</v>
      </c>
      <c r="B117" s="16">
        <v>490.74</v>
      </c>
    </row>
    <row r="118" spans="1:2">
      <c r="A118" s="10" t="s">
        <v>317</v>
      </c>
      <c r="B118" s="16">
        <v>486.55</v>
      </c>
    </row>
    <row r="119" spans="1:2">
      <c r="A119" s="10" t="s">
        <v>318</v>
      </c>
      <c r="B119" s="16">
        <v>488.51</v>
      </c>
    </row>
    <row r="120" spans="1:2">
      <c r="A120" s="10" t="s">
        <v>319</v>
      </c>
      <c r="B120" s="16">
        <v>490.67</v>
      </c>
    </row>
    <row r="121" spans="1:2">
      <c r="A121" s="10" t="s">
        <v>320</v>
      </c>
      <c r="B121" s="16">
        <v>488.43</v>
      </c>
    </row>
    <row r="122" spans="1:2">
      <c r="A122" s="10" t="s">
        <v>321</v>
      </c>
      <c r="B122" s="16">
        <v>488.31</v>
      </c>
    </row>
    <row r="123" spans="1:2">
      <c r="A123" s="10" t="s">
        <v>322</v>
      </c>
      <c r="B123" s="16">
        <v>499.97</v>
      </c>
    </row>
    <row r="124" spans="1:2">
      <c r="A124" s="10" t="s">
        <v>323</v>
      </c>
      <c r="B124" s="16">
        <v>496.93</v>
      </c>
    </row>
    <row r="125" spans="1:2">
      <c r="A125" s="10" t="s">
        <v>324</v>
      </c>
      <c r="B125" s="16">
        <v>494.18</v>
      </c>
    </row>
    <row r="126" spans="1:2">
      <c r="A126" s="10" t="s">
        <v>325</v>
      </c>
      <c r="B126" s="16">
        <v>495.24</v>
      </c>
    </row>
    <row r="127" spans="1:2">
      <c r="A127" s="10" t="s">
        <v>326</v>
      </c>
      <c r="B127" s="16">
        <v>495.74</v>
      </c>
    </row>
    <row r="128" spans="1:2">
      <c r="A128" s="10" t="s">
        <v>327</v>
      </c>
      <c r="B128" s="16">
        <v>497.51</v>
      </c>
    </row>
    <row r="129" spans="1:2">
      <c r="A129" s="10" t="s">
        <v>328</v>
      </c>
      <c r="B129" s="16">
        <v>496.94</v>
      </c>
    </row>
    <row r="130" spans="1:2">
      <c r="A130" s="10" t="s">
        <v>329</v>
      </c>
      <c r="B130" s="16">
        <v>496.27</v>
      </c>
    </row>
    <row r="131" spans="1:2">
      <c r="A131" s="10" t="s">
        <v>330</v>
      </c>
      <c r="B131" s="16">
        <v>495.91</v>
      </c>
    </row>
    <row r="132" spans="1:2">
      <c r="A132" s="10" t="s">
        <v>331</v>
      </c>
      <c r="B132" s="16">
        <v>497.28</v>
      </c>
    </row>
    <row r="133" spans="1:2">
      <c r="A133" s="10" t="s">
        <v>332</v>
      </c>
      <c r="B133" s="16">
        <v>498.79</v>
      </c>
    </row>
    <row r="134" spans="1:2">
      <c r="A134" s="10" t="s">
        <v>333</v>
      </c>
      <c r="B134" s="16">
        <v>499.81</v>
      </c>
    </row>
    <row r="135" spans="1:2">
      <c r="A135" s="10" t="s">
        <v>334</v>
      </c>
      <c r="B135" s="16">
        <v>498.48</v>
      </c>
    </row>
    <row r="136" spans="1:2">
      <c r="A136" s="10" t="s">
        <v>335</v>
      </c>
      <c r="B136" s="16">
        <v>496.02</v>
      </c>
    </row>
    <row r="137" spans="1:2">
      <c r="A137" s="10" t="s">
        <v>336</v>
      </c>
      <c r="B137" s="16">
        <v>491.54</v>
      </c>
    </row>
    <row r="138" spans="1:2">
      <c r="A138" s="10" t="s">
        <v>337</v>
      </c>
      <c r="B138" s="16">
        <v>494.63</v>
      </c>
    </row>
    <row r="139" spans="1:2">
      <c r="A139" s="10" t="s">
        <v>338</v>
      </c>
      <c r="B139" s="16">
        <v>488.6</v>
      </c>
    </row>
    <row r="140" spans="1:2">
      <c r="A140" s="10" t="s">
        <v>339</v>
      </c>
      <c r="B140" s="16">
        <v>492.36</v>
      </c>
    </row>
    <row r="141" spans="1:2">
      <c r="A141" s="10" t="s">
        <v>340</v>
      </c>
      <c r="B141" s="16">
        <v>490.94</v>
      </c>
    </row>
    <row r="142" spans="1:2">
      <c r="A142" s="10" t="s">
        <v>341</v>
      </c>
      <c r="B142" s="16">
        <v>492.92</v>
      </c>
    </row>
    <row r="143" spans="1:2">
      <c r="A143" s="10" t="s">
        <v>342</v>
      </c>
      <c r="B143" s="16">
        <v>491.73</v>
      </c>
    </row>
    <row r="144" spans="1:2">
      <c r="A144" s="10" t="s">
        <v>343</v>
      </c>
      <c r="B144" s="16">
        <v>493.99</v>
      </c>
    </row>
    <row r="145" spans="1:2">
      <c r="A145" s="10" t="s">
        <v>344</v>
      </c>
      <c r="B145" s="16">
        <v>491.08</v>
      </c>
    </row>
    <row r="146" spans="1:2">
      <c r="A146" s="10" t="s">
        <v>345</v>
      </c>
      <c r="B146" s="16">
        <v>487.87</v>
      </c>
    </row>
    <row r="147" spans="1:2">
      <c r="A147" s="10" t="s">
        <v>346</v>
      </c>
      <c r="B147" s="16">
        <v>485.15</v>
      </c>
    </row>
    <row r="148" spans="1:2">
      <c r="A148" s="10" t="s">
        <v>347</v>
      </c>
      <c r="B148" s="16">
        <v>486.03</v>
      </c>
    </row>
    <row r="149" spans="1:2">
      <c r="A149" s="10" t="s">
        <v>348</v>
      </c>
      <c r="B149" s="16">
        <v>483.88</v>
      </c>
    </row>
    <row r="150" spans="1:2">
      <c r="A150" s="10" t="s">
        <v>349</v>
      </c>
      <c r="B150" s="16">
        <v>488.41</v>
      </c>
    </row>
    <row r="151" spans="1:2">
      <c r="A151" s="10" t="s">
        <v>350</v>
      </c>
      <c r="B151" s="16">
        <v>494.09</v>
      </c>
    </row>
    <row r="152" spans="1:2">
      <c r="A152" s="10" t="s">
        <v>351</v>
      </c>
      <c r="B152" s="16">
        <v>493.24</v>
      </c>
    </row>
    <row r="153" spans="1:2">
      <c r="A153" s="10" t="s">
        <v>352</v>
      </c>
      <c r="B153" s="16">
        <v>493.18</v>
      </c>
    </row>
    <row r="154" spans="1:2">
      <c r="A154" s="10" t="s">
        <v>353</v>
      </c>
      <c r="B154" s="16">
        <v>486.83</v>
      </c>
    </row>
    <row r="155" spans="1:2">
      <c r="A155" s="10" t="s">
        <v>354</v>
      </c>
      <c r="B155" s="16">
        <v>485.35</v>
      </c>
    </row>
    <row r="156" spans="1:2">
      <c r="A156" s="10" t="s">
        <v>355</v>
      </c>
      <c r="B156" s="16">
        <v>478.62</v>
      </c>
    </row>
    <row r="157" spans="1:2">
      <c r="A157" s="10" t="s">
        <v>356</v>
      </c>
      <c r="B157" s="16">
        <v>479.15</v>
      </c>
    </row>
    <row r="158" spans="1:2">
      <c r="A158" s="10" t="s">
        <v>357</v>
      </c>
      <c r="B158" s="16">
        <v>479.53</v>
      </c>
    </row>
    <row r="159" spans="1:2">
      <c r="A159" s="10" t="s">
        <v>358</v>
      </c>
      <c r="B159" s="16">
        <v>480.59</v>
      </c>
    </row>
    <row r="160" spans="1:2">
      <c r="A160" s="10" t="s">
        <v>359</v>
      </c>
      <c r="B160" s="16">
        <v>479.76</v>
      </c>
    </row>
    <row r="161" spans="1:2">
      <c r="A161" s="10" t="s">
        <v>360</v>
      </c>
      <c r="B161" s="16">
        <v>480.85</v>
      </c>
    </row>
    <row r="162" spans="1:2">
      <c r="A162" s="10" t="s">
        <v>361</v>
      </c>
      <c r="B162" s="16">
        <v>479.58</v>
      </c>
    </row>
    <row r="163" spans="1:2">
      <c r="A163" s="10" t="s">
        <v>362</v>
      </c>
      <c r="B163" s="16">
        <v>485.78</v>
      </c>
    </row>
    <row r="164" spans="1:2">
      <c r="A164" s="10" t="s">
        <v>363</v>
      </c>
      <c r="B164" s="16">
        <v>486.36</v>
      </c>
    </row>
    <row r="165" spans="1:2">
      <c r="A165" s="10" t="s">
        <v>364</v>
      </c>
      <c r="B165" s="16">
        <v>485.8</v>
      </c>
    </row>
    <row r="166" spans="1:2">
      <c r="A166" s="10" t="s">
        <v>365</v>
      </c>
      <c r="B166" s="16">
        <v>488.68</v>
      </c>
    </row>
    <row r="167" spans="1:2">
      <c r="A167" s="10" t="s">
        <v>366</v>
      </c>
      <c r="B167" s="16">
        <v>478.84</v>
      </c>
    </row>
    <row r="168" spans="1:2">
      <c r="A168" s="10" t="s">
        <v>367</v>
      </c>
      <c r="B168" s="16">
        <v>476.23</v>
      </c>
    </row>
    <row r="169" spans="1:2">
      <c r="A169" s="10" t="s">
        <v>368</v>
      </c>
      <c r="B169" s="16">
        <v>477.14</v>
      </c>
    </row>
    <row r="170" spans="1:2">
      <c r="A170" s="10" t="s">
        <v>369</v>
      </c>
      <c r="B170" s="16">
        <v>476</v>
      </c>
    </row>
    <row r="171" spans="1:2">
      <c r="A171" s="10" t="s">
        <v>370</v>
      </c>
      <c r="B171" s="16">
        <v>476.22</v>
      </c>
    </row>
    <row r="172" spans="1:2">
      <c r="A172" s="10" t="s">
        <v>371</v>
      </c>
      <c r="B172" s="16">
        <v>470.33</v>
      </c>
    </row>
    <row r="173" spans="1:2">
      <c r="A173" s="10" t="s">
        <v>372</v>
      </c>
      <c r="B173" s="16">
        <v>467.05</v>
      </c>
    </row>
    <row r="174" spans="1:2">
      <c r="A174" s="10" t="s">
        <v>373</v>
      </c>
      <c r="B174" s="16">
        <v>466.98</v>
      </c>
    </row>
    <row r="175" spans="1:2">
      <c r="A175" s="10" t="s">
        <v>374</v>
      </c>
      <c r="B175" s="16">
        <v>475.79</v>
      </c>
    </row>
    <row r="176" spans="1:2">
      <c r="A176" s="10" t="s">
        <v>375</v>
      </c>
      <c r="B176" s="16">
        <v>477.6</v>
      </c>
    </row>
    <row r="177" spans="1:2">
      <c r="A177" s="10" t="s">
        <v>376</v>
      </c>
      <c r="B177" s="16">
        <v>478.57</v>
      </c>
    </row>
    <row r="178" spans="1:2">
      <c r="A178" s="10" t="s">
        <v>377</v>
      </c>
      <c r="B178" s="16">
        <v>478.55</v>
      </c>
    </row>
    <row r="179" spans="1:2">
      <c r="A179" s="10" t="s">
        <v>378</v>
      </c>
      <c r="B179" s="16">
        <v>482.64</v>
      </c>
    </row>
    <row r="180" spans="1:2">
      <c r="A180" s="10" t="s">
        <v>379</v>
      </c>
      <c r="B180" s="16">
        <v>481.26</v>
      </c>
    </row>
    <row r="181" spans="1:2">
      <c r="A181" s="10" t="s">
        <v>380</v>
      </c>
      <c r="B181" s="16">
        <v>480.85</v>
      </c>
    </row>
    <row r="182" spans="1:2">
      <c r="A182" s="10" t="s">
        <v>381</v>
      </c>
      <c r="B182" s="16">
        <v>483.61</v>
      </c>
    </row>
    <row r="183" spans="1:2">
      <c r="A183" s="10" t="s">
        <v>382</v>
      </c>
      <c r="B183" s="16">
        <v>485.63</v>
      </c>
    </row>
    <row r="184" spans="1:2">
      <c r="A184" s="10" t="s">
        <v>383</v>
      </c>
      <c r="B184" s="16">
        <v>484.15</v>
      </c>
    </row>
    <row r="185" spans="1:2">
      <c r="A185" s="10" t="s">
        <v>384</v>
      </c>
      <c r="B185" s="16">
        <v>482.2</v>
      </c>
    </row>
    <row r="186" spans="1:2">
      <c r="A186" s="10" t="s">
        <v>385</v>
      </c>
      <c r="B186" s="16">
        <v>481.82</v>
      </c>
    </row>
    <row r="187" spans="1:2">
      <c r="A187" s="10" t="s">
        <v>386</v>
      </c>
      <c r="B187" s="16">
        <v>481.76</v>
      </c>
    </row>
    <row r="188" spans="1:2">
      <c r="A188" s="10" t="s">
        <v>387</v>
      </c>
      <c r="B188" s="16">
        <v>486.29</v>
      </c>
    </row>
    <row r="189" spans="1:2">
      <c r="A189" s="10" t="s">
        <v>388</v>
      </c>
      <c r="B189" s="16">
        <v>487.69</v>
      </c>
    </row>
    <row r="190" spans="1:2">
      <c r="A190" s="10" t="s">
        <v>389</v>
      </c>
      <c r="B190" s="16">
        <v>487.03</v>
      </c>
    </row>
    <row r="191" spans="1:2">
      <c r="A191" s="10" t="s">
        <v>390</v>
      </c>
      <c r="B191" s="16">
        <v>489.64</v>
      </c>
    </row>
    <row r="192" spans="1:2">
      <c r="A192" s="10" t="s">
        <v>391</v>
      </c>
      <c r="B192" s="16">
        <v>488.62</v>
      </c>
    </row>
    <row r="193" spans="1:2">
      <c r="A193" s="10" t="s">
        <v>392</v>
      </c>
      <c r="B193" s="16">
        <v>485.31</v>
      </c>
    </row>
    <row r="194" spans="1:2">
      <c r="A194" s="10" t="s">
        <v>393</v>
      </c>
      <c r="B194" s="16">
        <v>483.11</v>
      </c>
    </row>
    <row r="195" spans="1:2">
      <c r="A195" s="10" t="s">
        <v>394</v>
      </c>
      <c r="B195" s="16">
        <v>484.63</v>
      </c>
    </row>
    <row r="196" spans="1:2">
      <c r="A196" s="10" t="s">
        <v>395</v>
      </c>
      <c r="B196" s="16">
        <v>487.41</v>
      </c>
    </row>
    <row r="197" spans="1:2">
      <c r="A197" s="10" t="s">
        <v>396</v>
      </c>
      <c r="B197" s="16">
        <v>484.89</v>
      </c>
    </row>
    <row r="198" spans="1:2">
      <c r="A198" s="10" t="s">
        <v>397</v>
      </c>
      <c r="B198" s="16">
        <v>486.72</v>
      </c>
    </row>
    <row r="199" spans="1:2">
      <c r="A199" s="10" t="s">
        <v>398</v>
      </c>
      <c r="B199" s="16">
        <v>484.69</v>
      </c>
    </row>
    <row r="200" spans="1:2">
      <c r="A200" s="10" t="s">
        <v>399</v>
      </c>
      <c r="B200" s="16">
        <v>482.95</v>
      </c>
    </row>
    <row r="201" spans="1:2">
      <c r="A201" s="10" t="s">
        <v>400</v>
      </c>
      <c r="B201" s="16">
        <v>481.34</v>
      </c>
    </row>
    <row r="202" spans="1:2">
      <c r="A202" s="10" t="s">
        <v>401</v>
      </c>
      <c r="B202" s="16">
        <v>475.92</v>
      </c>
    </row>
    <row r="203" spans="1:2">
      <c r="A203" s="10" t="s">
        <v>402</v>
      </c>
      <c r="B203" s="16">
        <v>481.26</v>
      </c>
    </row>
    <row r="204" spans="1:2">
      <c r="A204" s="10" t="s">
        <v>403</v>
      </c>
      <c r="B204" s="16">
        <v>492.79</v>
      </c>
    </row>
    <row r="205" spans="1:2">
      <c r="A205" s="10" t="s">
        <v>404</v>
      </c>
      <c r="B205" s="16">
        <v>494.29</v>
      </c>
    </row>
    <row r="206" spans="1:2">
      <c r="A206" s="10" t="s">
        <v>405</v>
      </c>
      <c r="B206" s="16">
        <v>495.91</v>
      </c>
    </row>
    <row r="207" spans="1:2">
      <c r="A207" s="10" t="s">
        <v>406</v>
      </c>
      <c r="B207" s="16">
        <v>492.79</v>
      </c>
    </row>
    <row r="208" spans="1:2">
      <c r="A208" s="10" t="s">
        <v>407</v>
      </c>
      <c r="B208" s="16">
        <v>492.09</v>
      </c>
    </row>
    <row r="209" spans="1:2">
      <c r="A209" s="10" t="s">
        <v>408</v>
      </c>
      <c r="B209" s="16">
        <v>493.94</v>
      </c>
    </row>
    <row r="210" spans="1:2">
      <c r="A210" s="10" t="s">
        <v>409</v>
      </c>
      <c r="B210" s="16">
        <v>492.28</v>
      </c>
    </row>
    <row r="211" spans="1:2">
      <c r="A211" s="10" t="s">
        <v>410</v>
      </c>
      <c r="B211" s="16">
        <v>490.3</v>
      </c>
    </row>
    <row r="212" spans="1:2">
      <c r="A212" s="10" t="s">
        <v>411</v>
      </c>
      <c r="B212" s="16">
        <v>488.35</v>
      </c>
    </row>
    <row r="213" spans="1:2">
      <c r="A213" s="10" t="s">
        <v>412</v>
      </c>
      <c r="B213" s="16">
        <v>487.04</v>
      </c>
    </row>
    <row r="214" spans="1:2">
      <c r="A214" s="10" t="s">
        <v>413</v>
      </c>
      <c r="B214" s="16">
        <v>489.02</v>
      </c>
    </row>
    <row r="215" spans="1:2">
      <c r="A215" s="10" t="s">
        <v>414</v>
      </c>
      <c r="B215" s="16">
        <v>490.68</v>
      </c>
    </row>
    <row r="216" spans="1:2">
      <c r="A216" s="10" t="s">
        <v>415</v>
      </c>
      <c r="B216" s="16">
        <v>492.04</v>
      </c>
    </row>
    <row r="217" spans="1:2">
      <c r="A217" s="10" t="s">
        <v>416</v>
      </c>
      <c r="B217" s="16">
        <v>492.65</v>
      </c>
    </row>
    <row r="218" spans="1:2">
      <c r="A218" s="10" t="s">
        <v>417</v>
      </c>
      <c r="B218" s="16">
        <v>492.92</v>
      </c>
    </row>
    <row r="219" spans="1:2">
      <c r="A219" s="10" t="s">
        <v>418</v>
      </c>
      <c r="B219" s="16">
        <v>493.56</v>
      </c>
    </row>
    <row r="220" spans="1:2">
      <c r="A220" s="10" t="s">
        <v>419</v>
      </c>
      <c r="B220" s="16">
        <v>490.76</v>
      </c>
    </row>
    <row r="221" spans="1:2">
      <c r="A221" s="10" t="s">
        <v>420</v>
      </c>
      <c r="B221" s="16">
        <v>491.93</v>
      </c>
    </row>
    <row r="222" spans="1:2">
      <c r="A222" s="10" t="s">
        <v>421</v>
      </c>
      <c r="B222" s="16">
        <v>492.07</v>
      </c>
    </row>
    <row r="223" spans="1:2">
      <c r="A223" s="10" t="s">
        <v>422</v>
      </c>
      <c r="B223" s="16">
        <v>493.58</v>
      </c>
    </row>
    <row r="224" spans="1:2">
      <c r="A224" s="10" t="s">
        <v>423</v>
      </c>
      <c r="B224" s="16">
        <v>489.27</v>
      </c>
    </row>
    <row r="225" spans="1:2">
      <c r="A225" s="10" t="s">
        <v>424</v>
      </c>
      <c r="B225" s="16">
        <v>486.95</v>
      </c>
    </row>
    <row r="226" spans="1:2">
      <c r="A226" s="10" t="s">
        <v>425</v>
      </c>
      <c r="B226" s="16">
        <v>488.11</v>
      </c>
    </row>
    <row r="227" spans="1:2">
      <c r="A227" s="10" t="s">
        <v>426</v>
      </c>
      <c r="B227" s="16">
        <v>480.74</v>
      </c>
    </row>
    <row r="228" spans="1:2">
      <c r="A228" s="10" t="s">
        <v>427</v>
      </c>
      <c r="B228" s="16">
        <v>485.98</v>
      </c>
    </row>
    <row r="229" spans="1:2">
      <c r="A229" s="10" t="s">
        <v>428</v>
      </c>
      <c r="B229" s="16">
        <v>482.97</v>
      </c>
    </row>
    <row r="230" spans="1:2">
      <c r="A230" s="10" t="s">
        <v>429</v>
      </c>
      <c r="B230" s="16">
        <v>484.01</v>
      </c>
    </row>
    <row r="231" spans="1:2">
      <c r="A231" s="10" t="s">
        <v>430</v>
      </c>
      <c r="B231" s="16">
        <v>487.98</v>
      </c>
    </row>
    <row r="232" spans="1:2">
      <c r="A232" s="10" t="s">
        <v>431</v>
      </c>
      <c r="B232" s="16">
        <v>487.59</v>
      </c>
    </row>
    <row r="233" spans="1:2">
      <c r="A233" s="10" t="s">
        <v>432</v>
      </c>
      <c r="B233" s="16">
        <v>487.79</v>
      </c>
    </row>
    <row r="234" spans="1:2">
      <c r="A234" s="10" t="s">
        <v>433</v>
      </c>
      <c r="B234" s="16">
        <v>489.14</v>
      </c>
    </row>
    <row r="235" spans="1:2">
      <c r="A235" s="10" t="s">
        <v>434</v>
      </c>
      <c r="B235" s="16">
        <v>489.28</v>
      </c>
    </row>
    <row r="236" spans="1:2">
      <c r="A236" s="10" t="s">
        <v>435</v>
      </c>
      <c r="B236" s="16">
        <v>487.75</v>
      </c>
    </row>
    <row r="237" spans="1:2">
      <c r="A237" s="10" t="s">
        <v>436</v>
      </c>
      <c r="B237" s="16">
        <v>487.46</v>
      </c>
    </row>
    <row r="238" spans="1:2">
      <c r="A238" s="10" t="s">
        <v>437</v>
      </c>
      <c r="B238" s="16">
        <v>493.04</v>
      </c>
    </row>
    <row r="239" spans="1:2">
      <c r="A239" s="10" t="s">
        <v>438</v>
      </c>
      <c r="B239" s="16">
        <v>488.37</v>
      </c>
    </row>
    <row r="240" spans="1:2">
      <c r="A240" s="10" t="s">
        <v>439</v>
      </c>
      <c r="B240" s="16">
        <v>484.45</v>
      </c>
    </row>
    <row r="241" spans="1:2">
      <c r="A241" s="10" t="s">
        <v>440</v>
      </c>
      <c r="B241" s="16">
        <v>491.43</v>
      </c>
    </row>
    <row r="242" spans="1:2">
      <c r="A242" s="10" t="s">
        <v>441</v>
      </c>
      <c r="B242" s="16">
        <v>487.32</v>
      </c>
    </row>
    <row r="243" spans="1:2">
      <c r="A243" s="10" t="s">
        <v>442</v>
      </c>
      <c r="B243" s="16">
        <v>485.73</v>
      </c>
    </row>
    <row r="244" spans="1:2">
      <c r="A244" s="10" t="s">
        <v>443</v>
      </c>
      <c r="B244" s="16">
        <v>490.86</v>
      </c>
    </row>
    <row r="245" spans="1:2">
      <c r="A245" s="10" t="s">
        <v>444</v>
      </c>
      <c r="B245" s="16">
        <v>492.73</v>
      </c>
    </row>
    <row r="246" spans="1:2">
      <c r="A246" s="10" t="s">
        <v>445</v>
      </c>
      <c r="B246" s="16">
        <v>493.59</v>
      </c>
    </row>
    <row r="247" spans="1:2">
      <c r="A247" s="10" t="s">
        <v>446</v>
      </c>
      <c r="B247" s="16">
        <v>493.9</v>
      </c>
    </row>
    <row r="248" spans="1:2">
      <c r="A248" s="10" t="s">
        <v>447</v>
      </c>
      <c r="B248" s="16">
        <v>501.65</v>
      </c>
    </row>
    <row r="249" spans="1:2">
      <c r="A249" s="10" t="s">
        <v>448</v>
      </c>
      <c r="B249" s="16">
        <v>502.55</v>
      </c>
    </row>
    <row r="250" spans="1:2">
      <c r="A250" s="10" t="s">
        <v>449</v>
      </c>
      <c r="B250" s="16">
        <v>502.64</v>
      </c>
    </row>
    <row r="251" spans="1:2">
      <c r="A251" s="10" t="s">
        <v>450</v>
      </c>
      <c r="B251" s="16">
        <v>508.44</v>
      </c>
    </row>
    <row r="252" spans="1:2">
      <c r="A252" s="10" t="s">
        <v>451</v>
      </c>
      <c r="B252" s="16">
        <v>507.67</v>
      </c>
    </row>
    <row r="253" spans="1:2">
      <c r="A253" s="10" t="s">
        <v>452</v>
      </c>
      <c r="B253" s="16">
        <v>506.03</v>
      </c>
    </row>
    <row r="254" spans="1:2">
      <c r="A254" s="10" t="s">
        <v>453</v>
      </c>
      <c r="B254" s="16">
        <v>507.13</v>
      </c>
    </row>
    <row r="255" spans="1:2">
      <c r="A255" s="10" t="s">
        <v>454</v>
      </c>
      <c r="B255" s="16">
        <v>511.12</v>
      </c>
    </row>
    <row r="256" spans="1:2">
      <c r="A256" s="10" t="s">
        <v>455</v>
      </c>
      <c r="B256" s="16">
        <v>506.95</v>
      </c>
    </row>
    <row r="257" spans="1:2">
      <c r="A257" s="10" t="s">
        <v>456</v>
      </c>
      <c r="B257" s="16">
        <v>506.44</v>
      </c>
    </row>
    <row r="258" spans="1:2">
      <c r="A258" s="10" t="s">
        <v>457</v>
      </c>
      <c r="B258" s="16">
        <v>505.28</v>
      </c>
    </row>
    <row r="259" spans="1:2">
      <c r="A259" s="10" t="s">
        <v>458</v>
      </c>
      <c r="B259" s="16">
        <v>508.42</v>
      </c>
    </row>
    <row r="260" spans="1:2">
      <c r="A260" s="10" t="s">
        <v>459</v>
      </c>
      <c r="B260" s="16">
        <v>503.68</v>
      </c>
    </row>
    <row r="261" spans="1:2">
      <c r="A261" s="10" t="s">
        <v>460</v>
      </c>
      <c r="B261" s="16">
        <v>504.18</v>
      </c>
    </row>
    <row r="262" spans="1:2">
      <c r="A262" s="10" t="s">
        <v>461</v>
      </c>
      <c r="B262" s="16">
        <v>502.5</v>
      </c>
    </row>
    <row r="263" spans="1:2">
      <c r="A263" s="10" t="s">
        <v>462</v>
      </c>
      <c r="B263" s="16">
        <v>504.92</v>
      </c>
    </row>
    <row r="264" spans="1:2">
      <c r="A264" s="10" t="s">
        <v>463</v>
      </c>
      <c r="B264" s="16">
        <v>503.37</v>
      </c>
    </row>
    <row r="265" spans="1:2">
      <c r="A265" s="10" t="s">
        <v>464</v>
      </c>
      <c r="B265" s="16">
        <v>504.13</v>
      </c>
    </row>
    <row r="266" spans="1:2">
      <c r="A266" s="10" t="s">
        <v>465</v>
      </c>
      <c r="B266" s="16">
        <v>509.14</v>
      </c>
    </row>
    <row r="267" spans="1:2">
      <c r="A267" s="10" t="s">
        <v>466</v>
      </c>
      <c r="B267" s="16">
        <v>503.38</v>
      </c>
    </row>
    <row r="268" spans="1:2">
      <c r="A268" s="10" t="s">
        <v>467</v>
      </c>
      <c r="B268" s="16">
        <v>502.4</v>
      </c>
    </row>
    <row r="269" spans="1:2">
      <c r="A269" s="10" t="s">
        <v>468</v>
      </c>
      <c r="B269" s="16">
        <v>493.99</v>
      </c>
    </row>
    <row r="270" spans="1:2">
      <c r="A270" s="10" t="s">
        <v>469</v>
      </c>
      <c r="B270" s="16">
        <v>495.61</v>
      </c>
    </row>
    <row r="271" spans="1:2">
      <c r="A271" s="10" t="s">
        <v>470</v>
      </c>
      <c r="B271" s="16">
        <v>495.99</v>
      </c>
    </row>
    <row r="272" spans="1:2">
      <c r="A272" s="10" t="s">
        <v>471</v>
      </c>
      <c r="B272" s="16">
        <v>504.69</v>
      </c>
    </row>
    <row r="273" spans="1:2">
      <c r="A273" s="10" t="s">
        <v>472</v>
      </c>
      <c r="B273" s="16">
        <v>505.65</v>
      </c>
    </row>
    <row r="274" spans="1:2">
      <c r="A274" s="10" t="s">
        <v>473</v>
      </c>
      <c r="B274" s="16">
        <v>502.76</v>
      </c>
    </row>
    <row r="275" spans="1:2">
      <c r="A275" s="10" t="s">
        <v>474</v>
      </c>
      <c r="B275" s="16">
        <v>496.94</v>
      </c>
    </row>
    <row r="276" spans="1:2">
      <c r="A276" s="10" t="s">
        <v>475</v>
      </c>
      <c r="B276" s="16">
        <v>498.78</v>
      </c>
    </row>
    <row r="277" spans="1:2">
      <c r="A277" s="10" t="s">
        <v>476</v>
      </c>
      <c r="B277" s="16">
        <v>491.86</v>
      </c>
    </row>
    <row r="278" spans="1:2">
      <c r="A278" s="10" t="s">
        <v>477</v>
      </c>
      <c r="B278" s="16">
        <v>489.51</v>
      </c>
    </row>
    <row r="279" spans="1:2">
      <c r="A279" s="10" t="s">
        <v>478</v>
      </c>
      <c r="B279" s="16">
        <v>492.48</v>
      </c>
    </row>
    <row r="280" spans="1:2">
      <c r="A280" s="10" t="s">
        <v>479</v>
      </c>
      <c r="B280" s="16">
        <v>495.4</v>
      </c>
    </row>
    <row r="281" spans="1:2">
      <c r="A281" s="10" t="s">
        <v>480</v>
      </c>
      <c r="B281" s="16">
        <v>505.14</v>
      </c>
    </row>
    <row r="282" spans="1:2">
      <c r="A282" s="10" t="s">
        <v>481</v>
      </c>
      <c r="B282" s="16">
        <v>506.85</v>
      </c>
    </row>
    <row r="283" spans="1:2">
      <c r="A283" s="10" t="s">
        <v>482</v>
      </c>
      <c r="B283" s="16">
        <v>507.59</v>
      </c>
    </row>
    <row r="284" spans="1:2">
      <c r="A284" s="10" t="s">
        <v>483</v>
      </c>
      <c r="B284" s="16">
        <v>506.19</v>
      </c>
    </row>
    <row r="285" spans="1:2">
      <c r="A285" s="10" t="s">
        <v>484</v>
      </c>
      <c r="B285" s="16">
        <v>509.81</v>
      </c>
    </row>
    <row r="286" spans="1:2">
      <c r="A286" s="10" t="s">
        <v>485</v>
      </c>
      <c r="B286" s="16">
        <v>507.61</v>
      </c>
    </row>
    <row r="287" spans="1:2">
      <c r="A287" s="10" t="s">
        <v>486</v>
      </c>
      <c r="B287" s="16">
        <v>505.04</v>
      </c>
    </row>
    <row r="288" spans="1:2">
      <c r="A288" s="10" t="s">
        <v>487</v>
      </c>
      <c r="B288" s="16">
        <v>510.63</v>
      </c>
    </row>
    <row r="289" spans="1:2">
      <c r="A289" s="10" t="s">
        <v>488</v>
      </c>
      <c r="B289" s="16">
        <v>515.34</v>
      </c>
    </row>
    <row r="290" spans="1:2">
      <c r="A290" s="10" t="s">
        <v>489</v>
      </c>
      <c r="B290" s="16">
        <v>515.99</v>
      </c>
    </row>
    <row r="291" spans="1:2">
      <c r="A291" s="10" t="s">
        <v>490</v>
      </c>
      <c r="B291" s="16">
        <v>518.23</v>
      </c>
    </row>
    <row r="292" spans="1:2">
      <c r="A292" s="10" t="s">
        <v>491</v>
      </c>
      <c r="B292" s="16">
        <v>519.46</v>
      </c>
    </row>
    <row r="293" spans="1:2">
      <c r="A293" s="10" t="s">
        <v>492</v>
      </c>
      <c r="B293" s="16">
        <v>519.64</v>
      </c>
    </row>
    <row r="294" spans="1:2">
      <c r="A294" s="10" t="s">
        <v>493</v>
      </c>
      <c r="B294" s="16">
        <v>524.87</v>
      </c>
    </row>
    <row r="295" spans="1:2">
      <c r="A295" s="10" t="s">
        <v>494</v>
      </c>
      <c r="B295" s="16">
        <v>524.16</v>
      </c>
    </row>
    <row r="296" spans="1:2">
      <c r="A296" s="10" t="s">
        <v>495</v>
      </c>
      <c r="B296" s="16">
        <v>528.04999999999995</v>
      </c>
    </row>
    <row r="297" spans="1:2">
      <c r="A297" s="10" t="s">
        <v>496</v>
      </c>
      <c r="B297" s="16">
        <v>533.32000000000005</v>
      </c>
    </row>
    <row r="298" spans="1:2">
      <c r="A298" s="10" t="s">
        <v>497</v>
      </c>
      <c r="B298" s="16">
        <v>531.74</v>
      </c>
    </row>
    <row r="299" spans="1:2">
      <c r="A299" s="10" t="s">
        <v>498</v>
      </c>
      <c r="B299" s="16">
        <v>536.58000000000004</v>
      </c>
    </row>
    <row r="300" spans="1:2">
      <c r="A300" s="10" t="s">
        <v>499</v>
      </c>
      <c r="B300" s="16">
        <v>535.96</v>
      </c>
    </row>
    <row r="301" spans="1:2">
      <c r="A301" s="10" t="s">
        <v>500</v>
      </c>
      <c r="B301" s="16">
        <v>536.73</v>
      </c>
    </row>
    <row r="302" spans="1:2">
      <c r="A302" s="10" t="s">
        <v>501</v>
      </c>
      <c r="B302" s="16">
        <v>537.23</v>
      </c>
    </row>
    <row r="303" spans="1:2">
      <c r="A303" s="10" t="s">
        <v>502</v>
      </c>
      <c r="B303" s="16">
        <v>530.66</v>
      </c>
    </row>
    <row r="304" spans="1:2">
      <c r="A304" s="10" t="s">
        <v>503</v>
      </c>
      <c r="B304" s="16">
        <v>529.29</v>
      </c>
    </row>
    <row r="305" spans="1:2">
      <c r="A305" s="10" t="s">
        <v>504</v>
      </c>
      <c r="B305" s="16">
        <v>531.05999999999995</v>
      </c>
    </row>
    <row r="306" spans="1:2">
      <c r="A306" s="10" t="s">
        <v>505</v>
      </c>
      <c r="B306" s="16">
        <v>538.05999999999995</v>
      </c>
    </row>
    <row r="307" spans="1:2">
      <c r="A307" s="10" t="s">
        <v>506</v>
      </c>
      <c r="B307" s="16">
        <v>528.89</v>
      </c>
    </row>
    <row r="308" spans="1:2">
      <c r="A308" s="10" t="s">
        <v>507</v>
      </c>
      <c r="B308" s="16">
        <v>528.80999999999995</v>
      </c>
    </row>
    <row r="309" spans="1:2">
      <c r="A309" s="10" t="s">
        <v>508</v>
      </c>
      <c r="B309" s="16">
        <v>524</v>
      </c>
    </row>
    <row r="310" spans="1:2">
      <c r="A310" s="10" t="s">
        <v>509</v>
      </c>
      <c r="B310" s="16">
        <v>522.85</v>
      </c>
    </row>
    <row r="311" spans="1:2">
      <c r="A311" s="10" t="s">
        <v>510</v>
      </c>
      <c r="B311" s="16">
        <v>521.09</v>
      </c>
    </row>
    <row r="312" spans="1:2">
      <c r="A312" s="10" t="s">
        <v>511</v>
      </c>
      <c r="B312" s="16">
        <v>513.12</v>
      </c>
    </row>
    <row r="313" spans="1:2">
      <c r="A313" s="10" t="s">
        <v>512</v>
      </c>
      <c r="B313" s="16">
        <v>509.65</v>
      </c>
    </row>
    <row r="314" spans="1:2">
      <c r="A314" s="10" t="s">
        <v>513</v>
      </c>
      <c r="B314" s="16">
        <v>515.94000000000005</v>
      </c>
    </row>
    <row r="315" spans="1:2">
      <c r="A315" s="10" t="s">
        <v>514</v>
      </c>
      <c r="B315" s="16">
        <v>516.12</v>
      </c>
    </row>
    <row r="316" spans="1:2">
      <c r="A316" s="10" t="s">
        <v>515</v>
      </c>
      <c r="B316" s="16">
        <v>508.56</v>
      </c>
    </row>
    <row r="317" spans="1:2">
      <c r="A317" s="10" t="s">
        <v>516</v>
      </c>
      <c r="B317" s="16">
        <v>503.73</v>
      </c>
    </row>
    <row r="318" spans="1:2">
      <c r="A318" s="10" t="s">
        <v>517</v>
      </c>
      <c r="B318" s="16">
        <v>507.39</v>
      </c>
    </row>
    <row r="319" spans="1:2">
      <c r="A319" s="10" t="s">
        <v>518</v>
      </c>
      <c r="B319" s="16">
        <v>505.16</v>
      </c>
    </row>
    <row r="320" spans="1:2">
      <c r="A320" s="10" t="s">
        <v>519</v>
      </c>
      <c r="B320" s="16">
        <v>509.53</v>
      </c>
    </row>
    <row r="321" spans="1:2">
      <c r="A321" s="10" t="s">
        <v>520</v>
      </c>
      <c r="B321" s="16">
        <v>510.69</v>
      </c>
    </row>
    <row r="322" spans="1:2">
      <c r="A322" s="10" t="s">
        <v>521</v>
      </c>
      <c r="B322" s="16">
        <v>504.93</v>
      </c>
    </row>
    <row r="323" spans="1:2">
      <c r="A323" s="10" t="s">
        <v>522</v>
      </c>
      <c r="B323" s="16">
        <v>494.56</v>
      </c>
    </row>
    <row r="324" spans="1:2">
      <c r="A324" s="10" t="s">
        <v>523</v>
      </c>
      <c r="B324" s="16">
        <v>492.13</v>
      </c>
    </row>
    <row r="325" spans="1:2">
      <c r="A325" s="10" t="s">
        <v>524</v>
      </c>
      <c r="B325" s="16">
        <v>486.55</v>
      </c>
    </row>
    <row r="326" spans="1:2">
      <c r="A326" s="10" t="s">
        <v>525</v>
      </c>
      <c r="B326" s="16">
        <v>491.82</v>
      </c>
    </row>
    <row r="327" spans="1:2">
      <c r="A327" s="10" t="s">
        <v>526</v>
      </c>
      <c r="B327" s="16">
        <v>500.41</v>
      </c>
    </row>
    <row r="328" spans="1:2">
      <c r="A328" s="10" t="s">
        <v>527</v>
      </c>
      <c r="B328" s="16">
        <v>503.22</v>
      </c>
    </row>
    <row r="329" spans="1:2">
      <c r="A329" s="10" t="s">
        <v>528</v>
      </c>
      <c r="B329" s="16">
        <v>499.91</v>
      </c>
    </row>
    <row r="330" spans="1:2">
      <c r="A330" s="10" t="s">
        <v>529</v>
      </c>
      <c r="B330" s="16">
        <v>501.87</v>
      </c>
    </row>
    <row r="331" spans="1:2">
      <c r="A331" s="10" t="s">
        <v>530</v>
      </c>
      <c r="B331" s="16">
        <v>500.65</v>
      </c>
    </row>
    <row r="332" spans="1:2">
      <c r="A332" s="10" t="s">
        <v>531</v>
      </c>
      <c r="B332" s="16">
        <v>500.05</v>
      </c>
    </row>
    <row r="333" spans="1:2">
      <c r="A333" s="10" t="s">
        <v>532</v>
      </c>
      <c r="B333" s="16">
        <v>507.63</v>
      </c>
    </row>
    <row r="334" spans="1:2">
      <c r="A334" s="10" t="s">
        <v>533</v>
      </c>
      <c r="B334" s="16">
        <v>507.5</v>
      </c>
    </row>
    <row r="335" spans="1:2">
      <c r="A335" s="10" t="s">
        <v>534</v>
      </c>
      <c r="B335" s="16">
        <v>512.21</v>
      </c>
    </row>
    <row r="336" spans="1:2">
      <c r="A336" s="10" t="s">
        <v>535</v>
      </c>
      <c r="B336" s="16">
        <v>517.05999999999995</v>
      </c>
    </row>
    <row r="337" spans="1:2">
      <c r="A337" s="10" t="s">
        <v>536</v>
      </c>
      <c r="B337" s="16">
        <v>515.09</v>
      </c>
    </row>
    <row r="338" spans="1:2">
      <c r="A338" s="10" t="s">
        <v>537</v>
      </c>
      <c r="B338" s="16">
        <v>516.6</v>
      </c>
    </row>
    <row r="339" spans="1:2">
      <c r="A339" s="10" t="s">
        <v>538</v>
      </c>
      <c r="B339" s="16">
        <v>516.39</v>
      </c>
    </row>
    <row r="340" spans="1:2">
      <c r="A340" s="10" t="s">
        <v>539</v>
      </c>
      <c r="B340" s="16">
        <v>517.51</v>
      </c>
    </row>
    <row r="341" spans="1:2">
      <c r="A341" s="10" t="s">
        <v>540</v>
      </c>
      <c r="B341" s="16">
        <v>513.07000000000005</v>
      </c>
    </row>
    <row r="342" spans="1:2">
      <c r="A342" s="10" t="s">
        <v>541</v>
      </c>
      <c r="B342" s="16">
        <v>516.32000000000005</v>
      </c>
    </row>
    <row r="343" spans="1:2">
      <c r="A343" s="10" t="s">
        <v>542</v>
      </c>
      <c r="B343" s="16">
        <v>519.42999999999995</v>
      </c>
    </row>
    <row r="344" spans="1:2">
      <c r="A344" s="10" t="s">
        <v>543</v>
      </c>
      <c r="B344" s="16">
        <v>517.38</v>
      </c>
    </row>
    <row r="345" spans="1:2">
      <c r="A345" s="10" t="s">
        <v>544</v>
      </c>
      <c r="B345" s="16">
        <v>517.11</v>
      </c>
    </row>
    <row r="346" spans="1:2">
      <c r="A346" s="10" t="s">
        <v>545</v>
      </c>
      <c r="B346" s="16">
        <v>515.66</v>
      </c>
    </row>
    <row r="347" spans="1:2">
      <c r="A347" s="10" t="s">
        <v>546</v>
      </c>
      <c r="B347" s="16">
        <v>518.15</v>
      </c>
    </row>
    <row r="348" spans="1:2">
      <c r="A348" s="10" t="s">
        <v>547</v>
      </c>
      <c r="B348" s="16">
        <v>516.78</v>
      </c>
    </row>
    <row r="349" spans="1:2">
      <c r="A349" s="10" t="s">
        <v>548</v>
      </c>
      <c r="B349" s="16">
        <v>516.16</v>
      </c>
    </row>
    <row r="350" spans="1:2">
      <c r="A350" s="10" t="s">
        <v>549</v>
      </c>
      <c r="B350" s="16">
        <v>515.61</v>
      </c>
    </row>
    <row r="351" spans="1:2">
      <c r="A351" s="10" t="s">
        <v>550</v>
      </c>
      <c r="B351" s="16">
        <v>517.54999999999995</v>
      </c>
    </row>
    <row r="352" spans="1:2">
      <c r="A352" s="10" t="s">
        <v>551</v>
      </c>
      <c r="B352" s="16">
        <v>516.66</v>
      </c>
    </row>
    <row r="353" spans="1:2">
      <c r="A353" s="10" t="s">
        <v>552</v>
      </c>
      <c r="B353" s="16">
        <v>523.85</v>
      </c>
    </row>
    <row r="354" spans="1:2">
      <c r="A354" s="10" t="s">
        <v>553</v>
      </c>
      <c r="B354" s="16">
        <v>523.95000000000005</v>
      </c>
    </row>
    <row r="355" spans="1:2">
      <c r="A355" s="10" t="s">
        <v>554</v>
      </c>
      <c r="B355" s="16">
        <v>524.16999999999996</v>
      </c>
    </row>
    <row r="356" spans="1:2">
      <c r="A356" s="10" t="s">
        <v>555</v>
      </c>
      <c r="B356" s="16">
        <v>519.73</v>
      </c>
    </row>
    <row r="357" spans="1:2">
      <c r="A357" s="10" t="s">
        <v>556</v>
      </c>
      <c r="B357" s="16">
        <v>518.9</v>
      </c>
    </row>
    <row r="358" spans="1:2">
      <c r="A358" s="10" t="s">
        <v>557</v>
      </c>
      <c r="B358" s="16">
        <v>519.79999999999995</v>
      </c>
    </row>
    <row r="359" spans="1:2">
      <c r="A359" s="10" t="s">
        <v>558</v>
      </c>
      <c r="B359" s="16">
        <v>519.62</v>
      </c>
    </row>
    <row r="360" spans="1:2">
      <c r="A360" s="10" t="s">
        <v>559</v>
      </c>
      <c r="B360" s="16">
        <v>520.98</v>
      </c>
    </row>
    <row r="361" spans="1:2">
      <c r="A361" s="10" t="s">
        <v>560</v>
      </c>
      <c r="B361" s="16">
        <v>524.91</v>
      </c>
    </row>
    <row r="362" spans="1:2">
      <c r="A362" s="10" t="s">
        <v>561</v>
      </c>
      <c r="B362" s="16">
        <v>524.09</v>
      </c>
    </row>
    <row r="363" spans="1:2">
      <c r="A363" s="10" t="s">
        <v>562</v>
      </c>
      <c r="B363" s="16">
        <v>518.49</v>
      </c>
    </row>
    <row r="364" spans="1:2">
      <c r="A364" s="10" t="s">
        <v>563</v>
      </c>
      <c r="B364" s="16">
        <v>517.04999999999995</v>
      </c>
    </row>
    <row r="365" spans="1:2">
      <c r="A365" s="10" t="s">
        <v>564</v>
      </c>
      <c r="B365" s="16">
        <v>513.16</v>
      </c>
    </row>
    <row r="366" spans="1:2">
      <c r="A366" s="10" t="s">
        <v>565</v>
      </c>
      <c r="B366" s="16">
        <v>508.91</v>
      </c>
    </row>
    <row r="367" spans="1:2">
      <c r="A367" s="10" t="s">
        <v>566</v>
      </c>
      <c r="B367" s="16">
        <v>507.14</v>
      </c>
    </row>
    <row r="368" spans="1:2">
      <c r="A368" s="10" t="s">
        <v>567</v>
      </c>
      <c r="B368" s="16">
        <v>512.67999999999995</v>
      </c>
    </row>
    <row r="369" spans="1:2">
      <c r="A369" s="10" t="s">
        <v>568</v>
      </c>
      <c r="B369" s="16">
        <v>513.59</v>
      </c>
    </row>
    <row r="370" spans="1:2">
      <c r="A370" s="10" t="s">
        <v>569</v>
      </c>
      <c r="B370" s="16">
        <v>512.41999999999996</v>
      </c>
    </row>
    <row r="371" spans="1:2">
      <c r="A371" s="10" t="s">
        <v>570</v>
      </c>
      <c r="B371" s="16">
        <v>501.3</v>
      </c>
    </row>
    <row r="372" spans="1:2">
      <c r="A372" s="10" t="s">
        <v>571</v>
      </c>
      <c r="B372" s="16">
        <v>501.51</v>
      </c>
    </row>
    <row r="373" spans="1:2">
      <c r="A373" s="10" t="s">
        <v>572</v>
      </c>
      <c r="B373" s="16">
        <v>505.95</v>
      </c>
    </row>
    <row r="374" spans="1:2">
      <c r="A374" s="10" t="s">
        <v>573</v>
      </c>
      <c r="B374" s="16">
        <v>502.67</v>
      </c>
    </row>
    <row r="375" spans="1:2">
      <c r="A375" s="10" t="s">
        <v>574</v>
      </c>
      <c r="B375" s="16">
        <v>506.57</v>
      </c>
    </row>
    <row r="376" spans="1:2">
      <c r="A376" s="10" t="s">
        <v>575</v>
      </c>
      <c r="B376" s="16">
        <v>506.09</v>
      </c>
    </row>
    <row r="377" spans="1:2">
      <c r="A377" s="10" t="s">
        <v>576</v>
      </c>
      <c r="B377" s="16">
        <v>507.72</v>
      </c>
    </row>
    <row r="378" spans="1:2">
      <c r="A378" s="10" t="s">
        <v>577</v>
      </c>
      <c r="B378" s="16">
        <v>510.57</v>
      </c>
    </row>
    <row r="379" spans="1:2">
      <c r="A379" s="10" t="s">
        <v>578</v>
      </c>
      <c r="B379" s="16">
        <v>511.47</v>
      </c>
    </row>
    <row r="380" spans="1:2">
      <c r="A380" s="10" t="s">
        <v>579</v>
      </c>
      <c r="B380" s="16">
        <v>511.6</v>
      </c>
    </row>
    <row r="381" spans="1:2">
      <c r="A381" s="10" t="s">
        <v>580</v>
      </c>
      <c r="B381" s="16">
        <v>517.71</v>
      </c>
    </row>
    <row r="382" spans="1:2">
      <c r="A382" s="10" t="s">
        <v>581</v>
      </c>
      <c r="B382" s="16">
        <v>517.66999999999996</v>
      </c>
    </row>
    <row r="383" spans="1:2">
      <c r="A383" s="10" t="s">
        <v>582</v>
      </c>
      <c r="B383" s="16">
        <v>516.83000000000004</v>
      </c>
    </row>
    <row r="384" spans="1:2">
      <c r="A384" s="10" t="s">
        <v>583</v>
      </c>
      <c r="B384" s="16">
        <v>518.65</v>
      </c>
    </row>
    <row r="385" spans="1:2">
      <c r="A385" s="10" t="s">
        <v>584</v>
      </c>
      <c r="B385" s="16">
        <v>519.67999999999995</v>
      </c>
    </row>
    <row r="386" spans="1:2">
      <c r="A386" s="10" t="s">
        <v>585</v>
      </c>
      <c r="B386" s="16">
        <v>520.6</v>
      </c>
    </row>
    <row r="387" spans="1:2">
      <c r="A387" s="10" t="s">
        <v>586</v>
      </c>
      <c r="B387" s="16">
        <v>525.74</v>
      </c>
    </row>
    <row r="388" spans="1:2">
      <c r="A388" s="10" t="s">
        <v>587</v>
      </c>
      <c r="B388" s="16">
        <v>523.15</v>
      </c>
    </row>
    <row r="389" spans="1:2">
      <c r="A389" s="10" t="s">
        <v>588</v>
      </c>
      <c r="B389" s="16">
        <v>521.01</v>
      </c>
    </row>
    <row r="390" spans="1:2">
      <c r="A390" s="10" t="s">
        <v>589</v>
      </c>
      <c r="B390" s="16">
        <v>518.61</v>
      </c>
    </row>
    <row r="391" spans="1:2">
      <c r="A391" s="10" t="s">
        <v>590</v>
      </c>
      <c r="B391" s="16">
        <v>518.20000000000005</v>
      </c>
    </row>
    <row r="392" spans="1:2">
      <c r="A392" s="10" t="s">
        <v>591</v>
      </c>
      <c r="B392" s="16">
        <v>517.29999999999995</v>
      </c>
    </row>
    <row r="393" spans="1:2">
      <c r="A393" s="10" t="s">
        <v>592</v>
      </c>
      <c r="B393" s="16">
        <v>518.02</v>
      </c>
    </row>
    <row r="394" spans="1:2">
      <c r="A394" s="10" t="s">
        <v>593</v>
      </c>
      <c r="B394" s="16">
        <v>514.85</v>
      </c>
    </row>
    <row r="395" spans="1:2">
      <c r="A395" s="10" t="s">
        <v>594</v>
      </c>
      <c r="B395" s="16">
        <v>510.59</v>
      </c>
    </row>
    <row r="396" spans="1:2">
      <c r="A396" s="10" t="s">
        <v>595</v>
      </c>
      <c r="B396" s="16">
        <v>516.04999999999995</v>
      </c>
    </row>
    <row r="397" spans="1:2">
      <c r="A397" s="10" t="s">
        <v>596</v>
      </c>
      <c r="B397" s="16">
        <v>513.07000000000005</v>
      </c>
    </row>
    <row r="398" spans="1:2">
      <c r="A398" s="10" t="s">
        <v>597</v>
      </c>
      <c r="B398" s="16">
        <v>508.77</v>
      </c>
    </row>
    <row r="399" spans="1:2">
      <c r="A399" s="10" t="s">
        <v>598</v>
      </c>
      <c r="B399" s="16">
        <v>512.24</v>
      </c>
    </row>
    <row r="400" spans="1:2">
      <c r="A400" s="10" t="s">
        <v>599</v>
      </c>
      <c r="B400" s="16">
        <v>509.61</v>
      </c>
    </row>
    <row r="401" spans="1:2">
      <c r="A401" s="10" t="s">
        <v>600</v>
      </c>
      <c r="B401" s="16">
        <v>504.27</v>
      </c>
    </row>
    <row r="402" spans="1:2">
      <c r="A402" s="10" t="s">
        <v>601</v>
      </c>
      <c r="B402" s="16">
        <v>505.94</v>
      </c>
    </row>
    <row r="403" spans="1:2">
      <c r="A403" s="10" t="s">
        <v>602</v>
      </c>
      <c r="B403" s="16">
        <v>516.64</v>
      </c>
    </row>
    <row r="404" spans="1:2">
      <c r="A404" s="10" t="s">
        <v>603</v>
      </c>
      <c r="B404" s="16">
        <v>518.04</v>
      </c>
    </row>
    <row r="405" spans="1:2">
      <c r="A405" s="10" t="s">
        <v>604</v>
      </c>
      <c r="B405" s="16">
        <v>518.27</v>
      </c>
    </row>
    <row r="406" spans="1:2">
      <c r="A406" s="10" t="s">
        <v>605</v>
      </c>
      <c r="B406" s="16">
        <v>519.98</v>
      </c>
    </row>
    <row r="407" spans="1:2">
      <c r="A407" s="10" t="s">
        <v>606</v>
      </c>
      <c r="B407" s="16">
        <v>525.14</v>
      </c>
    </row>
    <row r="408" spans="1:2">
      <c r="A408" s="10" t="s">
        <v>607</v>
      </c>
      <c r="B408" s="16">
        <v>522.45000000000005</v>
      </c>
    </row>
    <row r="409" spans="1:2">
      <c r="A409" s="10" t="s">
        <v>608</v>
      </c>
      <c r="B409" s="16">
        <v>524.70000000000005</v>
      </c>
    </row>
    <row r="410" spans="1:2">
      <c r="A410" s="10" t="s">
        <v>609</v>
      </c>
      <c r="B410" s="16">
        <v>525.54</v>
      </c>
    </row>
    <row r="411" spans="1:2">
      <c r="A411" s="10" t="s">
        <v>610</v>
      </c>
      <c r="B411" s="16">
        <v>526</v>
      </c>
    </row>
    <row r="412" spans="1:2">
      <c r="A412" s="10" t="s">
        <v>611</v>
      </c>
      <c r="B412" s="16">
        <v>522.46</v>
      </c>
    </row>
    <row r="413" spans="1:2">
      <c r="A413" s="10" t="s">
        <v>612</v>
      </c>
      <c r="B413" s="16">
        <v>523.89</v>
      </c>
    </row>
    <row r="414" spans="1:2">
      <c r="A414" s="10" t="s">
        <v>613</v>
      </c>
      <c r="B414" s="16">
        <v>524.57000000000005</v>
      </c>
    </row>
    <row r="415" spans="1:2">
      <c r="A415" s="10" t="s">
        <v>614</v>
      </c>
      <c r="B415" s="16">
        <v>524.6</v>
      </c>
    </row>
    <row r="416" spans="1:2">
      <c r="A416" s="10" t="s">
        <v>615</v>
      </c>
      <c r="B416" s="16">
        <v>528.39</v>
      </c>
    </row>
    <row r="417" spans="1:2">
      <c r="A417" s="10" t="s">
        <v>616</v>
      </c>
      <c r="B417" s="16">
        <v>526.9</v>
      </c>
    </row>
    <row r="418" spans="1:2">
      <c r="A418" s="10" t="s">
        <v>617</v>
      </c>
      <c r="B418" s="16">
        <v>530.89</v>
      </c>
    </row>
    <row r="419" spans="1:2">
      <c r="A419" s="10" t="s">
        <v>618</v>
      </c>
      <c r="B419" s="16">
        <v>532.96</v>
      </c>
    </row>
    <row r="420" spans="1:2">
      <c r="A420" s="10" t="s">
        <v>619</v>
      </c>
      <c r="B420" s="16">
        <v>533.54</v>
      </c>
    </row>
    <row r="421" spans="1:2">
      <c r="A421" s="10" t="s">
        <v>620</v>
      </c>
      <c r="B421" s="16">
        <v>531.52</v>
      </c>
    </row>
    <row r="422" spans="1:2">
      <c r="A422" s="10" t="s">
        <v>621</v>
      </c>
      <c r="B422" s="16">
        <v>534.09</v>
      </c>
    </row>
    <row r="423" spans="1:2">
      <c r="A423" s="10" t="s">
        <v>622</v>
      </c>
      <c r="B423" s="16">
        <v>533.20000000000005</v>
      </c>
    </row>
    <row r="424" spans="1:2">
      <c r="A424" s="10" t="s">
        <v>623</v>
      </c>
      <c r="B424" s="16">
        <v>537.28</v>
      </c>
    </row>
    <row r="425" spans="1:2">
      <c r="A425" s="10" t="s">
        <v>624</v>
      </c>
      <c r="B425" s="16">
        <v>536.84</v>
      </c>
    </row>
    <row r="426" spans="1:2">
      <c r="A426" s="10" t="s">
        <v>625</v>
      </c>
      <c r="B426" s="16">
        <v>534.89</v>
      </c>
    </row>
    <row r="427" spans="1:2">
      <c r="A427" s="10" t="s">
        <v>626</v>
      </c>
      <c r="B427" s="16">
        <v>536.61</v>
      </c>
    </row>
    <row r="428" spans="1:2">
      <c r="A428" s="10" t="s">
        <v>627</v>
      </c>
      <c r="B428" s="16">
        <v>538.86</v>
      </c>
    </row>
    <row r="429" spans="1:2">
      <c r="A429" s="10" t="s">
        <v>628</v>
      </c>
      <c r="B429" s="16">
        <v>539.6</v>
      </c>
    </row>
    <row r="430" spans="1:2">
      <c r="A430" s="10" t="s">
        <v>629</v>
      </c>
      <c r="B430" s="16">
        <v>539.41</v>
      </c>
    </row>
    <row r="431" spans="1:2">
      <c r="A431" s="10" t="s">
        <v>630</v>
      </c>
      <c r="B431" s="16">
        <v>536.98</v>
      </c>
    </row>
    <row r="432" spans="1:2">
      <c r="A432" s="10" t="s">
        <v>631</v>
      </c>
      <c r="B432" s="16">
        <v>537.24</v>
      </c>
    </row>
    <row r="433" spans="1:2">
      <c r="A433" s="10" t="s">
        <v>632</v>
      </c>
      <c r="B433" s="16">
        <v>538.96</v>
      </c>
    </row>
    <row r="434" spans="1:2">
      <c r="A434" s="10" t="s">
        <v>633</v>
      </c>
      <c r="B434" s="16">
        <v>539.38</v>
      </c>
    </row>
    <row r="435" spans="1:2">
      <c r="A435" s="10" t="s">
        <v>634</v>
      </c>
      <c r="B435" s="16">
        <v>540.61</v>
      </c>
    </row>
    <row r="436" spans="1:2">
      <c r="A436" s="10" t="s">
        <v>635</v>
      </c>
      <c r="B436" s="16">
        <v>538.51</v>
      </c>
    </row>
    <row r="437" spans="1:2">
      <c r="A437" s="10" t="s">
        <v>636</v>
      </c>
      <c r="B437" s="16">
        <v>540.83000000000004</v>
      </c>
    </row>
    <row r="438" spans="1:2">
      <c r="A438" s="10" t="s">
        <v>637</v>
      </c>
      <c r="B438" s="16">
        <v>540.99</v>
      </c>
    </row>
    <row r="439" spans="1:2">
      <c r="A439" s="10" t="s">
        <v>638</v>
      </c>
      <c r="B439" s="16">
        <v>540.42999999999995</v>
      </c>
    </row>
    <row r="440" spans="1:2">
      <c r="A440" s="10" t="s">
        <v>639</v>
      </c>
      <c r="B440" s="16">
        <v>539.44000000000005</v>
      </c>
    </row>
    <row r="441" spans="1:2">
      <c r="A441" s="10" t="s">
        <v>640</v>
      </c>
      <c r="B441" s="16">
        <v>533.05999999999995</v>
      </c>
    </row>
    <row r="442" spans="1:2">
      <c r="A442" s="10" t="s">
        <v>641</v>
      </c>
      <c r="B442" s="16">
        <v>531.80999999999995</v>
      </c>
    </row>
    <row r="443" spans="1:2">
      <c r="A443" s="10" t="s">
        <v>642</v>
      </c>
      <c r="B443" s="16">
        <v>525.35</v>
      </c>
    </row>
    <row r="444" spans="1:2">
      <c r="A444" s="10" t="s">
        <v>643</v>
      </c>
      <c r="B444" s="16">
        <v>530.03</v>
      </c>
    </row>
    <row r="445" spans="1:2">
      <c r="A445" s="10" t="s">
        <v>644</v>
      </c>
      <c r="B445" s="16">
        <v>530.07000000000005</v>
      </c>
    </row>
    <row r="446" spans="1:2">
      <c r="A446" s="10" t="s">
        <v>645</v>
      </c>
      <c r="B446" s="16">
        <v>525.33000000000004</v>
      </c>
    </row>
    <row r="447" spans="1:2">
      <c r="A447" s="10" t="s">
        <v>646</v>
      </c>
      <c r="B447" s="16">
        <v>520.57000000000005</v>
      </c>
    </row>
    <row r="448" spans="1:2">
      <c r="A448" s="10" t="s">
        <v>647</v>
      </c>
      <c r="B448" s="16">
        <v>517.59</v>
      </c>
    </row>
    <row r="449" spans="1:2">
      <c r="A449" s="10" t="s">
        <v>648</v>
      </c>
      <c r="B449" s="16">
        <v>516.96</v>
      </c>
    </row>
    <row r="450" spans="1:2">
      <c r="A450" s="10" t="s">
        <v>649</v>
      </c>
      <c r="B450" s="16">
        <v>522.01</v>
      </c>
    </row>
    <row r="451" spans="1:2">
      <c r="A451" s="10" t="s">
        <v>650</v>
      </c>
      <c r="B451" s="16">
        <v>518.33000000000004</v>
      </c>
    </row>
    <row r="452" spans="1:2">
      <c r="A452" s="10" t="s">
        <v>651</v>
      </c>
      <c r="B452" s="16">
        <v>524.83000000000004</v>
      </c>
    </row>
    <row r="453" spans="1:2">
      <c r="A453" s="10" t="s">
        <v>652</v>
      </c>
      <c r="B453" s="16">
        <v>530.75</v>
      </c>
    </row>
    <row r="454" spans="1:2">
      <c r="A454" s="10" t="s">
        <v>653</v>
      </c>
      <c r="B454" s="16">
        <v>532.73</v>
      </c>
    </row>
    <row r="455" spans="1:2">
      <c r="A455" s="10" t="s">
        <v>654</v>
      </c>
      <c r="B455" s="16">
        <v>534.77</v>
      </c>
    </row>
    <row r="456" spans="1:2">
      <c r="A456" s="10" t="s">
        <v>655</v>
      </c>
      <c r="B456" s="16">
        <v>536.57000000000005</v>
      </c>
    </row>
    <row r="457" spans="1:2">
      <c r="A457" s="10" t="s">
        <v>656</v>
      </c>
      <c r="B457" s="16">
        <v>538.88</v>
      </c>
    </row>
    <row r="458" spans="1:2">
      <c r="A458" s="10" t="s">
        <v>657</v>
      </c>
      <c r="B458" s="16">
        <v>537.41999999999996</v>
      </c>
    </row>
    <row r="459" spans="1:2">
      <c r="A459" s="10" t="s">
        <v>658</v>
      </c>
      <c r="B459" s="16">
        <v>539.27</v>
      </c>
    </row>
    <row r="460" spans="1:2">
      <c r="A460" s="10" t="s">
        <v>659</v>
      </c>
      <c r="B460" s="16">
        <v>535.51</v>
      </c>
    </row>
    <row r="461" spans="1:2">
      <c r="A461" s="10" t="s">
        <v>660</v>
      </c>
      <c r="B461" s="16">
        <v>537.66999999999996</v>
      </c>
    </row>
    <row r="462" spans="1:2">
      <c r="A462" s="10" t="s">
        <v>661</v>
      </c>
      <c r="B462" s="16">
        <v>535.51</v>
      </c>
    </row>
    <row r="463" spans="1:2">
      <c r="A463" s="10" t="s">
        <v>662</v>
      </c>
      <c r="B463" s="16">
        <v>540.71</v>
      </c>
    </row>
    <row r="464" spans="1:2">
      <c r="A464" s="10" t="s">
        <v>663</v>
      </c>
      <c r="B464" s="16">
        <v>540.24</v>
      </c>
    </row>
    <row r="465" spans="1:2">
      <c r="A465" s="10" t="s">
        <v>664</v>
      </c>
      <c r="B465" s="16">
        <v>538.54999999999995</v>
      </c>
    </row>
    <row r="466" spans="1:2">
      <c r="A466" s="10" t="s">
        <v>665</v>
      </c>
      <c r="B466" s="16">
        <v>538.42999999999995</v>
      </c>
    </row>
    <row r="467" spans="1:2">
      <c r="A467" s="10" t="s">
        <v>666</v>
      </c>
      <c r="B467" s="16">
        <v>536.03</v>
      </c>
    </row>
    <row r="468" spans="1:2">
      <c r="A468" s="10" t="s">
        <v>667</v>
      </c>
      <c r="B468" s="16">
        <v>538.23</v>
      </c>
    </row>
    <row r="469" spans="1:2">
      <c r="A469" s="10" t="s">
        <v>668</v>
      </c>
      <c r="B469" s="16">
        <v>546.66</v>
      </c>
    </row>
    <row r="470" spans="1:2">
      <c r="A470" s="10" t="s">
        <v>669</v>
      </c>
      <c r="B470" s="16">
        <v>544.64</v>
      </c>
    </row>
    <row r="471" spans="1:2">
      <c r="A471" s="10" t="s">
        <v>670</v>
      </c>
      <c r="B471" s="16">
        <v>544.30999999999995</v>
      </c>
    </row>
    <row r="472" spans="1:2">
      <c r="A472" s="10" t="s">
        <v>671</v>
      </c>
      <c r="B472" s="16">
        <v>543.58000000000004</v>
      </c>
    </row>
    <row r="473" spans="1:2">
      <c r="A473" s="10" t="s">
        <v>672</v>
      </c>
      <c r="B473" s="16">
        <v>543.95000000000005</v>
      </c>
    </row>
    <row r="474" spans="1:2">
      <c r="A474" s="10" t="s">
        <v>673</v>
      </c>
      <c r="B474" s="16">
        <v>542.80999999999995</v>
      </c>
    </row>
    <row r="475" spans="1:2">
      <c r="A475" s="10" t="s">
        <v>674</v>
      </c>
      <c r="B475" s="16">
        <v>535.53</v>
      </c>
    </row>
    <row r="476" spans="1:2">
      <c r="A476" s="10" t="s">
        <v>675</v>
      </c>
      <c r="B476" s="16">
        <v>523.45000000000005</v>
      </c>
    </row>
    <row r="477" spans="1:2">
      <c r="A477" s="10" t="s">
        <v>676</v>
      </c>
      <c r="B477" s="16">
        <v>520.76</v>
      </c>
    </row>
    <row r="478" spans="1:2">
      <c r="A478" s="10" t="s">
        <v>677</v>
      </c>
      <c r="B478" s="16">
        <v>524.33000000000004</v>
      </c>
    </row>
    <row r="479" spans="1:2">
      <c r="A479" s="10" t="s">
        <v>678</v>
      </c>
      <c r="B479" s="16">
        <v>519.96</v>
      </c>
    </row>
    <row r="480" spans="1:2">
      <c r="A480" s="10" t="s">
        <v>679</v>
      </c>
      <c r="B480" s="16">
        <v>525.32000000000005</v>
      </c>
    </row>
    <row r="481" spans="1:2">
      <c r="A481" s="10" t="s">
        <v>680</v>
      </c>
      <c r="B481" s="16">
        <v>524.07000000000005</v>
      </c>
    </row>
    <row r="482" spans="1:2">
      <c r="A482" s="10" t="s">
        <v>681</v>
      </c>
      <c r="B482" s="16">
        <v>512.61</v>
      </c>
    </row>
    <row r="483" spans="1:2">
      <c r="A483" s="10" t="s">
        <v>682</v>
      </c>
      <c r="B483" s="16">
        <v>514.25</v>
      </c>
    </row>
    <row r="484" spans="1:2">
      <c r="A484" s="10" t="s">
        <v>683</v>
      </c>
      <c r="B484" s="16">
        <v>513.25</v>
      </c>
    </row>
    <row r="485" spans="1:2">
      <c r="A485" s="10" t="s">
        <v>684</v>
      </c>
      <c r="B485" s="16">
        <v>519.05999999999995</v>
      </c>
    </row>
    <row r="486" spans="1:2">
      <c r="A486" s="10" t="s">
        <v>685</v>
      </c>
      <c r="B486" s="16">
        <v>523.69000000000005</v>
      </c>
    </row>
    <row r="487" spans="1:2">
      <c r="A487" s="10" t="s">
        <v>686</v>
      </c>
      <c r="B487" s="16">
        <v>523.66</v>
      </c>
    </row>
    <row r="488" spans="1:2">
      <c r="A488" s="10" t="s">
        <v>687</v>
      </c>
      <c r="B488" s="16">
        <v>529.75</v>
      </c>
    </row>
    <row r="489" spans="1:2">
      <c r="A489" s="10" t="s">
        <v>688</v>
      </c>
      <c r="B489" s="16">
        <v>533.23</v>
      </c>
    </row>
    <row r="490" spans="1:2">
      <c r="A490" s="10" t="s">
        <v>689</v>
      </c>
      <c r="B490" s="16">
        <v>532.67999999999995</v>
      </c>
    </row>
    <row r="491" spans="1:2">
      <c r="A491" s="10" t="s">
        <v>690</v>
      </c>
      <c r="B491" s="16">
        <v>534.91999999999996</v>
      </c>
    </row>
    <row r="492" spans="1:2">
      <c r="A492" s="10" t="s">
        <v>691</v>
      </c>
      <c r="B492" s="16">
        <v>534.21</v>
      </c>
    </row>
    <row r="493" spans="1:2">
      <c r="A493" s="10" t="s">
        <v>692</v>
      </c>
      <c r="B493" s="16">
        <v>532.27</v>
      </c>
    </row>
    <row r="494" spans="1:2">
      <c r="A494" s="10" t="s">
        <v>693</v>
      </c>
      <c r="B494" s="16">
        <v>530.25</v>
      </c>
    </row>
    <row r="495" spans="1:2">
      <c r="A495" s="10" t="s">
        <v>694</v>
      </c>
      <c r="B495" s="16">
        <v>532.59</v>
      </c>
    </row>
    <row r="496" spans="1:2">
      <c r="A496" s="10" t="s">
        <v>695</v>
      </c>
      <c r="B496" s="16">
        <v>532.04999999999995</v>
      </c>
    </row>
    <row r="497" spans="1:2">
      <c r="A497" s="10" t="s">
        <v>696</v>
      </c>
      <c r="B497" s="16">
        <v>534.91</v>
      </c>
    </row>
    <row r="498" spans="1:2">
      <c r="A498" s="10" t="s">
        <v>697</v>
      </c>
      <c r="B498" s="16">
        <v>533.96</v>
      </c>
    </row>
    <row r="499" spans="1:2">
      <c r="A499" s="10" t="s">
        <v>698</v>
      </c>
      <c r="B499" s="16">
        <v>534.78</v>
      </c>
    </row>
    <row r="500" spans="1:2">
      <c r="A500" s="10" t="s">
        <v>699</v>
      </c>
      <c r="B500" s="16">
        <v>534.71</v>
      </c>
    </row>
    <row r="501" spans="1:2">
      <c r="A501" s="10" t="s">
        <v>700</v>
      </c>
      <c r="B501" s="16">
        <v>533.94000000000005</v>
      </c>
    </row>
    <row r="502" spans="1:2">
      <c r="A502" s="10" t="s">
        <v>701</v>
      </c>
      <c r="B502" s="16">
        <v>523.91999999999996</v>
      </c>
    </row>
    <row r="503" spans="1:2">
      <c r="A503" s="10" t="s">
        <v>702</v>
      </c>
      <c r="B503" s="16">
        <v>535.70000000000005</v>
      </c>
    </row>
    <row r="504" spans="1:2">
      <c r="A504" s="10" t="s">
        <v>703</v>
      </c>
      <c r="B504" s="16">
        <v>536.04</v>
      </c>
    </row>
    <row r="505" spans="1:2">
      <c r="A505" s="10" t="s">
        <v>704</v>
      </c>
      <c r="B505" s="16">
        <v>535.45000000000005</v>
      </c>
    </row>
    <row r="506" spans="1:2">
      <c r="A506" s="10" t="s">
        <v>705</v>
      </c>
      <c r="B506" s="16">
        <v>531.13</v>
      </c>
    </row>
    <row r="507" spans="1:2">
      <c r="A507" s="10" t="s">
        <v>706</v>
      </c>
      <c r="B507" s="16">
        <v>529.62</v>
      </c>
    </row>
    <row r="508" spans="1:2">
      <c r="A508" s="10" t="s">
        <v>707</v>
      </c>
      <c r="B508" s="16">
        <v>528.67999999999995</v>
      </c>
    </row>
    <row r="509" spans="1:2">
      <c r="A509" s="10" t="s">
        <v>708</v>
      </c>
      <c r="B509" s="16">
        <v>525.16</v>
      </c>
    </row>
    <row r="510" spans="1:2">
      <c r="A510" s="10" t="s">
        <v>709</v>
      </c>
      <c r="B510" s="16">
        <v>517.26</v>
      </c>
    </row>
    <row r="511" spans="1:2">
      <c r="A511" s="10" t="s">
        <v>710</v>
      </c>
      <c r="B511" s="16">
        <v>515.41999999999996</v>
      </c>
    </row>
    <row r="512" spans="1:2">
      <c r="A512" s="10" t="s">
        <v>711</v>
      </c>
      <c r="B512" s="16">
        <v>521.88</v>
      </c>
    </row>
    <row r="513" spans="1:2">
      <c r="A513" s="10" t="s">
        <v>712</v>
      </c>
      <c r="B513" s="16">
        <v>526.05999999999995</v>
      </c>
    </row>
    <row r="514" spans="1:2">
      <c r="A514" s="10" t="s">
        <v>713</v>
      </c>
      <c r="B514" s="16">
        <v>524.66999999999996</v>
      </c>
    </row>
    <row r="515" spans="1:2">
      <c r="A515" s="10" t="s">
        <v>714</v>
      </c>
      <c r="B515" s="16">
        <v>530.65</v>
      </c>
    </row>
    <row r="516" spans="1:2">
      <c r="A516" s="10" t="s">
        <v>715</v>
      </c>
      <c r="B516" s="16">
        <v>529.97</v>
      </c>
    </row>
    <row r="517" spans="1:2">
      <c r="A517" s="10" t="s">
        <v>716</v>
      </c>
      <c r="B517" s="16">
        <v>525.54</v>
      </c>
    </row>
    <row r="518" spans="1:2">
      <c r="A518" s="10" t="s">
        <v>717</v>
      </c>
      <c r="B518" s="16">
        <v>531.12</v>
      </c>
    </row>
    <row r="519" spans="1:2">
      <c r="A519" s="10" t="s">
        <v>718</v>
      </c>
      <c r="B519" s="16">
        <v>532.16999999999996</v>
      </c>
    </row>
    <row r="520" spans="1:2">
      <c r="A520" s="10" t="s">
        <v>719</v>
      </c>
      <c r="B520" s="16">
        <v>532.49</v>
      </c>
    </row>
    <row r="521" spans="1:2">
      <c r="A521" s="10" t="s">
        <v>720</v>
      </c>
      <c r="B521" s="16">
        <v>536.03</v>
      </c>
    </row>
    <row r="522" spans="1:2">
      <c r="A522" s="10" t="s">
        <v>721</v>
      </c>
      <c r="B522" s="16">
        <v>537.05999999999995</v>
      </c>
    </row>
    <row r="523" spans="1:2">
      <c r="A523" s="10" t="s">
        <v>722</v>
      </c>
      <c r="B523" s="16">
        <v>539.83000000000004</v>
      </c>
    </row>
    <row r="524" spans="1:2">
      <c r="A524" s="10" t="s">
        <v>723</v>
      </c>
      <c r="B524" s="16">
        <v>541.29</v>
      </c>
    </row>
    <row r="525" spans="1:2">
      <c r="A525" s="10" t="s">
        <v>724</v>
      </c>
      <c r="B525" s="16">
        <v>543.1</v>
      </c>
    </row>
    <row r="526" spans="1:2">
      <c r="A526" s="10" t="s">
        <v>725</v>
      </c>
      <c r="B526" s="16">
        <v>541.91</v>
      </c>
    </row>
    <row r="527" spans="1:2">
      <c r="A527" s="10" t="s">
        <v>726</v>
      </c>
      <c r="B527" s="16">
        <v>534.70000000000005</v>
      </c>
    </row>
    <row r="528" spans="1:2">
      <c r="A528" s="10" t="s">
        <v>727</v>
      </c>
      <c r="B528" s="16">
        <v>533.45000000000005</v>
      </c>
    </row>
    <row r="529" spans="1:2">
      <c r="A529" s="10" t="s">
        <v>728</v>
      </c>
      <c r="B529" s="16">
        <v>535.89</v>
      </c>
    </row>
    <row r="530" spans="1:2">
      <c r="A530" s="10" t="s">
        <v>729</v>
      </c>
      <c r="B530" s="16">
        <v>526.91</v>
      </c>
    </row>
    <row r="531" spans="1:2">
      <c r="A531" s="10" t="s">
        <v>730</v>
      </c>
      <c r="B531" s="16">
        <v>520.86</v>
      </c>
    </row>
    <row r="532" spans="1:2">
      <c r="A532" s="10" t="s">
        <v>731</v>
      </c>
      <c r="B532" s="16">
        <v>524.65</v>
      </c>
    </row>
    <row r="533" spans="1:2">
      <c r="A533" s="10" t="s">
        <v>732</v>
      </c>
      <c r="B533" s="16">
        <v>522.86</v>
      </c>
    </row>
    <row r="534" spans="1:2">
      <c r="A534" s="10" t="s">
        <v>733</v>
      </c>
      <c r="B534" s="16">
        <v>529.49</v>
      </c>
    </row>
    <row r="535" spans="1:2">
      <c r="A535" s="10" t="s">
        <v>734</v>
      </c>
      <c r="B535" s="16">
        <v>530.55999999999995</v>
      </c>
    </row>
    <row r="536" spans="1:2">
      <c r="A536" s="10" t="s">
        <v>735</v>
      </c>
      <c r="B536" s="16">
        <v>536.83000000000004</v>
      </c>
    </row>
    <row r="537" spans="1:2">
      <c r="A537" s="10" t="s">
        <v>736</v>
      </c>
      <c r="B537" s="16">
        <v>533.20000000000005</v>
      </c>
    </row>
    <row r="538" spans="1:2">
      <c r="A538" s="10" t="s">
        <v>737</v>
      </c>
      <c r="B538" s="16">
        <v>533.29</v>
      </c>
    </row>
    <row r="539" spans="1:2">
      <c r="A539" s="10" t="s">
        <v>738</v>
      </c>
      <c r="B539" s="16">
        <v>527.86</v>
      </c>
    </row>
    <row r="540" spans="1:2">
      <c r="A540" s="10" t="s">
        <v>739</v>
      </c>
      <c r="B540" s="16">
        <v>530.57000000000005</v>
      </c>
    </row>
    <row r="541" spans="1:2">
      <c r="A541" s="10" t="s">
        <v>740</v>
      </c>
      <c r="B541" s="16">
        <v>535.32000000000005</v>
      </c>
    </row>
    <row r="542" spans="1:2">
      <c r="A542" s="10" t="s">
        <v>741</v>
      </c>
      <c r="B542" s="16">
        <v>534.84</v>
      </c>
    </row>
    <row r="543" spans="1:2">
      <c r="A543" s="10" t="s">
        <v>742</v>
      </c>
      <c r="B543" s="16">
        <v>534.01</v>
      </c>
    </row>
    <row r="544" spans="1:2">
      <c r="A544" s="10" t="s">
        <v>743</v>
      </c>
      <c r="B544" s="16">
        <v>531.82000000000005</v>
      </c>
    </row>
    <row r="545" spans="1:2">
      <c r="A545" s="10" t="s">
        <v>744</v>
      </c>
      <c r="B545" s="16">
        <v>530.53</v>
      </c>
    </row>
    <row r="546" spans="1:2">
      <c r="A546" s="10" t="s">
        <v>745</v>
      </c>
      <c r="B546" s="16">
        <v>525.20000000000005</v>
      </c>
    </row>
    <row r="547" spans="1:2">
      <c r="A547" s="10" t="s">
        <v>746</v>
      </c>
      <c r="B547" s="16">
        <v>528.39</v>
      </c>
    </row>
    <row r="548" spans="1:2">
      <c r="A548" s="10" t="s">
        <v>747</v>
      </c>
      <c r="B548" s="16">
        <v>532.98</v>
      </c>
    </row>
    <row r="549" spans="1:2">
      <c r="A549" s="10" t="s">
        <v>748</v>
      </c>
      <c r="B549" s="16">
        <v>534.47</v>
      </c>
    </row>
    <row r="550" spans="1:2">
      <c r="A550" s="10" t="s">
        <v>749</v>
      </c>
      <c r="B550" s="16">
        <v>538.5</v>
      </c>
    </row>
    <row r="551" spans="1:2">
      <c r="A551" s="10" t="s">
        <v>750</v>
      </c>
      <c r="B551" s="16">
        <v>540.21</v>
      </c>
    </row>
    <row r="552" spans="1:2">
      <c r="A552" s="10" t="s">
        <v>751</v>
      </c>
      <c r="B552" s="16">
        <v>538.89</v>
      </c>
    </row>
    <row r="553" spans="1:2">
      <c r="A553" s="10" t="s">
        <v>752</v>
      </c>
      <c r="B553" s="16">
        <v>533.07000000000005</v>
      </c>
    </row>
    <row r="554" spans="1:2">
      <c r="A554" s="10" t="s">
        <v>753</v>
      </c>
      <c r="B554" s="16">
        <v>534.71</v>
      </c>
    </row>
    <row r="555" spans="1:2">
      <c r="A555" s="10" t="s">
        <v>754</v>
      </c>
      <c r="B555" s="16">
        <v>535.20000000000005</v>
      </c>
    </row>
    <row r="556" spans="1:2">
      <c r="A556" s="10" t="s">
        <v>755</v>
      </c>
      <c r="B556" s="16">
        <v>533.73</v>
      </c>
    </row>
    <row r="557" spans="1:2">
      <c r="A557" s="10" t="s">
        <v>756</v>
      </c>
      <c r="B557" s="16">
        <v>538.32000000000005</v>
      </c>
    </row>
    <row r="558" spans="1:2">
      <c r="A558" s="10" t="s">
        <v>757</v>
      </c>
      <c r="B558" s="16">
        <v>539.21</v>
      </c>
    </row>
    <row r="559" spans="1:2">
      <c r="A559" s="10" t="s">
        <v>758</v>
      </c>
      <c r="B559" s="16">
        <v>542.04</v>
      </c>
    </row>
    <row r="560" spans="1:2">
      <c r="A560" s="10" t="s">
        <v>759</v>
      </c>
      <c r="B560" s="16">
        <v>544.14</v>
      </c>
    </row>
    <row r="561" spans="1:2">
      <c r="A561" s="10" t="s">
        <v>760</v>
      </c>
      <c r="B561" s="16">
        <v>546.38</v>
      </c>
    </row>
    <row r="562" spans="1:2">
      <c r="A562" s="10" t="s">
        <v>761</v>
      </c>
      <c r="B562" s="16">
        <v>546.49</v>
      </c>
    </row>
    <row r="563" spans="1:2">
      <c r="A563" s="10" t="s">
        <v>762</v>
      </c>
      <c r="B563" s="16">
        <v>547.47</v>
      </c>
    </row>
    <row r="564" spans="1:2">
      <c r="A564" s="10" t="s">
        <v>763</v>
      </c>
      <c r="B564" s="16">
        <v>547.94000000000005</v>
      </c>
    </row>
    <row r="565" spans="1:2">
      <c r="A565" s="10" t="s">
        <v>764</v>
      </c>
      <c r="B565" s="16">
        <v>549.17999999999995</v>
      </c>
    </row>
    <row r="566" spans="1:2">
      <c r="A566" s="10" t="s">
        <v>765</v>
      </c>
      <c r="B566" s="16">
        <v>547.82000000000005</v>
      </c>
    </row>
    <row r="567" spans="1:2">
      <c r="A567" s="10" t="s">
        <v>766</v>
      </c>
      <c r="B567" s="16">
        <v>547.6</v>
      </c>
    </row>
    <row r="568" spans="1:2">
      <c r="A568" s="10" t="s">
        <v>767</v>
      </c>
      <c r="B568" s="16">
        <v>551.62</v>
      </c>
    </row>
    <row r="569" spans="1:2">
      <c r="A569" s="10" t="s">
        <v>768</v>
      </c>
      <c r="B569" s="16">
        <v>553.91999999999996</v>
      </c>
    </row>
    <row r="570" spans="1:2">
      <c r="A570" s="10" t="s">
        <v>769</v>
      </c>
      <c r="B570" s="16">
        <v>555.58000000000004</v>
      </c>
    </row>
    <row r="571" spans="1:2">
      <c r="A571" s="10" t="s">
        <v>770</v>
      </c>
      <c r="B571" s="16">
        <v>557.04999999999995</v>
      </c>
    </row>
    <row r="572" spans="1:2">
      <c r="A572" s="10" t="s">
        <v>771</v>
      </c>
      <c r="B572" s="16">
        <v>553.79999999999995</v>
      </c>
    </row>
    <row r="573" spans="1:2">
      <c r="A573" s="10" t="s">
        <v>772</v>
      </c>
      <c r="B573" s="16">
        <v>550.66</v>
      </c>
    </row>
    <row r="574" spans="1:2">
      <c r="A574" s="10" t="s">
        <v>773</v>
      </c>
      <c r="B574" s="16">
        <v>552.04</v>
      </c>
    </row>
    <row r="575" spans="1:2">
      <c r="A575" s="10" t="s">
        <v>774</v>
      </c>
      <c r="B575" s="16">
        <v>549.11</v>
      </c>
    </row>
    <row r="576" spans="1:2">
      <c r="A576" s="10" t="s">
        <v>775</v>
      </c>
      <c r="B576" s="16">
        <v>551.36</v>
      </c>
    </row>
    <row r="577" spans="1:2">
      <c r="A577" s="10" t="s">
        <v>776</v>
      </c>
      <c r="B577" s="16">
        <v>552.83000000000004</v>
      </c>
    </row>
    <row r="578" spans="1:2">
      <c r="A578" s="10" t="s">
        <v>777</v>
      </c>
      <c r="B578" s="16">
        <v>554.07000000000005</v>
      </c>
    </row>
    <row r="579" spans="1:2">
      <c r="A579" s="10" t="s">
        <v>778</v>
      </c>
      <c r="B579" s="16">
        <v>554.41</v>
      </c>
    </row>
    <row r="580" spans="1:2">
      <c r="A580" s="10" t="s">
        <v>779</v>
      </c>
      <c r="B580" s="16">
        <v>551.72</v>
      </c>
    </row>
    <row r="581" spans="1:2">
      <c r="A581" s="10" t="s">
        <v>780</v>
      </c>
      <c r="B581" s="16">
        <v>549.91</v>
      </c>
    </row>
    <row r="582" spans="1:2">
      <c r="A582" s="10" t="s">
        <v>781</v>
      </c>
      <c r="B582" s="16">
        <v>548.87</v>
      </c>
    </row>
    <row r="583" spans="1:2">
      <c r="A583" s="10" t="s">
        <v>782</v>
      </c>
      <c r="B583" s="16">
        <v>548.29999999999995</v>
      </c>
    </row>
    <row r="584" spans="1:2">
      <c r="A584" s="10" t="s">
        <v>783</v>
      </c>
      <c r="B584" s="16">
        <v>547.99</v>
      </c>
    </row>
    <row r="585" spans="1:2">
      <c r="A585" s="10" t="s">
        <v>784</v>
      </c>
      <c r="B585" s="16">
        <v>546.29999999999995</v>
      </c>
    </row>
    <row r="586" spans="1:2">
      <c r="A586" s="10" t="s">
        <v>785</v>
      </c>
      <c r="B586" s="16">
        <v>550.99</v>
      </c>
    </row>
    <row r="587" spans="1:2">
      <c r="A587" s="10" t="s">
        <v>786</v>
      </c>
      <c r="B587" s="16">
        <v>552.13</v>
      </c>
    </row>
    <row r="588" spans="1:2">
      <c r="A588" s="10" t="s">
        <v>787</v>
      </c>
      <c r="B588" s="16">
        <v>557.28</v>
      </c>
    </row>
    <row r="589" spans="1:2">
      <c r="A589" s="10" t="s">
        <v>788</v>
      </c>
      <c r="B589" s="16">
        <v>556.30999999999995</v>
      </c>
    </row>
    <row r="590" spans="1:2">
      <c r="A590" s="10" t="s">
        <v>789</v>
      </c>
      <c r="B590" s="16">
        <v>552.35</v>
      </c>
    </row>
    <row r="591" spans="1:2">
      <c r="A591" s="10" t="s">
        <v>790</v>
      </c>
      <c r="B591" s="16">
        <v>546.03</v>
      </c>
    </row>
    <row r="592" spans="1:2">
      <c r="A592" s="10" t="s">
        <v>791</v>
      </c>
      <c r="B592" s="16">
        <v>547.59</v>
      </c>
    </row>
    <row r="593" spans="1:2">
      <c r="A593" s="10" t="s">
        <v>792</v>
      </c>
      <c r="B593" s="16">
        <v>543.94000000000005</v>
      </c>
    </row>
    <row r="594" spans="1:2">
      <c r="A594" s="10" t="s">
        <v>793</v>
      </c>
      <c r="B594" s="16">
        <v>545.02</v>
      </c>
    </row>
    <row r="595" spans="1:2">
      <c r="A595" s="10" t="s">
        <v>794</v>
      </c>
      <c r="B595" s="16">
        <v>547.78</v>
      </c>
    </row>
    <row r="596" spans="1:2">
      <c r="A596" s="10" t="s">
        <v>795</v>
      </c>
      <c r="B596" s="16">
        <v>546.04</v>
      </c>
    </row>
    <row r="597" spans="1:2">
      <c r="A597" s="10" t="s">
        <v>796</v>
      </c>
      <c r="B597" s="16">
        <v>553.12</v>
      </c>
    </row>
    <row r="598" spans="1:2">
      <c r="A598" s="10" t="s">
        <v>797</v>
      </c>
      <c r="B598" s="16">
        <v>547.29</v>
      </c>
    </row>
    <row r="599" spans="1:2">
      <c r="A599" s="10" t="s">
        <v>798</v>
      </c>
      <c r="B599" s="16">
        <v>549.91999999999996</v>
      </c>
    </row>
    <row r="600" spans="1:2">
      <c r="A600" s="10" t="s">
        <v>799</v>
      </c>
      <c r="B600" s="16">
        <v>546.24</v>
      </c>
    </row>
    <row r="601" spans="1:2">
      <c r="A601" s="10" t="s">
        <v>800</v>
      </c>
      <c r="B601" s="16">
        <v>552.30999999999995</v>
      </c>
    </row>
    <row r="602" spans="1:2">
      <c r="A602" s="10" t="s">
        <v>801</v>
      </c>
      <c r="B602" s="16">
        <v>553.61</v>
      </c>
    </row>
    <row r="603" spans="1:2">
      <c r="A603" s="10" t="s">
        <v>802</v>
      </c>
      <c r="B603" s="16">
        <v>555.07000000000005</v>
      </c>
    </row>
    <row r="604" spans="1:2">
      <c r="A604" s="10" t="s">
        <v>803</v>
      </c>
      <c r="B604" s="16">
        <v>551.65</v>
      </c>
    </row>
    <row r="605" spans="1:2">
      <c r="A605" s="10" t="s">
        <v>804</v>
      </c>
      <c r="B605" s="16">
        <v>550.98</v>
      </c>
    </row>
    <row r="606" spans="1:2">
      <c r="A606" s="10" t="s">
        <v>805</v>
      </c>
      <c r="B606" s="16">
        <v>552.03</v>
      </c>
    </row>
    <row r="607" spans="1:2">
      <c r="A607" s="10" t="s">
        <v>806</v>
      </c>
      <c r="B607" s="16">
        <v>551.67999999999995</v>
      </c>
    </row>
    <row r="608" spans="1:2">
      <c r="A608" s="10" t="s">
        <v>807</v>
      </c>
      <c r="B608" s="16">
        <v>541.51</v>
      </c>
    </row>
    <row r="609" spans="1:2">
      <c r="A609" s="10" t="s">
        <v>808</v>
      </c>
      <c r="B609" s="16">
        <v>535.82000000000005</v>
      </c>
    </row>
    <row r="610" spans="1:2">
      <c r="A610" s="10" t="s">
        <v>809</v>
      </c>
      <c r="B610" s="16">
        <v>536.92999999999995</v>
      </c>
    </row>
    <row r="611" spans="1:2">
      <c r="A611" s="10" t="s">
        <v>810</v>
      </c>
      <c r="B611" s="16">
        <v>535.79999999999995</v>
      </c>
    </row>
    <row r="612" spans="1:2">
      <c r="A612" s="10" t="s">
        <v>811</v>
      </c>
      <c r="B612" s="16">
        <v>533.85</v>
      </c>
    </row>
    <row r="613" spans="1:2">
      <c r="A613" s="10" t="s">
        <v>812</v>
      </c>
      <c r="B613" s="16">
        <v>529.28</v>
      </c>
    </row>
    <row r="614" spans="1:2">
      <c r="A614" s="10" t="s">
        <v>813</v>
      </c>
      <c r="B614" s="16">
        <v>529.6</v>
      </c>
    </row>
    <row r="615" spans="1:2">
      <c r="A615" s="10" t="s">
        <v>814</v>
      </c>
      <c r="B615" s="16">
        <v>534.4</v>
      </c>
    </row>
    <row r="616" spans="1:2">
      <c r="A616" s="10" t="s">
        <v>815</v>
      </c>
      <c r="B616" s="16">
        <v>532.67999999999995</v>
      </c>
    </row>
    <row r="617" spans="1:2">
      <c r="A617" s="10" t="s">
        <v>816</v>
      </c>
      <c r="B617" s="16">
        <v>536.70000000000005</v>
      </c>
    </row>
    <row r="618" spans="1:2">
      <c r="A618" s="10" t="s">
        <v>817</v>
      </c>
      <c r="B618" s="16">
        <v>538.15</v>
      </c>
    </row>
    <row r="619" spans="1:2">
      <c r="A619" s="10" t="s">
        <v>818</v>
      </c>
      <c r="B619" s="16">
        <v>535.87</v>
      </c>
    </row>
    <row r="620" spans="1:2">
      <c r="A620" s="10" t="s">
        <v>819</v>
      </c>
      <c r="B620" s="16">
        <v>541.82000000000005</v>
      </c>
    </row>
    <row r="621" spans="1:2">
      <c r="A621" s="10" t="s">
        <v>820</v>
      </c>
      <c r="B621" s="16">
        <v>545.88</v>
      </c>
    </row>
    <row r="622" spans="1:2">
      <c r="A622" s="10" t="s">
        <v>821</v>
      </c>
      <c r="B622" s="16">
        <v>546.67999999999995</v>
      </c>
    </row>
    <row r="623" spans="1:2">
      <c r="A623" s="10" t="s">
        <v>822</v>
      </c>
      <c r="B623" s="16">
        <v>551.14</v>
      </c>
    </row>
    <row r="624" spans="1:2">
      <c r="A624" s="10" t="s">
        <v>823</v>
      </c>
      <c r="B624" s="16">
        <v>549.85</v>
      </c>
    </row>
    <row r="625" spans="1:2">
      <c r="A625" s="10" t="s">
        <v>824</v>
      </c>
      <c r="B625" s="16">
        <v>556.48</v>
      </c>
    </row>
    <row r="626" spans="1:2">
      <c r="A626" s="10" t="s">
        <v>825</v>
      </c>
      <c r="B626" s="16">
        <v>559.03</v>
      </c>
    </row>
    <row r="627" spans="1:2">
      <c r="A627" s="10" t="s">
        <v>826</v>
      </c>
      <c r="B627" s="16">
        <v>559.03</v>
      </c>
    </row>
    <row r="628" spans="1:2">
      <c r="A628" s="10" t="s">
        <v>827</v>
      </c>
      <c r="B628" s="16">
        <v>556.44000000000005</v>
      </c>
    </row>
    <row r="629" spans="1:2">
      <c r="A629" s="10" t="s">
        <v>828</v>
      </c>
      <c r="B629" s="16">
        <v>558.07000000000005</v>
      </c>
    </row>
    <row r="630" spans="1:2">
      <c r="A630" s="10" t="s">
        <v>829</v>
      </c>
      <c r="B630" s="16">
        <v>558.30999999999995</v>
      </c>
    </row>
    <row r="631" spans="1:2">
      <c r="A631" s="10" t="s">
        <v>830</v>
      </c>
      <c r="B631" s="16">
        <v>559.14</v>
      </c>
    </row>
    <row r="632" spans="1:2">
      <c r="A632" s="10" t="s">
        <v>831</v>
      </c>
      <c r="B632" s="16">
        <v>560.92999999999995</v>
      </c>
    </row>
    <row r="633" spans="1:2">
      <c r="A633" s="10" t="s">
        <v>832</v>
      </c>
      <c r="B633" s="16">
        <v>568.42999999999995</v>
      </c>
    </row>
    <row r="634" spans="1:2">
      <c r="A634" s="10" t="s">
        <v>833</v>
      </c>
      <c r="B634" s="16">
        <v>569.99</v>
      </c>
    </row>
    <row r="635" spans="1:2">
      <c r="A635" s="10" t="s">
        <v>834</v>
      </c>
      <c r="B635" s="16">
        <v>568.78</v>
      </c>
    </row>
    <row r="636" spans="1:2">
      <c r="A636" s="10" t="s">
        <v>835</v>
      </c>
      <c r="B636" s="16">
        <v>566.29999999999995</v>
      </c>
    </row>
    <row r="637" spans="1:2">
      <c r="A637" s="10" t="s">
        <v>836</v>
      </c>
      <c r="B637" s="16">
        <v>568.12</v>
      </c>
    </row>
    <row r="638" spans="1:2">
      <c r="A638" s="10" t="s">
        <v>837</v>
      </c>
      <c r="B638" s="16">
        <v>567.49</v>
      </c>
    </row>
    <row r="639" spans="1:2">
      <c r="A639" s="10" t="s">
        <v>838</v>
      </c>
      <c r="B639" s="16">
        <v>566.12</v>
      </c>
    </row>
    <row r="640" spans="1:2">
      <c r="A640" s="10" t="s">
        <v>839</v>
      </c>
      <c r="B640" s="16">
        <v>565.76</v>
      </c>
    </row>
    <row r="641" spans="1:2">
      <c r="A641" s="10" t="s">
        <v>840</v>
      </c>
      <c r="B641" s="16">
        <v>566.4</v>
      </c>
    </row>
    <row r="642" spans="1:2">
      <c r="A642" s="10" t="s">
        <v>841</v>
      </c>
      <c r="B642" s="16">
        <v>567.99</v>
      </c>
    </row>
    <row r="643" spans="1:2">
      <c r="A643" s="10" t="s">
        <v>842</v>
      </c>
      <c r="B643" s="16">
        <v>573.62</v>
      </c>
    </row>
    <row r="644" spans="1:2">
      <c r="A644" s="10" t="s">
        <v>843</v>
      </c>
      <c r="B644" s="16">
        <v>575.41999999999996</v>
      </c>
    </row>
    <row r="645" spans="1:2">
      <c r="A645" s="10" t="s">
        <v>844</v>
      </c>
      <c r="B645" s="16">
        <v>572.5</v>
      </c>
    </row>
    <row r="646" spans="1:2">
      <c r="A646" s="10" t="s">
        <v>845</v>
      </c>
      <c r="B646" s="16">
        <v>565.91999999999996</v>
      </c>
    </row>
    <row r="647" spans="1:2">
      <c r="A647" s="10" t="s">
        <v>846</v>
      </c>
      <c r="B647" s="16">
        <v>572.07000000000005</v>
      </c>
    </row>
    <row r="648" spans="1:2">
      <c r="A648" s="10" t="s">
        <v>847</v>
      </c>
      <c r="B648" s="16">
        <v>563.92999999999995</v>
      </c>
    </row>
    <row r="649" spans="1:2">
      <c r="A649" s="10" t="s">
        <v>848</v>
      </c>
      <c r="B649" s="16">
        <v>568.72</v>
      </c>
    </row>
    <row r="650" spans="1:2">
      <c r="A650" s="10" t="s">
        <v>849</v>
      </c>
      <c r="B650" s="16">
        <v>565.71</v>
      </c>
    </row>
    <row r="651" spans="1:2">
      <c r="A651" s="10" t="s">
        <v>850</v>
      </c>
      <c r="B651" s="16">
        <v>569.52</v>
      </c>
    </row>
    <row r="652" spans="1:2">
      <c r="A652" s="10" t="s">
        <v>851</v>
      </c>
      <c r="B652" s="16">
        <v>563.59</v>
      </c>
    </row>
    <row r="653" spans="1:2">
      <c r="A653" s="10" t="s">
        <v>852</v>
      </c>
      <c r="B653" s="16">
        <v>555.44000000000005</v>
      </c>
    </row>
    <row r="654" spans="1:2">
      <c r="A654" s="10" t="s">
        <v>853</v>
      </c>
      <c r="B654" s="16">
        <v>564.22</v>
      </c>
    </row>
    <row r="655" spans="1:2">
      <c r="A655" s="10" t="s">
        <v>854</v>
      </c>
      <c r="B655" s="16">
        <v>562.45000000000005</v>
      </c>
    </row>
    <row r="656" spans="1:2">
      <c r="A656" s="10" t="s">
        <v>855</v>
      </c>
      <c r="B656" s="16">
        <v>552.49</v>
      </c>
    </row>
    <row r="657" spans="1:2">
      <c r="A657" s="10" t="s">
        <v>856</v>
      </c>
      <c r="B657" s="16">
        <v>554.15</v>
      </c>
    </row>
    <row r="658" spans="1:2">
      <c r="A658" s="10" t="s">
        <v>857</v>
      </c>
      <c r="B658" s="16">
        <v>547.83000000000004</v>
      </c>
    </row>
    <row r="659" spans="1:2">
      <c r="A659" s="10" t="s">
        <v>858</v>
      </c>
      <c r="B659" s="16">
        <v>542.52</v>
      </c>
    </row>
    <row r="660" spans="1:2">
      <c r="A660" s="10" t="s">
        <v>859</v>
      </c>
      <c r="B660" s="16">
        <v>536.58000000000004</v>
      </c>
    </row>
    <row r="661" spans="1:2">
      <c r="A661" s="10" t="s">
        <v>860</v>
      </c>
      <c r="B661" s="16">
        <v>536.91</v>
      </c>
    </row>
    <row r="662" spans="1:2">
      <c r="A662" s="10" t="s">
        <v>861</v>
      </c>
      <c r="B662" s="16">
        <v>523.69000000000005</v>
      </c>
    </row>
    <row r="663" spans="1:2">
      <c r="A663" s="10" t="s">
        <v>862</v>
      </c>
      <c r="B663" s="16">
        <v>520.63</v>
      </c>
    </row>
    <row r="664" spans="1:2">
      <c r="A664" s="10" t="s">
        <v>863</v>
      </c>
      <c r="B664" s="16">
        <v>532.05999999999995</v>
      </c>
    </row>
    <row r="665" spans="1:2">
      <c r="A665" s="10" t="s">
        <v>864</v>
      </c>
      <c r="B665" s="16">
        <v>531.13</v>
      </c>
    </row>
    <row r="666" spans="1:2">
      <c r="A666" s="10" t="s">
        <v>865</v>
      </c>
      <c r="B666" s="16">
        <v>541.99</v>
      </c>
    </row>
    <row r="667" spans="1:2">
      <c r="A667" s="10" t="s">
        <v>866</v>
      </c>
      <c r="B667" s="16">
        <v>543.04</v>
      </c>
    </row>
    <row r="668" spans="1:2">
      <c r="A668" s="10" t="s">
        <v>867</v>
      </c>
      <c r="B668" s="16">
        <v>549.41999999999996</v>
      </c>
    </row>
    <row r="669" spans="1:2">
      <c r="A669" s="10" t="s">
        <v>868</v>
      </c>
      <c r="B669" s="16">
        <v>550.80999999999995</v>
      </c>
    </row>
    <row r="670" spans="1:2">
      <c r="A670" s="10" t="s">
        <v>869</v>
      </c>
      <c r="B670" s="16">
        <v>547.09</v>
      </c>
    </row>
    <row r="671" spans="1:2">
      <c r="A671" s="10" t="s">
        <v>870</v>
      </c>
      <c r="B671" s="16">
        <v>551.97</v>
      </c>
    </row>
    <row r="672" spans="1:2">
      <c r="A672" s="10" t="s">
        <v>871</v>
      </c>
      <c r="B672" s="16">
        <v>550.6</v>
      </c>
    </row>
    <row r="673" spans="1:2">
      <c r="A673" s="10" t="s">
        <v>872</v>
      </c>
      <c r="B673" s="16">
        <v>556.38</v>
      </c>
    </row>
    <row r="674" spans="1:2">
      <c r="A674" s="10" t="s">
        <v>873</v>
      </c>
      <c r="B674" s="16">
        <v>567.9</v>
      </c>
    </row>
    <row r="675" spans="1:2">
      <c r="A675" s="10" t="s">
        <v>874</v>
      </c>
      <c r="B675" s="16">
        <v>566.69000000000005</v>
      </c>
    </row>
    <row r="676" spans="1:2">
      <c r="A676" s="10" t="s">
        <v>875</v>
      </c>
      <c r="B676" s="16">
        <v>560.89</v>
      </c>
    </row>
    <row r="677" spans="1:2">
      <c r="A677" s="10" t="s">
        <v>876</v>
      </c>
      <c r="B677" s="16">
        <v>569.11</v>
      </c>
    </row>
    <row r="678" spans="1:2">
      <c r="A678" s="10" t="s">
        <v>877</v>
      </c>
      <c r="B678" s="16">
        <v>572.55999999999995</v>
      </c>
    </row>
    <row r="679" spans="1:2">
      <c r="A679" s="10" t="s">
        <v>878</v>
      </c>
      <c r="B679" s="16">
        <v>569.79999999999995</v>
      </c>
    </row>
    <row r="680" spans="1:2">
      <c r="A680" s="10" t="s">
        <v>879</v>
      </c>
      <c r="B680" s="16">
        <v>572.05999999999995</v>
      </c>
    </row>
    <row r="681" spans="1:2">
      <c r="A681" s="10" t="s">
        <v>880</v>
      </c>
      <c r="B681" s="16">
        <v>573.42999999999995</v>
      </c>
    </row>
    <row r="682" spans="1:2">
      <c r="A682" s="10" t="s">
        <v>881</v>
      </c>
      <c r="B682" s="16">
        <v>567.98</v>
      </c>
    </row>
    <row r="683" spans="1:2">
      <c r="A683" s="10" t="s">
        <v>882</v>
      </c>
      <c r="B683" s="16">
        <v>570.35</v>
      </c>
    </row>
    <row r="684" spans="1:2">
      <c r="A684" s="10" t="s">
        <v>883</v>
      </c>
      <c r="B684" s="16">
        <v>570.70000000000005</v>
      </c>
    </row>
    <row r="685" spans="1:2">
      <c r="A685" s="10" t="s">
        <v>884</v>
      </c>
      <c r="B685" s="16">
        <v>573.26</v>
      </c>
    </row>
    <row r="686" spans="1:2">
      <c r="A686" s="10" t="s">
        <v>885</v>
      </c>
      <c r="B686" s="16">
        <v>575.75</v>
      </c>
    </row>
    <row r="687" spans="1:2">
      <c r="A687" s="10" t="s">
        <v>886</v>
      </c>
      <c r="B687" s="16">
        <v>574.92999999999995</v>
      </c>
    </row>
    <row r="688" spans="1:2">
      <c r="A688" s="10" t="s">
        <v>887</v>
      </c>
      <c r="B688" s="16">
        <v>574.09</v>
      </c>
    </row>
    <row r="689" spans="1:2">
      <c r="A689" s="10" t="s">
        <v>888</v>
      </c>
      <c r="B689" s="16">
        <v>585.34</v>
      </c>
    </row>
    <row r="690" spans="1:2">
      <c r="A690" s="10" t="s">
        <v>889</v>
      </c>
      <c r="B690" s="16">
        <v>586.45000000000005</v>
      </c>
    </row>
    <row r="691" spans="1:2">
      <c r="A691" s="10" t="s">
        <v>890</v>
      </c>
      <c r="B691" s="16">
        <v>585.70000000000005</v>
      </c>
    </row>
    <row r="692" spans="1:2">
      <c r="A692" s="10" t="s">
        <v>891</v>
      </c>
      <c r="B692" s="16">
        <v>586.28</v>
      </c>
    </row>
    <row r="693" spans="1:2">
      <c r="A693" s="10" t="s">
        <v>892</v>
      </c>
      <c r="B693" s="16">
        <v>589.65</v>
      </c>
    </row>
    <row r="694" spans="1:2">
      <c r="A694" s="10" t="s">
        <v>893</v>
      </c>
      <c r="B694" s="16">
        <v>591.61</v>
      </c>
    </row>
    <row r="695" spans="1:2">
      <c r="A695" s="10" t="s">
        <v>894</v>
      </c>
      <c r="B695" s="16">
        <v>587.12</v>
      </c>
    </row>
    <row r="696" spans="1:2">
      <c r="A696" s="10" t="s">
        <v>895</v>
      </c>
      <c r="B696" s="16">
        <v>590.55999999999995</v>
      </c>
    </row>
    <row r="697" spans="1:2">
      <c r="A697" s="10" t="s">
        <v>896</v>
      </c>
      <c r="B697" s="16">
        <v>593.99</v>
      </c>
    </row>
    <row r="698" spans="1:2">
      <c r="A698" s="10" t="s">
        <v>897</v>
      </c>
      <c r="B698" s="16">
        <v>586.4</v>
      </c>
    </row>
    <row r="699" spans="1:2">
      <c r="A699" s="10" t="s">
        <v>898</v>
      </c>
      <c r="B699" s="16">
        <v>597.54999999999995</v>
      </c>
    </row>
    <row r="700" spans="1:2">
      <c r="A700" s="10" t="s">
        <v>899</v>
      </c>
      <c r="B700" s="16">
        <v>593.21</v>
      </c>
    </row>
    <row r="701" spans="1:2">
      <c r="A701" s="10" t="s">
        <v>900</v>
      </c>
      <c r="B701" s="16">
        <v>582.03</v>
      </c>
    </row>
    <row r="702" spans="1:2">
      <c r="A702" s="10" t="s">
        <v>901</v>
      </c>
      <c r="B702" s="16">
        <v>576.89</v>
      </c>
    </row>
    <row r="703" spans="1:2">
      <c r="A703" s="10" t="s">
        <v>902</v>
      </c>
      <c r="B703" s="16">
        <v>579.78</v>
      </c>
    </row>
    <row r="704" spans="1:2">
      <c r="A704" s="10" t="s">
        <v>903</v>
      </c>
      <c r="B704" s="16">
        <v>565.12</v>
      </c>
    </row>
    <row r="705" spans="1:2">
      <c r="A705" s="10" t="s">
        <v>904</v>
      </c>
      <c r="B705" s="16">
        <v>556.70000000000005</v>
      </c>
    </row>
    <row r="706" spans="1:2">
      <c r="A706" s="10" t="s">
        <v>905</v>
      </c>
      <c r="B706" s="16">
        <v>557.34</v>
      </c>
    </row>
    <row r="707" spans="1:2">
      <c r="A707" s="10" t="s">
        <v>906</v>
      </c>
      <c r="B707" s="16">
        <v>565.14</v>
      </c>
    </row>
    <row r="708" spans="1:2">
      <c r="A708" s="10" t="s">
        <v>907</v>
      </c>
      <c r="B708" s="16">
        <v>584.82000000000005</v>
      </c>
    </row>
    <row r="709" spans="1:2">
      <c r="A709" s="10" t="s">
        <v>908</v>
      </c>
      <c r="B709" s="16">
        <v>584.91999999999996</v>
      </c>
    </row>
    <row r="710" spans="1:2">
      <c r="A710" s="10" t="s">
        <v>909</v>
      </c>
      <c r="B710" s="16">
        <v>588.21</v>
      </c>
    </row>
    <row r="711" spans="1:2">
      <c r="A711" s="10" t="s">
        <v>910</v>
      </c>
      <c r="B711" s="16">
        <v>592.70000000000005</v>
      </c>
    </row>
    <row r="712" spans="1:2">
      <c r="A712" s="10" t="s">
        <v>911</v>
      </c>
      <c r="B712" s="16">
        <v>591.6</v>
      </c>
    </row>
    <row r="713" spans="1:2">
      <c r="A713" s="10" t="s">
        <v>912</v>
      </c>
      <c r="B713" s="16">
        <v>592.36</v>
      </c>
    </row>
    <row r="714" spans="1:2">
      <c r="A714" s="10" t="s">
        <v>913</v>
      </c>
      <c r="B714" s="16">
        <v>587.46</v>
      </c>
    </row>
    <row r="715" spans="1:2">
      <c r="A715" s="10" t="s">
        <v>914</v>
      </c>
      <c r="B715" s="16">
        <v>586.61</v>
      </c>
    </row>
    <row r="716" spans="1:2">
      <c r="A716" s="10" t="s">
        <v>915</v>
      </c>
      <c r="B716" s="16">
        <v>586.88</v>
      </c>
    </row>
    <row r="717" spans="1:2">
      <c r="A717" s="10" t="s">
        <v>916</v>
      </c>
      <c r="B717" s="16">
        <v>574.72</v>
      </c>
    </row>
    <row r="718" spans="1:2">
      <c r="A718" s="10" t="s">
        <v>917</v>
      </c>
      <c r="B718" s="16">
        <v>571.13</v>
      </c>
    </row>
    <row r="719" spans="1:2">
      <c r="A719" s="10" t="s">
        <v>918</v>
      </c>
      <c r="B719" s="16">
        <v>579.35</v>
      </c>
    </row>
    <row r="720" spans="1:2">
      <c r="A720" s="10" t="s">
        <v>919</v>
      </c>
      <c r="B720" s="16">
        <v>595.16</v>
      </c>
    </row>
    <row r="721" spans="1:2">
      <c r="A721" s="10" t="s">
        <v>920</v>
      </c>
      <c r="B721" s="16">
        <v>584.96</v>
      </c>
    </row>
    <row r="722" spans="1:2">
      <c r="A722" s="10" t="s">
        <v>921</v>
      </c>
      <c r="B722" s="16">
        <v>586.77</v>
      </c>
    </row>
    <row r="723" spans="1:2">
      <c r="A723" s="10" t="s">
        <v>922</v>
      </c>
      <c r="B723" s="16">
        <v>591.91</v>
      </c>
    </row>
    <row r="724" spans="1:2">
      <c r="A724" s="10" t="s">
        <v>923</v>
      </c>
      <c r="B724" s="16">
        <v>586.05999999999995</v>
      </c>
    </row>
    <row r="725" spans="1:2">
      <c r="A725" s="10" t="s">
        <v>924</v>
      </c>
      <c r="B725" s="16">
        <v>593.36</v>
      </c>
    </row>
    <row r="726" spans="1:2">
      <c r="A726" s="10" t="s">
        <v>925</v>
      </c>
      <c r="B726" s="16">
        <v>604.15</v>
      </c>
    </row>
    <row r="727" spans="1:2">
      <c r="A727" s="10" t="s">
        <v>926</v>
      </c>
      <c r="B727" s="16">
        <v>601.5</v>
      </c>
    </row>
    <row r="728" spans="1:2">
      <c r="A728" s="10" t="s">
        <v>927</v>
      </c>
      <c r="B728" s="16">
        <v>605.35</v>
      </c>
    </row>
    <row r="729" spans="1:2">
      <c r="A729" s="10" t="s">
        <v>928</v>
      </c>
      <c r="B729" s="16">
        <v>607.39</v>
      </c>
    </row>
    <row r="730" spans="1:2">
      <c r="A730" s="10" t="s">
        <v>929</v>
      </c>
      <c r="B730" s="16">
        <v>622.66999999999996</v>
      </c>
    </row>
    <row r="731" spans="1:2">
      <c r="A731" s="10" t="s">
        <v>930</v>
      </c>
      <c r="B731" s="16">
        <v>631.02</v>
      </c>
    </row>
    <row r="732" spans="1:2">
      <c r="A732" s="10" t="s">
        <v>931</v>
      </c>
      <c r="B732" s="16">
        <v>632.95000000000005</v>
      </c>
    </row>
    <row r="733" spans="1:2">
      <c r="A733" s="10" t="s">
        <v>932</v>
      </c>
      <c r="B733" s="16">
        <v>618.59</v>
      </c>
    </row>
    <row r="734" spans="1:2">
      <c r="A734" s="10" t="s">
        <v>933</v>
      </c>
      <c r="B734" s="16">
        <v>617.15</v>
      </c>
    </row>
    <row r="735" spans="1:2">
      <c r="A735" s="10" t="s">
        <v>934</v>
      </c>
      <c r="B735" s="16">
        <v>622.04999999999995</v>
      </c>
    </row>
    <row r="736" spans="1:2">
      <c r="A736" s="10" t="s">
        <v>935</v>
      </c>
      <c r="B736" s="16">
        <v>615.98</v>
      </c>
    </row>
    <row r="737" spans="1:2">
      <c r="A737" s="10" t="s">
        <v>936</v>
      </c>
      <c r="B737" s="16">
        <v>619.66999999999996</v>
      </c>
    </row>
    <row r="738" spans="1:2">
      <c r="A738" s="10" t="s">
        <v>937</v>
      </c>
      <c r="B738" s="16">
        <v>623.37</v>
      </c>
    </row>
    <row r="739" spans="1:2">
      <c r="A739" s="10" t="s">
        <v>938</v>
      </c>
      <c r="B739" s="16">
        <v>623.53</v>
      </c>
    </row>
    <row r="740" spans="1:2">
      <c r="A740" s="10" t="s">
        <v>939</v>
      </c>
      <c r="B740" s="16">
        <v>626.52</v>
      </c>
    </row>
    <row r="741" spans="1:2">
      <c r="A741" s="10" t="s">
        <v>940</v>
      </c>
      <c r="B741" s="16">
        <v>627.78</v>
      </c>
    </row>
    <row r="742" spans="1:2">
      <c r="A742" s="10" t="s">
        <v>941</v>
      </c>
      <c r="B742" s="16">
        <v>621.66</v>
      </c>
    </row>
    <row r="743" spans="1:2">
      <c r="A743" s="10" t="s">
        <v>942</v>
      </c>
      <c r="B743" s="16">
        <v>629.32000000000005</v>
      </c>
    </row>
    <row r="744" spans="1:2">
      <c r="A744" s="10" t="s">
        <v>943</v>
      </c>
      <c r="B744" s="16">
        <v>629.92999999999995</v>
      </c>
    </row>
    <row r="745" spans="1:2">
      <c r="A745" s="10" t="s">
        <v>944</v>
      </c>
      <c r="B745" s="16">
        <v>635.24</v>
      </c>
    </row>
    <row r="746" spans="1:2">
      <c r="A746" s="10" t="s">
        <v>945</v>
      </c>
      <c r="B746" s="16">
        <v>638.16</v>
      </c>
    </row>
    <row r="747" spans="1:2">
      <c r="A747" s="10" t="s">
        <v>946</v>
      </c>
      <c r="B747" s="16">
        <v>636.11</v>
      </c>
    </row>
    <row r="748" spans="1:2">
      <c r="A748" s="10" t="s">
        <v>947</v>
      </c>
      <c r="B748" s="16">
        <v>637.29</v>
      </c>
    </row>
    <row r="749" spans="1:2">
      <c r="A749" s="10" t="s">
        <v>948</v>
      </c>
      <c r="B749" s="16">
        <v>640.4</v>
      </c>
    </row>
    <row r="750" spans="1:2">
      <c r="A750" s="10" t="s">
        <v>949</v>
      </c>
      <c r="B750" s="16">
        <v>641.74</v>
      </c>
    </row>
    <row r="751" spans="1:2">
      <c r="A751" s="10" t="s">
        <v>950</v>
      </c>
      <c r="B751" s="16">
        <v>644.72</v>
      </c>
    </row>
    <row r="752" spans="1:2">
      <c r="A752" s="10" t="s">
        <v>951</v>
      </c>
      <c r="B752" s="16">
        <v>647.77</v>
      </c>
    </row>
    <row r="753" spans="1:2">
      <c r="A753" s="10" t="s">
        <v>952</v>
      </c>
      <c r="B753" s="16">
        <v>651.66999999999996</v>
      </c>
    </row>
    <row r="754" spans="1:2">
      <c r="A754" s="10" t="s">
        <v>953</v>
      </c>
      <c r="B754" s="16">
        <v>649.05999999999995</v>
      </c>
    </row>
    <row r="755" spans="1:2">
      <c r="A755" s="10" t="s">
        <v>954</v>
      </c>
      <c r="B755" s="16">
        <v>657.14</v>
      </c>
    </row>
    <row r="756" spans="1:2">
      <c r="A756" s="10" t="s">
        <v>955</v>
      </c>
      <c r="B756" s="16">
        <v>656.83</v>
      </c>
    </row>
    <row r="757" spans="1:2">
      <c r="A757" s="10" t="s">
        <v>956</v>
      </c>
      <c r="B757" s="16">
        <v>660.08</v>
      </c>
    </row>
    <row r="758" spans="1:2">
      <c r="A758" s="10" t="s">
        <v>957</v>
      </c>
      <c r="B758" s="16">
        <v>655.16999999999996</v>
      </c>
    </row>
    <row r="759" spans="1:2">
      <c r="A759" s="10" t="s">
        <v>958</v>
      </c>
      <c r="B759" s="16">
        <v>660.41</v>
      </c>
    </row>
    <row r="760" spans="1:2">
      <c r="A760" s="10" t="s">
        <v>959</v>
      </c>
      <c r="B760" s="16">
        <v>664.16</v>
      </c>
    </row>
    <row r="761" spans="1:2">
      <c r="A761" s="10" t="s">
        <v>960</v>
      </c>
      <c r="B761" s="16">
        <v>665.41</v>
      </c>
    </row>
    <row r="762" spans="1:2">
      <c r="A762" s="10" t="s">
        <v>961</v>
      </c>
      <c r="B762" s="16">
        <v>667.01</v>
      </c>
    </row>
    <row r="763" spans="1:2">
      <c r="A763" s="10" t="s">
        <v>962</v>
      </c>
      <c r="B763" s="16">
        <v>661.82</v>
      </c>
    </row>
    <row r="764" spans="1:2">
      <c r="A764" s="10" t="s">
        <v>963</v>
      </c>
      <c r="B764" s="16">
        <v>672.15</v>
      </c>
    </row>
    <row r="765" spans="1:2">
      <c r="A765" s="10" t="s">
        <v>964</v>
      </c>
      <c r="B765" s="16">
        <v>674.36</v>
      </c>
    </row>
    <row r="766" spans="1:2">
      <c r="A766" s="10" t="s">
        <v>965</v>
      </c>
      <c r="B766" s="16">
        <v>677.27</v>
      </c>
    </row>
    <row r="767" spans="1:2">
      <c r="A767" s="10" t="s">
        <v>966</v>
      </c>
      <c r="B767" s="16">
        <v>684.43</v>
      </c>
    </row>
    <row r="768" spans="1:2">
      <c r="A768" s="10" t="s">
        <v>967</v>
      </c>
      <c r="B768" s="16">
        <v>679.18</v>
      </c>
    </row>
    <row r="769" spans="1:2">
      <c r="A769" s="10" t="s">
        <v>968</v>
      </c>
      <c r="B769" s="16">
        <v>680.48</v>
      </c>
    </row>
    <row r="770" spans="1:2">
      <c r="A770" s="10" t="s">
        <v>969</v>
      </c>
      <c r="B770" s="16">
        <v>679.86</v>
      </c>
    </row>
    <row r="771" spans="1:2">
      <c r="A771" s="10" t="s">
        <v>970</v>
      </c>
      <c r="B771" s="16">
        <v>680.64</v>
      </c>
    </row>
    <row r="772" spans="1:2">
      <c r="A772" s="10" t="s">
        <v>971</v>
      </c>
      <c r="B772" s="16">
        <v>672.87</v>
      </c>
    </row>
    <row r="773" spans="1:2">
      <c r="A773" s="10" t="s">
        <v>972</v>
      </c>
      <c r="B773" s="16">
        <v>673.59</v>
      </c>
    </row>
    <row r="774" spans="1:2">
      <c r="A774" s="10" t="s">
        <v>973</v>
      </c>
      <c r="B774" s="16">
        <v>660.07</v>
      </c>
    </row>
    <row r="775" spans="1:2">
      <c r="A775" s="10" t="s">
        <v>974</v>
      </c>
      <c r="B775" s="16">
        <v>659.93</v>
      </c>
    </row>
    <row r="776" spans="1:2">
      <c r="A776" s="10" t="s">
        <v>975</v>
      </c>
      <c r="B776" s="16">
        <v>662.32</v>
      </c>
    </row>
    <row r="777" spans="1:2">
      <c r="A777" s="10" t="s">
        <v>976</v>
      </c>
      <c r="B777" s="16">
        <v>672.92</v>
      </c>
    </row>
    <row r="778" spans="1:2">
      <c r="A778" s="10" t="s">
        <v>977</v>
      </c>
      <c r="B778" s="16">
        <v>669.86</v>
      </c>
    </row>
    <row r="779" spans="1:2">
      <c r="A779" s="10" t="s">
        <v>978</v>
      </c>
      <c r="B779" s="16">
        <v>668.55</v>
      </c>
    </row>
    <row r="780" spans="1:2">
      <c r="A780" s="10" t="s">
        <v>979</v>
      </c>
      <c r="B780" s="16">
        <v>666.02</v>
      </c>
    </row>
    <row r="781" spans="1:2">
      <c r="A781" s="10" t="s">
        <v>980</v>
      </c>
      <c r="B781" s="16">
        <v>672.06</v>
      </c>
    </row>
    <row r="782" spans="1:2">
      <c r="A782" s="10" t="s">
        <v>981</v>
      </c>
      <c r="B782" s="16">
        <v>673.36</v>
      </c>
    </row>
    <row r="783" spans="1:2">
      <c r="A783" s="10" t="s">
        <v>982</v>
      </c>
      <c r="B783" s="16">
        <v>682.8</v>
      </c>
    </row>
    <row r="784" spans="1:2">
      <c r="A784" s="10" t="s">
        <v>983</v>
      </c>
      <c r="B784" s="16">
        <v>691.14</v>
      </c>
    </row>
    <row r="785" spans="1:2">
      <c r="A785" s="10" t="s">
        <v>984</v>
      </c>
      <c r="B785" s="16">
        <v>690.93</v>
      </c>
    </row>
    <row r="786" spans="1:2">
      <c r="A786" s="10" t="s">
        <v>985</v>
      </c>
      <c r="B786" s="16">
        <v>683.28</v>
      </c>
    </row>
    <row r="787" spans="1:2">
      <c r="A787" s="10" t="s">
        <v>986</v>
      </c>
      <c r="B787" s="16">
        <v>689.53</v>
      </c>
    </row>
    <row r="788" spans="1:2">
      <c r="A788" s="10" t="s">
        <v>987</v>
      </c>
      <c r="B788" s="16">
        <v>681.1</v>
      </c>
    </row>
    <row r="789" spans="1:2">
      <c r="A789" s="10" t="s">
        <v>988</v>
      </c>
      <c r="B789" s="16">
        <v>667.83</v>
      </c>
    </row>
    <row r="790" spans="1:2">
      <c r="A790" s="10" t="s">
        <v>989</v>
      </c>
      <c r="B790" s="16">
        <v>675.69</v>
      </c>
    </row>
    <row r="791" spans="1:2">
      <c r="A791" s="10" t="s">
        <v>990</v>
      </c>
      <c r="B791" s="16">
        <v>676.2</v>
      </c>
    </row>
    <row r="792" spans="1:2">
      <c r="A792" s="10" t="s">
        <v>991</v>
      </c>
      <c r="B792" s="16">
        <v>679.47</v>
      </c>
    </row>
    <row r="793" spans="1:2">
      <c r="A793" s="10" t="s">
        <v>992</v>
      </c>
      <c r="B793" s="16">
        <v>674.88</v>
      </c>
    </row>
    <row r="794" spans="1:2">
      <c r="A794" s="10" t="s">
        <v>993</v>
      </c>
      <c r="B794" s="16">
        <v>675.97</v>
      </c>
    </row>
    <row r="795" spans="1:2">
      <c r="A795" s="10" t="s">
        <v>994</v>
      </c>
      <c r="B795" s="16">
        <v>679.29</v>
      </c>
    </row>
    <row r="796" spans="1:2">
      <c r="A796" s="10" t="s">
        <v>995</v>
      </c>
      <c r="B796" s="16">
        <v>671.89</v>
      </c>
    </row>
    <row r="797" spans="1:2">
      <c r="A797" s="10" t="s">
        <v>996</v>
      </c>
      <c r="B797" s="16">
        <v>656.8</v>
      </c>
    </row>
    <row r="798" spans="1:2">
      <c r="A798" s="10" t="s">
        <v>997</v>
      </c>
      <c r="B798" s="16">
        <v>650.92999999999995</v>
      </c>
    </row>
    <row r="799" spans="1:2">
      <c r="A799" s="10" t="s">
        <v>998</v>
      </c>
      <c r="B799" s="16">
        <v>654.15</v>
      </c>
    </row>
    <row r="800" spans="1:2">
      <c r="A800" s="10" t="s">
        <v>999</v>
      </c>
      <c r="B800" s="16">
        <v>659.51</v>
      </c>
    </row>
    <row r="801" spans="1:2">
      <c r="A801" s="10" t="s">
        <v>1000</v>
      </c>
      <c r="B801" s="16">
        <v>647.15</v>
      </c>
    </row>
    <row r="802" spans="1:2">
      <c r="A802" s="10" t="s">
        <v>1001</v>
      </c>
      <c r="B802" s="16">
        <v>640.5</v>
      </c>
    </row>
    <row r="803" spans="1:2">
      <c r="A803" s="10" t="s">
        <v>1002</v>
      </c>
      <c r="B803" s="16">
        <v>645.94000000000005</v>
      </c>
    </row>
    <row r="804" spans="1:2">
      <c r="A804" s="10" t="s">
        <v>1003</v>
      </c>
      <c r="B804" s="16">
        <v>660.28</v>
      </c>
    </row>
    <row r="805" spans="1:2">
      <c r="A805" s="10" t="s">
        <v>1004</v>
      </c>
      <c r="B805" s="16">
        <v>659.09</v>
      </c>
    </row>
    <row r="806" spans="1:2">
      <c r="A806" s="10" t="s">
        <v>1005</v>
      </c>
      <c r="B806" s="16">
        <v>650.54999999999995</v>
      </c>
    </row>
    <row r="807" spans="1:2">
      <c r="A807" s="10" t="s">
        <v>1006</v>
      </c>
      <c r="B807" s="16">
        <v>646.04999999999995</v>
      </c>
    </row>
    <row r="808" spans="1:2">
      <c r="A808" s="10" t="s">
        <v>1007</v>
      </c>
      <c r="B808" s="16">
        <v>653.62</v>
      </c>
    </row>
    <row r="809" spans="1:2">
      <c r="A809" s="10" t="s">
        <v>1008</v>
      </c>
      <c r="B809" s="16">
        <v>649.62</v>
      </c>
    </row>
    <row r="810" spans="1:2">
      <c r="A810" s="10" t="s">
        <v>1009</v>
      </c>
      <c r="B810" s="16">
        <v>655.20000000000005</v>
      </c>
    </row>
    <row r="811" spans="1:2">
      <c r="A811" s="10" t="s">
        <v>1010</v>
      </c>
      <c r="B811" s="16">
        <v>670.42</v>
      </c>
    </row>
    <row r="812" spans="1:2">
      <c r="A812" s="10" t="s">
        <v>1011</v>
      </c>
      <c r="B812" s="16">
        <v>671.91</v>
      </c>
    </row>
    <row r="813" spans="1:2">
      <c r="A813" s="10" t="s">
        <v>1012</v>
      </c>
      <c r="B813" s="16">
        <v>672.42</v>
      </c>
    </row>
    <row r="814" spans="1:2">
      <c r="A814" s="10" t="s">
        <v>1013</v>
      </c>
      <c r="B814" s="16">
        <v>674.36</v>
      </c>
    </row>
    <row r="815" spans="1:2">
      <c r="A815" s="10" t="s">
        <v>1014</v>
      </c>
      <c r="B815" s="16">
        <v>672.23</v>
      </c>
    </row>
    <row r="816" spans="1:2">
      <c r="A816" s="10" t="s">
        <v>1015</v>
      </c>
      <c r="B816" s="16">
        <v>669.81</v>
      </c>
    </row>
    <row r="817" spans="1:2">
      <c r="A817" s="10" t="s">
        <v>1016</v>
      </c>
      <c r="B817" s="16">
        <v>679.83</v>
      </c>
    </row>
    <row r="818" spans="1:2">
      <c r="A818" s="10" t="s">
        <v>1017</v>
      </c>
      <c r="B818" s="16">
        <v>675.96</v>
      </c>
    </row>
    <row r="819" spans="1:2">
      <c r="A819" s="10" t="s">
        <v>1018</v>
      </c>
      <c r="B819" s="16">
        <v>665.07</v>
      </c>
    </row>
    <row r="820" spans="1:2">
      <c r="A820" s="10" t="s">
        <v>1019</v>
      </c>
      <c r="B820" s="16">
        <v>668.11</v>
      </c>
    </row>
    <row r="821" spans="1:2">
      <c r="A821" s="10" t="s">
        <v>1020</v>
      </c>
      <c r="B821" s="16">
        <v>657.57</v>
      </c>
    </row>
    <row r="822" spans="1:2">
      <c r="A822" s="10" t="s">
        <v>1021</v>
      </c>
      <c r="B822" s="16">
        <v>656.06</v>
      </c>
    </row>
    <row r="823" spans="1:2">
      <c r="A823" s="10" t="s">
        <v>1022</v>
      </c>
      <c r="B823" s="16">
        <v>650.36</v>
      </c>
    </row>
    <row r="824" spans="1:2">
      <c r="A824" s="10" t="s">
        <v>1023</v>
      </c>
      <c r="B824" s="16">
        <v>650.51</v>
      </c>
    </row>
    <row r="825" spans="1:2">
      <c r="A825" s="10" t="s">
        <v>1024</v>
      </c>
      <c r="B825" s="16">
        <v>641.57000000000005</v>
      </c>
    </row>
    <row r="826" spans="1:2">
      <c r="A826" s="10" t="s">
        <v>1025</v>
      </c>
      <c r="B826" s="16">
        <v>639.92999999999995</v>
      </c>
    </row>
    <row r="827" spans="1:2">
      <c r="A827" s="10" t="s">
        <v>1026</v>
      </c>
      <c r="B827" s="16">
        <v>648.13</v>
      </c>
    </row>
    <row r="828" spans="1:2">
      <c r="A828" s="10" t="s">
        <v>1027</v>
      </c>
      <c r="B828" s="16">
        <v>653.20000000000005</v>
      </c>
    </row>
    <row r="829" spans="1:2">
      <c r="A829" s="10" t="s">
        <v>1028</v>
      </c>
      <c r="B829" s="16">
        <v>645.12</v>
      </c>
    </row>
    <row r="830" spans="1:2">
      <c r="A830" s="10" t="s">
        <v>1029</v>
      </c>
      <c r="B830" s="16">
        <v>637.99</v>
      </c>
    </row>
    <row r="831" spans="1:2">
      <c r="A831" s="10" t="s">
        <v>1030</v>
      </c>
      <c r="B831" s="16">
        <v>642.29</v>
      </c>
    </row>
    <row r="832" spans="1:2">
      <c r="A832" s="10" t="s">
        <v>1031</v>
      </c>
      <c r="B832" s="16">
        <v>640.35</v>
      </c>
    </row>
    <row r="833" spans="1:2">
      <c r="A833" s="10" t="s">
        <v>1032</v>
      </c>
      <c r="B833" s="16">
        <v>640.17999999999995</v>
      </c>
    </row>
    <row r="834" spans="1:2">
      <c r="A834" s="10" t="s">
        <v>1033</v>
      </c>
      <c r="B834" s="16">
        <v>640.70000000000005</v>
      </c>
    </row>
    <row r="835" spans="1:2">
      <c r="A835" s="10" t="s">
        <v>1034</v>
      </c>
      <c r="B835" s="16">
        <v>652.03</v>
      </c>
    </row>
    <row r="836" spans="1:2">
      <c r="A836" s="10" t="s">
        <v>1035</v>
      </c>
      <c r="B836" s="16">
        <v>661.59</v>
      </c>
    </row>
    <row r="837" spans="1:2">
      <c r="A837" s="10" t="s">
        <v>1036</v>
      </c>
      <c r="B837" s="16">
        <v>657.39</v>
      </c>
    </row>
    <row r="838" spans="1:2">
      <c r="A838" s="10" t="s">
        <v>1037</v>
      </c>
      <c r="B838" s="16">
        <v>656.19</v>
      </c>
    </row>
    <row r="839" spans="1:2">
      <c r="A839" s="10" t="s">
        <v>1038</v>
      </c>
      <c r="B839" s="16">
        <v>658.67</v>
      </c>
    </row>
    <row r="840" spans="1:2">
      <c r="A840" s="10" t="s">
        <v>1039</v>
      </c>
      <c r="B840" s="16">
        <v>638.66</v>
      </c>
    </row>
    <row r="841" spans="1:2">
      <c r="A841" s="10" t="s">
        <v>1040</v>
      </c>
      <c r="B841" s="16">
        <v>635.88</v>
      </c>
    </row>
    <row r="842" spans="1:2">
      <c r="A842" s="10" t="s">
        <v>1041</v>
      </c>
      <c r="B842" s="16">
        <v>646.13</v>
      </c>
    </row>
    <row r="843" spans="1:2">
      <c r="A843" s="10" t="s">
        <v>1042</v>
      </c>
      <c r="B843" s="16">
        <v>642.46</v>
      </c>
    </row>
    <row r="844" spans="1:2">
      <c r="A844" s="10" t="s">
        <v>1043</v>
      </c>
      <c r="B844" s="16">
        <v>640.79</v>
      </c>
    </row>
    <row r="845" spans="1:2">
      <c r="A845" s="10" t="s">
        <v>1044</v>
      </c>
      <c r="B845" s="16">
        <v>633.95000000000005</v>
      </c>
    </row>
    <row r="846" spans="1:2">
      <c r="A846" s="10" t="s">
        <v>1045</v>
      </c>
      <c r="B846" s="16">
        <v>633.78</v>
      </c>
    </row>
    <row r="847" spans="1:2">
      <c r="A847" s="10" t="s">
        <v>1046</v>
      </c>
      <c r="B847" s="16">
        <v>626.80999999999995</v>
      </c>
    </row>
    <row r="848" spans="1:2">
      <c r="A848" s="10" t="s">
        <v>1047</v>
      </c>
      <c r="B848" s="16">
        <v>635.42999999999995</v>
      </c>
    </row>
    <row r="849" spans="1:2">
      <c r="A849" s="10" t="s">
        <v>1048</v>
      </c>
      <c r="B849" s="16">
        <v>644.77</v>
      </c>
    </row>
    <row r="850" spans="1:2">
      <c r="A850" s="10" t="s">
        <v>1049</v>
      </c>
      <c r="B850" s="16">
        <v>659.03</v>
      </c>
    </row>
    <row r="851" spans="1:2">
      <c r="A851" s="10" t="s">
        <v>1050</v>
      </c>
      <c r="B851" s="16">
        <v>662.42</v>
      </c>
    </row>
    <row r="852" spans="1:2">
      <c r="A852" s="10" t="s">
        <v>1051</v>
      </c>
      <c r="B852" s="16">
        <v>665.29</v>
      </c>
    </row>
    <row r="853" spans="1:2">
      <c r="A853" s="10" t="s">
        <v>1052</v>
      </c>
      <c r="B853" s="16">
        <v>674.71</v>
      </c>
    </row>
    <row r="854" spans="1:2">
      <c r="A854" s="10" t="s">
        <v>1053</v>
      </c>
      <c r="B854" s="16">
        <v>677.25</v>
      </c>
    </row>
    <row r="855" spans="1:2">
      <c r="A855" s="10" t="s">
        <v>1054</v>
      </c>
      <c r="B855" s="103">
        <v>679</v>
      </c>
    </row>
    <row r="856" spans="1:2">
      <c r="A856" s="10" t="s">
        <v>1055</v>
      </c>
      <c r="B856" s="16">
        <v>671.1</v>
      </c>
    </row>
    <row r="857" spans="1:2">
      <c r="A857" s="10" t="s">
        <v>1056</v>
      </c>
      <c r="B857" s="16">
        <v>669.08</v>
      </c>
    </row>
    <row r="858" spans="1:2">
      <c r="A858" s="10" t="s">
        <v>1057</v>
      </c>
      <c r="B858" s="16">
        <v>664</v>
      </c>
    </row>
    <row r="859" spans="1:2">
      <c r="A859" s="10" t="s">
        <v>1058</v>
      </c>
      <c r="B859" s="16">
        <v>656.6</v>
      </c>
    </row>
    <row r="860" spans="1:2">
      <c r="A860" s="10" t="s">
        <v>1059</v>
      </c>
      <c r="B860" s="16">
        <v>643.15</v>
      </c>
    </row>
    <row r="861" spans="1:2">
      <c r="A861" s="10" t="s">
        <v>1060</v>
      </c>
      <c r="B861" s="16">
        <v>652.38</v>
      </c>
    </row>
    <row r="862" spans="1:2">
      <c r="A862" s="10" t="s">
        <v>1061</v>
      </c>
      <c r="B862" s="16">
        <v>656.15</v>
      </c>
    </row>
    <row r="863" spans="1:2">
      <c r="A863" s="10" t="s">
        <v>1062</v>
      </c>
      <c r="B863" s="16">
        <v>659.45</v>
      </c>
    </row>
    <row r="864" spans="1:2">
      <c r="A864" s="10" t="s">
        <v>1063</v>
      </c>
      <c r="B864" s="16">
        <v>655.9</v>
      </c>
    </row>
    <row r="865" spans="1:2">
      <c r="A865" s="10" t="s">
        <v>1064</v>
      </c>
      <c r="B865" s="16">
        <v>660.14</v>
      </c>
    </row>
    <row r="866" spans="1:2">
      <c r="A866" s="10" t="s">
        <v>1065</v>
      </c>
      <c r="B866" s="16">
        <v>658.26</v>
      </c>
    </row>
    <row r="867" spans="1:2">
      <c r="A867" s="10" t="s">
        <v>1066</v>
      </c>
      <c r="B867" s="16">
        <v>666.9</v>
      </c>
    </row>
    <row r="868" spans="1:2">
      <c r="A868" s="10" t="s">
        <v>1067</v>
      </c>
      <c r="B868" s="16">
        <v>661.43</v>
      </c>
    </row>
    <row r="869" spans="1:2">
      <c r="A869" s="10" t="s">
        <v>1068</v>
      </c>
      <c r="B869" s="16">
        <v>656.85</v>
      </c>
    </row>
    <row r="870" spans="1:2">
      <c r="A870" s="10" t="s">
        <v>1069</v>
      </c>
      <c r="B870" s="16">
        <v>662.74</v>
      </c>
    </row>
    <row r="871" spans="1:2">
      <c r="A871" s="10" t="s">
        <v>1070</v>
      </c>
      <c r="B871" s="16">
        <v>649.51</v>
      </c>
    </row>
    <row r="872" spans="1:2">
      <c r="A872" s="10" t="s">
        <v>1071</v>
      </c>
      <c r="B872" s="16">
        <v>634.86</v>
      </c>
    </row>
    <row r="873" spans="1:2">
      <c r="A873" s="10" t="s">
        <v>1072</v>
      </c>
      <c r="B873" s="16">
        <v>639.41</v>
      </c>
    </row>
    <row r="874" spans="1:2">
      <c r="A874" s="10" t="s">
        <v>1073</v>
      </c>
      <c r="B874" s="16">
        <v>639.46</v>
      </c>
    </row>
    <row r="875" spans="1:2">
      <c r="A875" s="10" t="s">
        <v>1074</v>
      </c>
      <c r="B875" s="16">
        <v>642.36</v>
      </c>
    </row>
    <row r="876" spans="1:2">
      <c r="A876" s="10" t="s">
        <v>1075</v>
      </c>
      <c r="B876" s="16">
        <v>642.96</v>
      </c>
    </row>
    <row r="877" spans="1:2">
      <c r="A877" s="10" t="s">
        <v>1076</v>
      </c>
      <c r="B877" s="16">
        <v>633.55999999999995</v>
      </c>
    </row>
    <row r="878" spans="1:2">
      <c r="A878" s="10" t="s">
        <v>1077</v>
      </c>
      <c r="B878" s="16">
        <v>615.52</v>
      </c>
    </row>
    <row r="879" spans="1:2">
      <c r="A879" s="10" t="s">
        <v>1078</v>
      </c>
      <c r="B879" s="16">
        <v>592.12</v>
      </c>
    </row>
    <row r="880" spans="1:2">
      <c r="A880" s="10" t="s">
        <v>1079</v>
      </c>
      <c r="B880" s="16">
        <v>559.13</v>
      </c>
    </row>
    <row r="881" spans="1:2">
      <c r="A881" s="10" t="s">
        <v>1080</v>
      </c>
      <c r="B881" s="16">
        <v>570.65</v>
      </c>
    </row>
    <row r="882" spans="1:2">
      <c r="A882" s="10" t="s">
        <v>1081</v>
      </c>
      <c r="B882" s="16">
        <v>580.49</v>
      </c>
    </row>
    <row r="883" spans="1:2">
      <c r="A883" s="10" t="s">
        <v>1082</v>
      </c>
      <c r="B883" s="16">
        <v>601.41999999999996</v>
      </c>
    </row>
    <row r="884" spans="1:2">
      <c r="A884" s="10" t="s">
        <v>1083</v>
      </c>
      <c r="B884" s="16">
        <v>600.98</v>
      </c>
    </row>
    <row r="885" spans="1:2">
      <c r="A885" s="10" t="s">
        <v>1084</v>
      </c>
      <c r="B885" s="16">
        <v>597.48</v>
      </c>
    </row>
    <row r="886" spans="1:2">
      <c r="A886" s="10" t="s">
        <v>1085</v>
      </c>
      <c r="B886" s="16">
        <v>578.82000000000005</v>
      </c>
    </row>
    <row r="887" spans="1:2">
      <c r="A887" s="10" t="s">
        <v>1086</v>
      </c>
      <c r="B887" s="16">
        <v>587.82000000000005</v>
      </c>
    </row>
    <row r="888" spans="1:2">
      <c r="A888" s="10" t="s">
        <v>1087</v>
      </c>
      <c r="B888" s="16">
        <v>597.72</v>
      </c>
    </row>
    <row r="889" spans="1:2">
      <c r="A889" s="10" t="s">
        <v>1088</v>
      </c>
      <c r="B889" s="16">
        <v>584.46</v>
      </c>
    </row>
    <row r="890" spans="1:2">
      <c r="A890" s="10" t="s">
        <v>1089</v>
      </c>
      <c r="B890" s="16">
        <v>584.51</v>
      </c>
    </row>
    <row r="891" spans="1:2">
      <c r="A891" s="10" t="s">
        <v>1090</v>
      </c>
      <c r="B891" s="16">
        <v>594.88</v>
      </c>
    </row>
    <row r="892" spans="1:2">
      <c r="A892" s="10" t="s">
        <v>1091</v>
      </c>
      <c r="B892" s="16">
        <v>593.1</v>
      </c>
    </row>
    <row r="893" spans="1:2">
      <c r="A893" s="10" t="s">
        <v>1092</v>
      </c>
      <c r="B893" s="16">
        <v>590.4</v>
      </c>
    </row>
    <row r="894" spans="1:2">
      <c r="A894" s="10" t="s">
        <v>1093</v>
      </c>
      <c r="B894" s="16">
        <v>587.33000000000004</v>
      </c>
    </row>
    <row r="895" spans="1:2">
      <c r="A895" s="10" t="s">
        <v>1094</v>
      </c>
      <c r="B895" s="16">
        <v>584.73</v>
      </c>
    </row>
    <row r="896" spans="1:2">
      <c r="A896" s="10" t="s">
        <v>1095</v>
      </c>
      <c r="B896" s="16">
        <v>592.5</v>
      </c>
    </row>
    <row r="897" spans="1:2">
      <c r="A897" s="10" t="s">
        <v>1096</v>
      </c>
      <c r="B897" s="16">
        <v>598.08000000000004</v>
      </c>
    </row>
    <row r="898" spans="1:2">
      <c r="A898" s="10" t="s">
        <v>1097</v>
      </c>
      <c r="B898" s="16">
        <v>595.36</v>
      </c>
    </row>
    <row r="899" spans="1:2">
      <c r="A899" s="10" t="s">
        <v>1098</v>
      </c>
      <c r="B899" s="16">
        <v>580.94000000000005</v>
      </c>
    </row>
    <row r="900" spans="1:2">
      <c r="A900" s="10" t="s">
        <v>1099</v>
      </c>
      <c r="B900" s="16">
        <v>589.83000000000004</v>
      </c>
    </row>
    <row r="901" spans="1:2">
      <c r="A901" s="10" t="s">
        <v>1100</v>
      </c>
      <c r="B901" s="16">
        <v>578.91999999999996</v>
      </c>
    </row>
    <row r="902" spans="1:2">
      <c r="A902" s="10" t="s">
        <v>1101</v>
      </c>
      <c r="B902" s="16">
        <v>578.69000000000005</v>
      </c>
    </row>
    <row r="903" spans="1:2">
      <c r="A903" s="10" t="s">
        <v>1102</v>
      </c>
      <c r="B903" s="16">
        <v>569.01</v>
      </c>
    </row>
    <row r="904" spans="1:2">
      <c r="A904" s="10" t="s">
        <v>1103</v>
      </c>
      <c r="B904" s="16">
        <v>580.67999999999995</v>
      </c>
    </row>
    <row r="905" spans="1:2">
      <c r="A905" s="10" t="s">
        <v>1104</v>
      </c>
      <c r="B905" s="16">
        <v>566.36</v>
      </c>
    </row>
    <row r="906" spans="1:2">
      <c r="A906" s="10" t="s">
        <v>1105</v>
      </c>
      <c r="B906" s="16">
        <v>565.51</v>
      </c>
    </row>
    <row r="907" spans="1:2">
      <c r="A907" s="10" t="s">
        <v>1106</v>
      </c>
      <c r="B907" s="16">
        <v>578.64</v>
      </c>
    </row>
    <row r="908" spans="1:2">
      <c r="A908" s="10" t="s">
        <v>1107</v>
      </c>
      <c r="B908" s="16">
        <v>575.16</v>
      </c>
    </row>
    <row r="909" spans="1:2">
      <c r="A909" s="10" t="s">
        <v>1108</v>
      </c>
      <c r="B909" s="16">
        <v>578.4</v>
      </c>
    </row>
    <row r="910" spans="1:2">
      <c r="A910" s="10" t="s">
        <v>1109</v>
      </c>
      <c r="B910" s="16">
        <v>593.34</v>
      </c>
    </row>
    <row r="911" spans="1:2">
      <c r="A911" s="10" t="s">
        <v>1110</v>
      </c>
      <c r="B911" s="16">
        <v>592.59</v>
      </c>
    </row>
    <row r="912" spans="1:2">
      <c r="A912" s="10" t="s">
        <v>1111</v>
      </c>
      <c r="B912" s="16">
        <v>595.54999999999995</v>
      </c>
    </row>
    <row r="913" spans="1:2">
      <c r="A913" s="10" t="s">
        <v>1112</v>
      </c>
      <c r="B913" s="16">
        <v>596.38</v>
      </c>
    </row>
    <row r="914" spans="1:2">
      <c r="A914" s="10" t="s">
        <v>1113</v>
      </c>
      <c r="B914" s="16">
        <v>596.46</v>
      </c>
    </row>
    <row r="915" spans="1:2">
      <c r="A915" s="10" t="s">
        <v>1114</v>
      </c>
      <c r="B915" s="16">
        <v>595.89</v>
      </c>
    </row>
    <row r="916" spans="1:2">
      <c r="A916" s="10" t="s">
        <v>1115</v>
      </c>
      <c r="B916" s="16">
        <v>592.21</v>
      </c>
    </row>
    <row r="917" spans="1:2">
      <c r="A917" s="10" t="s">
        <v>1116</v>
      </c>
      <c r="B917" s="16">
        <v>586.22</v>
      </c>
    </row>
    <row r="918" spans="1:2">
      <c r="A918" s="10" t="s">
        <v>1117</v>
      </c>
      <c r="B918" s="16">
        <v>597.4</v>
      </c>
    </row>
    <row r="919" spans="1:2">
      <c r="A919" s="10" t="s">
        <v>1118</v>
      </c>
      <c r="B919" s="16">
        <v>600.95000000000005</v>
      </c>
    </row>
    <row r="920" spans="1:2">
      <c r="A920" s="10" t="s">
        <v>1119</v>
      </c>
      <c r="B920" s="16">
        <v>604.07000000000005</v>
      </c>
    </row>
    <row r="921" spans="1:2">
      <c r="A921" s="10" t="s">
        <v>1120</v>
      </c>
      <c r="B921" s="16">
        <v>601.34</v>
      </c>
    </row>
    <row r="922" spans="1:2">
      <c r="A922" s="10" t="s">
        <v>1121</v>
      </c>
      <c r="B922" s="16">
        <v>600.71</v>
      </c>
    </row>
    <row r="923" spans="1:2">
      <c r="A923" s="10" t="s">
        <v>1122</v>
      </c>
      <c r="B923" s="16">
        <v>618.75</v>
      </c>
    </row>
    <row r="924" spans="1:2">
      <c r="A924" s="10" t="s">
        <v>1123</v>
      </c>
      <c r="B924" s="16">
        <v>634.45000000000005</v>
      </c>
    </row>
    <row r="925" spans="1:2">
      <c r="A925" s="10" t="s">
        <v>1124</v>
      </c>
      <c r="B925" s="16">
        <v>632.44000000000005</v>
      </c>
    </row>
    <row r="926" spans="1:2">
      <c r="A926" s="10" t="s">
        <v>1125</v>
      </c>
      <c r="B926" s="16">
        <v>629.20000000000005</v>
      </c>
    </row>
    <row r="927" spans="1:2">
      <c r="A927" s="10" t="s">
        <v>1126</v>
      </c>
      <c r="B927" s="16">
        <v>636.89</v>
      </c>
    </row>
    <row r="928" spans="1:2">
      <c r="A928" s="10" t="s">
        <v>1127</v>
      </c>
      <c r="B928" s="16">
        <v>639.08000000000004</v>
      </c>
    </row>
    <row r="929" spans="1:2">
      <c r="A929" s="10" t="s">
        <v>1128</v>
      </c>
      <c r="B929" s="16">
        <v>633.78</v>
      </c>
    </row>
    <row r="930" spans="1:2">
      <c r="A930" s="10" t="s">
        <v>1129</v>
      </c>
      <c r="B930" s="16">
        <v>638.91999999999996</v>
      </c>
    </row>
    <row r="931" spans="1:2">
      <c r="A931" s="10" t="s">
        <v>1130</v>
      </c>
      <c r="B931" s="16">
        <v>642.97</v>
      </c>
    </row>
    <row r="932" spans="1:2">
      <c r="A932" s="10" t="s">
        <v>1131</v>
      </c>
      <c r="B932" s="16">
        <v>643.96</v>
      </c>
    </row>
    <row r="933" spans="1:2">
      <c r="A933" s="10" t="s">
        <v>1132</v>
      </c>
      <c r="B933" s="16">
        <v>644.41</v>
      </c>
    </row>
    <row r="934" spans="1:2">
      <c r="A934" s="10" t="s">
        <v>1133</v>
      </c>
      <c r="B934" s="16">
        <v>651.03</v>
      </c>
    </row>
    <row r="935" spans="1:2">
      <c r="A935" s="10" t="s">
        <v>1134</v>
      </c>
      <c r="B935" s="16">
        <v>643.07000000000005</v>
      </c>
    </row>
    <row r="936" spans="1:2">
      <c r="A936" s="10" t="s">
        <v>1135</v>
      </c>
      <c r="B936" s="16">
        <v>645.26</v>
      </c>
    </row>
    <row r="937" spans="1:2">
      <c r="A937" s="10" t="s">
        <v>1136</v>
      </c>
      <c r="B937" s="16">
        <v>645.42999999999995</v>
      </c>
    </row>
    <row r="938" spans="1:2">
      <c r="A938" s="10" t="s">
        <v>1137</v>
      </c>
      <c r="B938" s="16">
        <v>635.54999999999995</v>
      </c>
    </row>
    <row r="939" spans="1:2">
      <c r="A939" s="10" t="s">
        <v>1138</v>
      </c>
      <c r="B939" s="16">
        <v>629.61</v>
      </c>
    </row>
    <row r="940" spans="1:2">
      <c r="A940" s="10" t="s">
        <v>1139</v>
      </c>
      <c r="B940" s="16">
        <v>635.02</v>
      </c>
    </row>
    <row r="941" spans="1:2">
      <c r="A941" s="10" t="s">
        <v>1140</v>
      </c>
      <c r="B941" s="16">
        <v>643.99</v>
      </c>
    </row>
    <row r="942" spans="1:2">
      <c r="A942" s="10" t="s">
        <v>1141</v>
      </c>
      <c r="B942" s="16">
        <v>647.87</v>
      </c>
    </row>
    <row r="943" spans="1:2">
      <c r="A943" s="10" t="s">
        <v>1142</v>
      </c>
      <c r="B943" s="16">
        <v>646.41</v>
      </c>
    </row>
    <row r="944" spans="1:2">
      <c r="A944" s="10" t="s">
        <v>1143</v>
      </c>
      <c r="B944" s="16">
        <v>650.64</v>
      </c>
    </row>
    <row r="945" spans="1:2">
      <c r="A945" s="10" t="s">
        <v>1144</v>
      </c>
      <c r="B945" s="16">
        <v>650.54999999999995</v>
      </c>
    </row>
    <row r="946" spans="1:2">
      <c r="A946" s="10" t="s">
        <v>1145</v>
      </c>
      <c r="B946" s="16">
        <v>646.33000000000004</v>
      </c>
    </row>
    <row r="947" spans="1:2">
      <c r="A947" s="10" t="s">
        <v>1146</v>
      </c>
      <c r="B947" s="16">
        <v>652.41</v>
      </c>
    </row>
    <row r="948" spans="1:2">
      <c r="A948" s="10" t="s">
        <v>1147</v>
      </c>
      <c r="B948" s="16">
        <v>654.64</v>
      </c>
    </row>
    <row r="949" spans="1:2">
      <c r="A949" s="10" t="s">
        <v>1148</v>
      </c>
      <c r="B949" s="16">
        <v>655.14</v>
      </c>
    </row>
    <row r="950" spans="1:2">
      <c r="A950" s="10" t="s">
        <v>1149</v>
      </c>
      <c r="B950" s="16">
        <v>655.12</v>
      </c>
    </row>
    <row r="951" spans="1:2">
      <c r="A951" s="10" t="s">
        <v>1150</v>
      </c>
      <c r="B951" s="16">
        <v>654.88</v>
      </c>
    </row>
    <row r="952" spans="1:2">
      <c r="A952" s="10" t="s">
        <v>1151</v>
      </c>
      <c r="B952" s="16">
        <v>652.12</v>
      </c>
    </row>
    <row r="953" spans="1:2">
      <c r="A953" s="10" t="s">
        <v>1152</v>
      </c>
      <c r="B953" s="16">
        <v>627.54999999999995</v>
      </c>
    </row>
    <row r="954" spans="1:2">
      <c r="A954" s="10" t="s">
        <v>1153</v>
      </c>
      <c r="B954" s="16">
        <v>634.29</v>
      </c>
    </row>
    <row r="955" spans="1:2">
      <c r="A955" s="10" t="s">
        <v>1154</v>
      </c>
      <c r="B955" s="16">
        <v>636.69000000000005</v>
      </c>
    </row>
    <row r="956" spans="1:2">
      <c r="A956" s="10" t="s">
        <v>1155</v>
      </c>
      <c r="B956" s="16">
        <v>628.34</v>
      </c>
    </row>
    <row r="957" spans="1:2">
      <c r="A957" s="10" t="s">
        <v>1156</v>
      </c>
      <c r="B957" s="16">
        <v>620.24</v>
      </c>
    </row>
    <row r="958" spans="1:2">
      <c r="A958" s="10" t="s">
        <v>1157</v>
      </c>
      <c r="B958" s="16">
        <v>621.29</v>
      </c>
    </row>
    <row r="959" spans="1:2">
      <c r="A959" s="10" t="s">
        <v>1158</v>
      </c>
      <c r="B959" s="16">
        <v>607.34</v>
      </c>
    </row>
    <row r="960" spans="1:2">
      <c r="A960" s="10" t="s">
        <v>1159</v>
      </c>
      <c r="B960" s="16">
        <v>602.71</v>
      </c>
    </row>
    <row r="961" spans="1:2">
      <c r="A961" s="10" t="s">
        <v>1160</v>
      </c>
      <c r="B961" s="16">
        <v>617.48</v>
      </c>
    </row>
    <row r="962" spans="1:2">
      <c r="A962" s="10" t="s">
        <v>1161</v>
      </c>
      <c r="B962" s="16">
        <v>622.47</v>
      </c>
    </row>
    <row r="963" spans="1:2">
      <c r="A963" s="10" t="s">
        <v>1162</v>
      </c>
      <c r="B963" s="16">
        <v>626.1</v>
      </c>
    </row>
    <row r="964" spans="1:2">
      <c r="A964" s="10" t="s">
        <v>1163</v>
      </c>
      <c r="B964" s="16">
        <v>614.69000000000005</v>
      </c>
    </row>
    <row r="965" spans="1:2">
      <c r="A965" s="10" t="s">
        <v>1164</v>
      </c>
      <c r="B965" s="16">
        <v>611.47</v>
      </c>
    </row>
    <row r="966" spans="1:2">
      <c r="A966" s="10" t="s">
        <v>1165</v>
      </c>
      <c r="B966" s="16">
        <v>612.38</v>
      </c>
    </row>
    <row r="967" spans="1:2">
      <c r="A967" s="10" t="s">
        <v>1166</v>
      </c>
      <c r="B967" s="16">
        <v>623.88</v>
      </c>
    </row>
    <row r="968" spans="1:2">
      <c r="A968" s="10" t="s">
        <v>1167</v>
      </c>
      <c r="B968" s="16">
        <v>620.41</v>
      </c>
    </row>
    <row r="969" spans="1:2">
      <c r="A969" s="10" t="s">
        <v>1168</v>
      </c>
      <c r="B969" s="16">
        <v>617</v>
      </c>
    </row>
    <row r="970" spans="1:2">
      <c r="A970" s="10" t="s">
        <v>1169</v>
      </c>
      <c r="B970" s="16">
        <v>627.66</v>
      </c>
    </row>
    <row r="971" spans="1:2">
      <c r="A971" s="10" t="s">
        <v>1170</v>
      </c>
      <c r="B971" s="16">
        <v>622.66999999999996</v>
      </c>
    </row>
    <row r="972" spans="1:2">
      <c r="A972" s="10" t="s">
        <v>1171</v>
      </c>
      <c r="B972" s="16">
        <v>618.55999999999995</v>
      </c>
    </row>
    <row r="973" spans="1:2">
      <c r="A973" s="10" t="s">
        <v>1172</v>
      </c>
      <c r="B973" s="16">
        <v>606.25</v>
      </c>
    </row>
    <row r="974" spans="1:2">
      <c r="A974" s="10" t="s">
        <v>1173</v>
      </c>
      <c r="B974" s="16">
        <v>609.85</v>
      </c>
    </row>
    <row r="975" spans="1:2">
      <c r="A975" s="10" t="s">
        <v>1174</v>
      </c>
      <c r="B975" s="16">
        <v>601.24</v>
      </c>
    </row>
    <row r="976" spans="1:2">
      <c r="A976" s="10" t="s">
        <v>1175</v>
      </c>
      <c r="B976" s="16">
        <v>585.33000000000004</v>
      </c>
    </row>
    <row r="977" spans="1:2">
      <c r="A977" s="10" t="s">
        <v>1176</v>
      </c>
      <c r="B977" s="16">
        <v>575.79999999999995</v>
      </c>
    </row>
    <row r="978" spans="1:2">
      <c r="A978" s="10" t="s">
        <v>1177</v>
      </c>
      <c r="B978" s="16">
        <v>578.09</v>
      </c>
    </row>
    <row r="979" spans="1:2">
      <c r="A979" s="10" t="s">
        <v>1178</v>
      </c>
      <c r="B979" s="16">
        <v>585.12</v>
      </c>
    </row>
    <row r="980" spans="1:2">
      <c r="A980" s="10" t="s">
        <v>1179</v>
      </c>
      <c r="B980" s="16">
        <v>577.12</v>
      </c>
    </row>
    <row r="981" spans="1:2">
      <c r="A981" s="10" t="s">
        <v>1180</v>
      </c>
      <c r="B981" s="16">
        <v>577.66999999999996</v>
      </c>
    </row>
    <row r="982" spans="1:2">
      <c r="A982" s="10" t="s">
        <v>1181</v>
      </c>
      <c r="B982" s="16">
        <v>560.97</v>
      </c>
    </row>
    <row r="983" spans="1:2">
      <c r="A983" s="10" t="s">
        <v>1182</v>
      </c>
      <c r="B983" s="16">
        <v>561.38</v>
      </c>
    </row>
    <row r="984" spans="1:2">
      <c r="A984" s="10" t="s">
        <v>1183</v>
      </c>
      <c r="B984" s="16">
        <v>565.14</v>
      </c>
    </row>
    <row r="985" spans="1:2">
      <c r="A985" s="10" t="s">
        <v>1184</v>
      </c>
      <c r="B985" s="16">
        <v>554.24</v>
      </c>
    </row>
    <row r="986" spans="1:2">
      <c r="A986" s="10" t="s">
        <v>1185</v>
      </c>
      <c r="B986" s="16">
        <v>562.66999999999996</v>
      </c>
    </row>
    <row r="987" spans="1:2">
      <c r="A987" s="10" t="s">
        <v>1186</v>
      </c>
      <c r="B987" s="16">
        <v>575</v>
      </c>
    </row>
    <row r="988" spans="1:2">
      <c r="A988" s="10" t="s">
        <v>1187</v>
      </c>
      <c r="B988" s="16">
        <v>568.53</v>
      </c>
    </row>
    <row r="989" spans="1:2">
      <c r="A989" s="10" t="s">
        <v>1188</v>
      </c>
      <c r="B989" s="16">
        <v>573.39</v>
      </c>
    </row>
    <row r="990" spans="1:2">
      <c r="A990" s="10" t="s">
        <v>1189</v>
      </c>
      <c r="B990" s="16">
        <v>570.34</v>
      </c>
    </row>
    <row r="991" spans="1:2">
      <c r="A991" s="10" t="s">
        <v>1190</v>
      </c>
      <c r="B991" s="16">
        <v>563.4</v>
      </c>
    </row>
    <row r="992" spans="1:2">
      <c r="A992" s="10" t="s">
        <v>1191</v>
      </c>
      <c r="B992" s="16">
        <v>581.85</v>
      </c>
    </row>
    <row r="993" spans="1:2">
      <c r="A993" s="10" t="s">
        <v>1192</v>
      </c>
      <c r="B993" s="16">
        <v>576.96</v>
      </c>
    </row>
    <row r="994" spans="1:2">
      <c r="A994" s="10" t="s">
        <v>1193</v>
      </c>
      <c r="B994" s="16">
        <v>565.54999999999995</v>
      </c>
    </row>
    <row r="995" spans="1:2">
      <c r="A995" s="10" t="s">
        <v>1194</v>
      </c>
      <c r="B995" s="16">
        <v>557.59</v>
      </c>
    </row>
    <row r="996" spans="1:2">
      <c r="A996" s="10" t="s">
        <v>1195</v>
      </c>
      <c r="B996" s="16">
        <v>554.34</v>
      </c>
    </row>
    <row r="997" spans="1:2">
      <c r="A997" s="10" t="s">
        <v>1196</v>
      </c>
      <c r="B997" s="16">
        <v>546.62</v>
      </c>
    </row>
    <row r="998" spans="1:2">
      <c r="A998" s="10" t="s">
        <v>1197</v>
      </c>
      <c r="B998" s="16">
        <v>535.16999999999996</v>
      </c>
    </row>
    <row r="999" spans="1:2">
      <c r="A999" s="10" t="s">
        <v>1198</v>
      </c>
      <c r="B999" s="16">
        <v>526.92999999999995</v>
      </c>
    </row>
    <row r="1000" spans="1:2">
      <c r="A1000" s="10" t="s">
        <v>1199</v>
      </c>
      <c r="B1000" s="16">
        <v>533.69000000000005</v>
      </c>
    </row>
    <row r="1001" spans="1:2">
      <c r="A1001" s="10" t="s">
        <v>1200</v>
      </c>
      <c r="B1001" s="16">
        <v>517.42999999999995</v>
      </c>
    </row>
    <row r="1002" spans="1:2">
      <c r="A1002" s="10" t="s">
        <v>1201</v>
      </c>
      <c r="B1002" s="16">
        <v>530.62</v>
      </c>
    </row>
    <row r="1003" spans="1:2">
      <c r="A1003" s="10" t="s">
        <v>1202</v>
      </c>
      <c r="B1003" s="16">
        <v>539.65</v>
      </c>
    </row>
    <row r="1004" spans="1:2">
      <c r="A1004" s="10" t="s">
        <v>1203</v>
      </c>
      <c r="B1004" s="16">
        <v>543.23</v>
      </c>
    </row>
    <row r="1005" spans="1:2">
      <c r="A1005" s="10" t="s">
        <v>1204</v>
      </c>
      <c r="B1005" s="16">
        <v>554.58000000000004</v>
      </c>
    </row>
    <row r="1006" spans="1:2">
      <c r="A1006" s="10" t="s">
        <v>1205</v>
      </c>
      <c r="B1006" s="16">
        <v>553.94000000000005</v>
      </c>
    </row>
    <row r="1007" spans="1:2">
      <c r="A1007" s="10" t="s">
        <v>1206</v>
      </c>
      <c r="B1007" s="16">
        <v>552.04999999999995</v>
      </c>
    </row>
    <row r="1008" spans="1:2">
      <c r="A1008" s="10" t="s">
        <v>1207</v>
      </c>
      <c r="B1008" s="16">
        <v>562.57000000000005</v>
      </c>
    </row>
    <row r="1009" spans="1:2">
      <c r="A1009" s="10" t="s">
        <v>1208</v>
      </c>
      <c r="B1009" s="16">
        <v>554.71</v>
      </c>
    </row>
    <row r="1010" spans="1:2">
      <c r="A1010" s="10" t="s">
        <v>1209</v>
      </c>
      <c r="B1010" s="16">
        <v>549.77</v>
      </c>
    </row>
    <row r="1011" spans="1:2">
      <c r="A1011" s="10" t="s">
        <v>1210</v>
      </c>
      <c r="B1011" s="16">
        <v>557.73</v>
      </c>
    </row>
    <row r="1012" spans="1:2">
      <c r="A1012" s="10" t="s">
        <v>1211</v>
      </c>
      <c r="B1012" s="16">
        <v>563.48</v>
      </c>
    </row>
    <row r="1013" spans="1:2">
      <c r="A1013" s="10" t="s">
        <v>1212</v>
      </c>
      <c r="B1013" s="16">
        <v>563</v>
      </c>
    </row>
    <row r="1014" spans="1:2">
      <c r="A1014" s="10" t="s">
        <v>1213</v>
      </c>
      <c r="B1014" s="16">
        <v>575.88</v>
      </c>
    </row>
    <row r="1015" spans="1:2">
      <c r="A1015" s="10" t="s">
        <v>1214</v>
      </c>
      <c r="B1015" s="16">
        <v>579.62</v>
      </c>
    </row>
    <row r="1016" spans="1:2">
      <c r="A1016" s="10" t="s">
        <v>1215</v>
      </c>
      <c r="B1016" s="16">
        <v>576.11</v>
      </c>
    </row>
    <row r="1017" spans="1:2">
      <c r="A1017" s="10" t="s">
        <v>1216</v>
      </c>
      <c r="B1017" s="16">
        <v>576.04999999999995</v>
      </c>
    </row>
    <row r="1018" spans="1:2">
      <c r="A1018" s="10" t="s">
        <v>1217</v>
      </c>
      <c r="B1018" s="16">
        <v>574.39</v>
      </c>
    </row>
    <row r="1019" spans="1:2">
      <c r="A1019" s="10" t="s">
        <v>1218</v>
      </c>
      <c r="B1019" s="16">
        <v>568.24</v>
      </c>
    </row>
    <row r="1020" spans="1:2">
      <c r="A1020" s="10" t="s">
        <v>1219</v>
      </c>
      <c r="B1020" s="16">
        <v>572.04</v>
      </c>
    </row>
    <row r="1021" spans="1:2">
      <c r="A1021" s="10" t="s">
        <v>1220</v>
      </c>
      <c r="B1021" s="16">
        <v>564.12</v>
      </c>
    </row>
    <row r="1022" spans="1:2">
      <c r="A1022" s="10" t="s">
        <v>1221</v>
      </c>
      <c r="B1022" s="16">
        <v>576.59</v>
      </c>
    </row>
    <row r="1023" spans="1:2">
      <c r="A1023" s="10" t="s">
        <v>1222</v>
      </c>
      <c r="B1023" s="16">
        <v>579.05999999999995</v>
      </c>
    </row>
    <row r="1024" spans="1:2">
      <c r="A1024" s="10" t="s">
        <v>1223</v>
      </c>
      <c r="B1024" s="16">
        <v>577.38</v>
      </c>
    </row>
    <row r="1025" spans="1:2">
      <c r="A1025" s="10" t="s">
        <v>1224</v>
      </c>
      <c r="B1025" s="16">
        <v>578.91</v>
      </c>
    </row>
    <row r="1026" spans="1:2">
      <c r="A1026" s="10" t="s">
        <v>1225</v>
      </c>
      <c r="B1026" s="16">
        <v>571.41</v>
      </c>
    </row>
    <row r="1027" spans="1:2">
      <c r="A1027" s="10" t="s">
        <v>1226</v>
      </c>
      <c r="B1027" s="16">
        <v>574.6</v>
      </c>
    </row>
    <row r="1028" spans="1:2">
      <c r="A1028" s="10" t="s">
        <v>1227</v>
      </c>
      <c r="B1028" s="16">
        <v>575.78</v>
      </c>
    </row>
    <row r="1029" spans="1:2">
      <c r="A1029" s="10" t="s">
        <v>1228</v>
      </c>
      <c r="B1029" s="16">
        <v>576.63</v>
      </c>
    </row>
    <row r="1030" spans="1:2">
      <c r="A1030" s="10" t="s">
        <v>1229</v>
      </c>
      <c r="B1030" s="16">
        <v>576.04999999999995</v>
      </c>
    </row>
    <row r="1031" spans="1:2">
      <c r="A1031" s="10" t="s">
        <v>1230</v>
      </c>
      <c r="B1031" s="16">
        <v>571.63</v>
      </c>
    </row>
    <row r="1032" spans="1:2">
      <c r="A1032" s="10" t="s">
        <v>1231</v>
      </c>
      <c r="B1032" s="16">
        <v>574.64</v>
      </c>
    </row>
    <row r="1033" spans="1:2">
      <c r="A1033" s="10" t="s">
        <v>1232</v>
      </c>
      <c r="B1033" s="16">
        <v>575.30999999999995</v>
      </c>
    </row>
    <row r="1034" spans="1:2">
      <c r="A1034" s="10" t="s">
        <v>1233</v>
      </c>
      <c r="B1034" s="16">
        <v>570.27</v>
      </c>
    </row>
    <row r="1035" spans="1:2">
      <c r="A1035" s="10" t="s">
        <v>1234</v>
      </c>
      <c r="B1035" s="16">
        <v>569.66999999999996</v>
      </c>
    </row>
    <row r="1036" spans="1:2">
      <c r="A1036" s="10" t="s">
        <v>1235</v>
      </c>
      <c r="B1036" s="16">
        <v>568.64</v>
      </c>
    </row>
    <row r="1037" spans="1:2">
      <c r="A1037" s="10" t="s">
        <v>1236</v>
      </c>
      <c r="B1037" s="16">
        <v>559.95000000000005</v>
      </c>
    </row>
    <row r="1038" spans="1:2">
      <c r="A1038" s="10" t="s">
        <v>1237</v>
      </c>
      <c r="B1038" s="16">
        <v>564.39</v>
      </c>
    </row>
    <row r="1039" spans="1:2">
      <c r="A1039" s="10" t="s">
        <v>1238</v>
      </c>
      <c r="B1039" s="16">
        <v>556.88</v>
      </c>
    </row>
    <row r="1040" spans="1:2">
      <c r="A1040" s="10" t="s">
        <v>1239</v>
      </c>
      <c r="B1040" s="16">
        <v>559.87</v>
      </c>
    </row>
    <row r="1041" spans="1:2">
      <c r="A1041" s="10" t="s">
        <v>1240</v>
      </c>
      <c r="B1041" s="16">
        <v>558.80999999999995</v>
      </c>
    </row>
    <row r="1042" spans="1:2">
      <c r="A1042" s="10" t="s">
        <v>1241</v>
      </c>
      <c r="B1042" s="16">
        <v>564.57000000000005</v>
      </c>
    </row>
    <row r="1043" spans="1:2">
      <c r="A1043" s="10" t="s">
        <v>1242</v>
      </c>
      <c r="B1043" s="16">
        <v>578.35</v>
      </c>
    </row>
    <row r="1044" spans="1:2">
      <c r="A1044" s="10" t="s">
        <v>1243</v>
      </c>
      <c r="B1044" s="16">
        <v>581.29</v>
      </c>
    </row>
    <row r="1045" spans="1:2">
      <c r="A1045" s="10" t="s">
        <v>1244</v>
      </c>
      <c r="B1045" s="16">
        <v>578.96</v>
      </c>
    </row>
    <row r="1046" spans="1:2">
      <c r="A1046" s="10" t="s">
        <v>1245</v>
      </c>
      <c r="B1046" s="16">
        <v>580.32000000000005</v>
      </c>
    </row>
    <row r="1047" spans="1:2">
      <c r="A1047" s="10" t="s">
        <v>1246</v>
      </c>
      <c r="B1047" s="16">
        <v>584.27</v>
      </c>
    </row>
    <row r="1048" spans="1:2">
      <c r="A1048" s="10" t="s">
        <v>1247</v>
      </c>
      <c r="B1048" s="16">
        <v>587.42999999999995</v>
      </c>
    </row>
    <row r="1049" spans="1:2">
      <c r="A1049" s="10" t="s">
        <v>1248</v>
      </c>
      <c r="B1049" s="16">
        <v>587.08000000000004</v>
      </c>
    </row>
    <row r="1050" spans="1:2">
      <c r="A1050" s="10" t="s">
        <v>1249</v>
      </c>
      <c r="B1050" s="16">
        <v>585.67999999999995</v>
      </c>
    </row>
    <row r="1051" spans="1:2">
      <c r="A1051" s="10" t="s">
        <v>1250</v>
      </c>
      <c r="B1051" s="16">
        <v>582.24</v>
      </c>
    </row>
    <row r="1052" spans="1:2">
      <c r="A1052" s="10" t="s">
        <v>1251</v>
      </c>
      <c r="B1052" s="16">
        <v>580.63</v>
      </c>
    </row>
    <row r="1053" spans="1:2">
      <c r="A1053" s="10" t="s">
        <v>1252</v>
      </c>
      <c r="B1053" s="16">
        <v>580.34</v>
      </c>
    </row>
    <row r="1054" spans="1:2">
      <c r="A1054" s="10" t="s">
        <v>1253</v>
      </c>
      <c r="B1054" s="16">
        <v>576.48</v>
      </c>
    </row>
    <row r="1055" spans="1:2">
      <c r="A1055" s="10" t="s">
        <v>1254</v>
      </c>
      <c r="B1055" s="16">
        <v>563.24</v>
      </c>
    </row>
    <row r="1056" spans="1:2">
      <c r="A1056" s="10" t="s">
        <v>1255</v>
      </c>
      <c r="B1056" s="16">
        <v>564.80999999999995</v>
      </c>
    </row>
    <row r="1057" spans="1:2">
      <c r="A1057" s="10" t="s">
        <v>1256</v>
      </c>
      <c r="B1057" s="16">
        <v>558.29</v>
      </c>
    </row>
    <row r="1058" spans="1:2">
      <c r="A1058" s="10" t="s">
        <v>1257</v>
      </c>
      <c r="B1058" s="16">
        <v>554.22</v>
      </c>
    </row>
    <row r="1059" spans="1:2">
      <c r="A1059" s="10" t="s">
        <v>1258</v>
      </c>
      <c r="B1059" s="16">
        <v>557.32000000000005</v>
      </c>
    </row>
    <row r="1060" spans="1:2">
      <c r="A1060" s="10" t="s">
        <v>1259</v>
      </c>
      <c r="B1060" s="16">
        <v>557.48</v>
      </c>
    </row>
    <row r="1061" spans="1:2">
      <c r="A1061" s="10" t="s">
        <v>1260</v>
      </c>
      <c r="B1061" s="16">
        <v>559.97</v>
      </c>
    </row>
    <row r="1062" spans="1:2">
      <c r="A1062" s="10" t="s">
        <v>1261</v>
      </c>
      <c r="B1062" s="16">
        <v>565.45000000000005</v>
      </c>
    </row>
    <row r="1063" spans="1:2">
      <c r="A1063" s="10" t="s">
        <v>1262</v>
      </c>
      <c r="B1063" s="16">
        <v>559.07000000000005</v>
      </c>
    </row>
    <row r="1064" spans="1:2">
      <c r="A1064" s="10" t="s">
        <v>1263</v>
      </c>
      <c r="B1064" s="16">
        <v>557.59</v>
      </c>
    </row>
    <row r="1065" spans="1:2">
      <c r="A1065" s="10" t="s">
        <v>1264</v>
      </c>
      <c r="B1065" s="16">
        <v>559.72</v>
      </c>
    </row>
    <row r="1066" spans="1:2">
      <c r="A1066" s="10" t="s">
        <v>1265</v>
      </c>
      <c r="B1066" s="16">
        <v>561.71</v>
      </c>
    </row>
    <row r="1067" spans="1:2">
      <c r="A1067" s="10" t="s">
        <v>1266</v>
      </c>
      <c r="B1067" s="16">
        <v>557.25</v>
      </c>
    </row>
    <row r="1068" spans="1:2">
      <c r="A1068" s="10" t="s">
        <v>1267</v>
      </c>
      <c r="B1068" s="16">
        <v>561.17999999999995</v>
      </c>
    </row>
    <row r="1069" spans="1:2">
      <c r="A1069" s="10" t="s">
        <v>1268</v>
      </c>
      <c r="B1069" s="16">
        <v>558.64</v>
      </c>
    </row>
    <row r="1070" spans="1:2">
      <c r="A1070" s="10" t="s">
        <v>1269</v>
      </c>
      <c r="B1070" s="16">
        <v>563.64</v>
      </c>
    </row>
    <row r="1071" spans="1:2">
      <c r="A1071" s="10" t="s">
        <v>1270</v>
      </c>
      <c r="B1071" s="16">
        <v>561.37</v>
      </c>
    </row>
    <row r="1072" spans="1:2">
      <c r="A1072" s="10" t="s">
        <v>1271</v>
      </c>
      <c r="B1072" s="16">
        <v>573.41999999999996</v>
      </c>
    </row>
    <row r="1073" spans="1:2">
      <c r="A1073" s="10" t="s">
        <v>1272</v>
      </c>
      <c r="B1073" s="16">
        <v>580.70000000000005</v>
      </c>
    </row>
    <row r="1074" spans="1:2">
      <c r="A1074" s="10" t="s">
        <v>1273</v>
      </c>
      <c r="B1074" s="16">
        <v>581.03</v>
      </c>
    </row>
    <row r="1075" spans="1:2">
      <c r="A1075" s="10" t="s">
        <v>1274</v>
      </c>
      <c r="B1075" s="16">
        <v>584.12</v>
      </c>
    </row>
    <row r="1076" spans="1:2">
      <c r="A1076" s="10" t="s">
        <v>1275</v>
      </c>
      <c r="B1076" s="16">
        <v>584.70000000000005</v>
      </c>
    </row>
    <row r="1077" spans="1:2">
      <c r="A1077" s="10" t="s">
        <v>1276</v>
      </c>
      <c r="B1077" s="16">
        <v>582.66999999999996</v>
      </c>
    </row>
    <row r="1078" spans="1:2">
      <c r="A1078" s="10" t="s">
        <v>1277</v>
      </c>
      <c r="B1078" s="16">
        <v>579.4</v>
      </c>
    </row>
    <row r="1079" spans="1:2">
      <c r="A1079" s="10" t="s">
        <v>1278</v>
      </c>
      <c r="B1079" s="16">
        <v>580.41999999999996</v>
      </c>
    </row>
    <row r="1080" spans="1:2">
      <c r="A1080" s="10" t="s">
        <v>1279</v>
      </c>
      <c r="B1080" s="16">
        <v>571.29999999999995</v>
      </c>
    </row>
    <row r="1081" spans="1:2">
      <c r="A1081" s="10" t="s">
        <v>1280</v>
      </c>
      <c r="B1081" s="16">
        <v>571.59</v>
      </c>
    </row>
    <row r="1082" spans="1:2">
      <c r="A1082" s="10" t="s">
        <v>1281</v>
      </c>
      <c r="B1082" s="16">
        <v>574.63</v>
      </c>
    </row>
    <row r="1083" spans="1:2">
      <c r="A1083" s="10" t="s">
        <v>1282</v>
      </c>
      <c r="B1083" s="16">
        <v>572.70000000000005</v>
      </c>
    </row>
    <row r="1084" spans="1:2">
      <c r="A1084" s="10" t="s">
        <v>1283</v>
      </c>
      <c r="B1084" s="16">
        <v>571.4</v>
      </c>
    </row>
    <row r="1085" spans="1:2">
      <c r="A1085" s="10" t="s">
        <v>1284</v>
      </c>
      <c r="B1085" s="16">
        <v>563.42999999999995</v>
      </c>
    </row>
    <row r="1086" spans="1:2">
      <c r="A1086" s="10" t="s">
        <v>1285</v>
      </c>
      <c r="B1086" s="16">
        <v>555.19000000000005</v>
      </c>
    </row>
    <row r="1087" spans="1:2">
      <c r="A1087" s="10" t="s">
        <v>1286</v>
      </c>
      <c r="B1087" s="16">
        <v>552.74</v>
      </c>
    </row>
    <row r="1088" spans="1:2">
      <c r="A1088" s="10" t="s">
        <v>1287</v>
      </c>
      <c r="B1088" s="16">
        <v>553.86</v>
      </c>
    </row>
    <row r="1089" spans="1:2">
      <c r="A1089" s="10" t="s">
        <v>1288</v>
      </c>
      <c r="B1089" s="16">
        <v>556.71</v>
      </c>
    </row>
    <row r="1090" spans="1:2">
      <c r="A1090" s="10" t="s">
        <v>1289</v>
      </c>
      <c r="B1090" s="16">
        <v>554.83000000000004</v>
      </c>
    </row>
    <row r="1091" spans="1:2">
      <c r="A1091" s="10" t="s">
        <v>1290</v>
      </c>
      <c r="B1091" s="16">
        <v>561.26</v>
      </c>
    </row>
    <row r="1092" spans="1:2">
      <c r="A1092" s="10" t="s">
        <v>1291</v>
      </c>
      <c r="B1092" s="16">
        <v>566.20000000000005</v>
      </c>
    </row>
    <row r="1093" spans="1:2">
      <c r="A1093" s="10" t="s">
        <v>1292</v>
      </c>
      <c r="B1093" s="16">
        <v>566.21</v>
      </c>
    </row>
    <row r="1094" spans="1:2">
      <c r="A1094" s="10" t="s">
        <v>1293</v>
      </c>
      <c r="B1094" s="16">
        <v>573.59</v>
      </c>
    </row>
    <row r="1095" spans="1:2">
      <c r="A1095" s="10" t="s">
        <v>1294</v>
      </c>
      <c r="B1095" s="16">
        <v>547.41999999999996</v>
      </c>
    </row>
    <row r="1096" spans="1:2">
      <c r="A1096" s="10" t="s">
        <v>1295</v>
      </c>
      <c r="B1096" s="16">
        <v>539.02</v>
      </c>
    </row>
    <row r="1097" spans="1:2">
      <c r="A1097" s="10" t="s">
        <v>1296</v>
      </c>
      <c r="B1097" s="16">
        <v>547.41</v>
      </c>
    </row>
    <row r="1098" spans="1:2">
      <c r="A1098" s="10" t="s">
        <v>1297</v>
      </c>
      <c r="B1098" s="16">
        <v>557.16</v>
      </c>
    </row>
    <row r="1099" spans="1:2">
      <c r="A1099" s="10" t="s">
        <v>1298</v>
      </c>
      <c r="B1099" s="16">
        <v>563.61</v>
      </c>
    </row>
    <row r="1100" spans="1:2">
      <c r="A1100" s="10" t="s">
        <v>1299</v>
      </c>
      <c r="B1100" s="16">
        <v>565.13</v>
      </c>
    </row>
    <row r="1101" spans="1:2">
      <c r="A1101" s="10" t="s">
        <v>1300</v>
      </c>
      <c r="B1101" s="16">
        <v>562.39</v>
      </c>
    </row>
    <row r="1102" spans="1:2">
      <c r="A1102" s="10" t="s">
        <v>1301</v>
      </c>
      <c r="B1102" s="16">
        <v>557.64</v>
      </c>
    </row>
    <row r="1103" spans="1:2">
      <c r="A1103" s="10" t="s">
        <v>1302</v>
      </c>
      <c r="B1103" s="16">
        <v>555.95000000000005</v>
      </c>
    </row>
    <row r="1104" spans="1:2">
      <c r="A1104" s="10" t="s">
        <v>1303</v>
      </c>
      <c r="B1104" s="16">
        <v>557.44000000000005</v>
      </c>
    </row>
    <row r="1105" spans="1:2">
      <c r="A1105" s="10" t="s">
        <v>1304</v>
      </c>
      <c r="B1105" s="16">
        <v>568.21</v>
      </c>
    </row>
    <row r="1106" spans="1:2">
      <c r="A1106" s="10" t="s">
        <v>1305</v>
      </c>
      <c r="B1106" s="16">
        <v>572.58000000000004</v>
      </c>
    </row>
    <row r="1107" spans="1:2">
      <c r="A1107" s="10" t="s">
        <v>1306</v>
      </c>
      <c r="B1107" s="16">
        <v>577.91</v>
      </c>
    </row>
    <row r="1108" spans="1:2">
      <c r="A1108" s="10" t="s">
        <v>1307</v>
      </c>
      <c r="B1108" s="16">
        <v>576.53</v>
      </c>
    </row>
    <row r="1109" spans="1:2">
      <c r="A1109" s="10" t="s">
        <v>1308</v>
      </c>
      <c r="B1109" s="16">
        <v>582.02</v>
      </c>
    </row>
    <row r="1110" spans="1:2">
      <c r="A1110" s="10" t="s">
        <v>1309</v>
      </c>
      <c r="B1110" s="16">
        <v>582.13</v>
      </c>
    </row>
    <row r="1111" spans="1:2">
      <c r="A1111" s="10" t="s">
        <v>1310</v>
      </c>
      <c r="B1111" s="16">
        <v>582.27</v>
      </c>
    </row>
    <row r="1112" spans="1:2">
      <c r="A1112" s="10" t="s">
        <v>1311</v>
      </c>
      <c r="B1112" s="16">
        <v>581.79999999999995</v>
      </c>
    </row>
    <row r="1113" spans="1:2">
      <c r="A1113" s="10" t="s">
        <v>1312</v>
      </c>
      <c r="B1113" s="16">
        <v>587.22</v>
      </c>
    </row>
    <row r="1114" spans="1:2">
      <c r="A1114" s="10" t="s">
        <v>1313</v>
      </c>
      <c r="B1114" s="16">
        <v>586.54999999999995</v>
      </c>
    </row>
    <row r="1115" spans="1:2">
      <c r="A1115" s="10" t="s">
        <v>1314</v>
      </c>
      <c r="B1115" s="16">
        <v>588.91</v>
      </c>
    </row>
    <row r="1116" spans="1:2">
      <c r="A1116" s="10" t="s">
        <v>1315</v>
      </c>
      <c r="B1116" s="16">
        <v>588.04999999999995</v>
      </c>
    </row>
    <row r="1117" spans="1:2">
      <c r="A1117" s="10" t="s">
        <v>1316</v>
      </c>
      <c r="B1117" s="16">
        <v>587.44000000000005</v>
      </c>
    </row>
    <row r="1118" spans="1:2">
      <c r="A1118" s="10" t="s">
        <v>1317</v>
      </c>
      <c r="B1118" s="16">
        <v>589.74</v>
      </c>
    </row>
    <row r="1119" spans="1:2">
      <c r="A1119" s="10" t="s">
        <v>1318</v>
      </c>
      <c r="B1119" s="16">
        <v>584.57000000000005</v>
      </c>
    </row>
    <row r="1120" spans="1:2">
      <c r="A1120" s="10" t="s">
        <v>1319</v>
      </c>
      <c r="B1120" s="16">
        <v>584.41</v>
      </c>
    </row>
    <row r="1121" spans="1:2">
      <c r="A1121" s="10" t="s">
        <v>1320</v>
      </c>
      <c r="B1121" s="16">
        <v>583.39</v>
      </c>
    </row>
    <row r="1122" spans="1:2">
      <c r="A1122" s="10" t="s">
        <v>1321</v>
      </c>
      <c r="B1122" s="16">
        <v>574.78</v>
      </c>
    </row>
    <row r="1123" spans="1:2">
      <c r="A1123" s="10" t="s">
        <v>1322</v>
      </c>
      <c r="B1123" s="16">
        <v>577.12</v>
      </c>
    </row>
    <row r="1124" spans="1:2">
      <c r="A1124" s="10" t="s">
        <v>1323</v>
      </c>
      <c r="B1124" s="16">
        <v>579.55999999999995</v>
      </c>
    </row>
    <row r="1125" spans="1:2">
      <c r="A1125" s="10" t="s">
        <v>1324</v>
      </c>
      <c r="B1125" s="16">
        <v>587.85</v>
      </c>
    </row>
    <row r="1126" spans="1:2">
      <c r="A1126" s="10" t="s">
        <v>1325</v>
      </c>
      <c r="B1126" s="16">
        <v>587.85</v>
      </c>
    </row>
    <row r="1127" spans="1:2">
      <c r="A1127" s="10" t="s">
        <v>1326</v>
      </c>
      <c r="B1127" s="16">
        <v>591.53</v>
      </c>
    </row>
    <row r="1128" spans="1:2">
      <c r="A1128" s="10" t="s">
        <v>1327</v>
      </c>
      <c r="B1128" s="16">
        <v>588.42999999999995</v>
      </c>
    </row>
    <row r="1129" spans="1:2">
      <c r="A1129" s="10" t="s">
        <v>1328</v>
      </c>
      <c r="B1129" s="16">
        <v>591.79999999999995</v>
      </c>
    </row>
    <row r="1130" spans="1:2">
      <c r="A1130" s="10" t="s">
        <v>1329</v>
      </c>
      <c r="B1130" s="16">
        <v>590.36</v>
      </c>
    </row>
    <row r="1131" spans="1:2">
      <c r="A1131" s="10" t="s">
        <v>1330</v>
      </c>
      <c r="B1131" s="16">
        <v>590.72</v>
      </c>
    </row>
    <row r="1132" spans="1:2">
      <c r="A1132" s="10" t="s">
        <v>1331</v>
      </c>
      <c r="B1132" s="16">
        <v>585.36</v>
      </c>
    </row>
    <row r="1133" spans="1:2">
      <c r="A1133" s="10" t="s">
        <v>1332</v>
      </c>
      <c r="B1133" s="16">
        <v>582.02</v>
      </c>
    </row>
    <row r="1134" spans="1:2">
      <c r="A1134" s="10" t="s">
        <v>1333</v>
      </c>
      <c r="B1134" s="16">
        <v>581.78</v>
      </c>
    </row>
    <row r="1135" spans="1:2">
      <c r="A1135" s="10" t="s">
        <v>1334</v>
      </c>
      <c r="B1135" s="16">
        <v>579.33000000000004</v>
      </c>
    </row>
    <row r="1136" spans="1:2">
      <c r="A1136" s="10" t="s">
        <v>1335</v>
      </c>
      <c r="B1136" s="16">
        <v>577.91999999999996</v>
      </c>
    </row>
    <row r="1137" spans="1:2">
      <c r="A1137" s="10" t="s">
        <v>1336</v>
      </c>
      <c r="B1137" s="16">
        <v>581.37</v>
      </c>
    </row>
    <row r="1138" spans="1:2">
      <c r="A1138" s="10" t="s">
        <v>1337</v>
      </c>
      <c r="B1138" s="16">
        <v>583.13</v>
      </c>
    </row>
    <row r="1139" spans="1:2">
      <c r="A1139" s="10" t="s">
        <v>1338</v>
      </c>
      <c r="B1139" s="16">
        <v>579.94000000000005</v>
      </c>
    </row>
    <row r="1140" spans="1:2">
      <c r="A1140" s="10" t="s">
        <v>1339</v>
      </c>
      <c r="B1140" s="16">
        <v>581.19000000000005</v>
      </c>
    </row>
    <row r="1141" spans="1:2">
      <c r="A1141" s="10" t="s">
        <v>1340</v>
      </c>
      <c r="B1141" s="16">
        <v>584.41999999999996</v>
      </c>
    </row>
    <row r="1142" spans="1:2">
      <c r="A1142" s="10" t="s">
        <v>1341</v>
      </c>
      <c r="B1142" s="16">
        <v>586.96</v>
      </c>
    </row>
    <row r="1143" spans="1:2">
      <c r="A1143" s="10" t="s">
        <v>1342</v>
      </c>
      <c r="B1143" s="16">
        <v>586.14</v>
      </c>
    </row>
    <row r="1144" spans="1:2">
      <c r="A1144" s="10" t="s">
        <v>1343</v>
      </c>
      <c r="B1144" s="16">
        <v>584.27</v>
      </c>
    </row>
    <row r="1145" spans="1:2">
      <c r="A1145" s="10" t="s">
        <v>1344</v>
      </c>
      <c r="B1145" s="16">
        <v>590.65</v>
      </c>
    </row>
    <row r="1146" spans="1:2">
      <c r="A1146" s="10" t="s">
        <v>1345</v>
      </c>
      <c r="B1146" s="16">
        <v>590.52</v>
      </c>
    </row>
    <row r="1147" spans="1:2">
      <c r="A1147" s="10" t="s">
        <v>1346</v>
      </c>
      <c r="B1147" s="16">
        <v>586.94000000000005</v>
      </c>
    </row>
    <row r="1148" spans="1:2">
      <c r="A1148" s="10" t="s">
        <v>1347</v>
      </c>
      <c r="B1148" s="16">
        <v>588.42999999999995</v>
      </c>
    </row>
    <row r="1149" spans="1:2">
      <c r="A1149" s="10" t="s">
        <v>1348</v>
      </c>
      <c r="B1149" s="16">
        <v>584.97</v>
      </c>
    </row>
    <row r="1150" spans="1:2">
      <c r="A1150" s="10" t="s">
        <v>1349</v>
      </c>
      <c r="B1150" s="16">
        <v>576.73</v>
      </c>
    </row>
    <row r="1151" spans="1:2">
      <c r="A1151" s="10" t="s">
        <v>1350</v>
      </c>
      <c r="B1151" s="16">
        <v>577.29999999999995</v>
      </c>
    </row>
    <row r="1152" spans="1:2">
      <c r="A1152" s="10" t="s">
        <v>1351</v>
      </c>
      <c r="B1152" s="16">
        <v>570.5</v>
      </c>
    </row>
    <row r="1153" spans="1:2">
      <c r="A1153" s="10" t="s">
        <v>1352</v>
      </c>
      <c r="B1153" s="16">
        <v>570.04</v>
      </c>
    </row>
    <row r="1154" spans="1:2">
      <c r="A1154" s="10" t="s">
        <v>1353</v>
      </c>
      <c r="B1154" s="16">
        <v>574.20000000000005</v>
      </c>
    </row>
    <row r="1155" spans="1:2">
      <c r="A1155" s="10" t="s">
        <v>1354</v>
      </c>
      <c r="B1155" s="16">
        <v>572.14</v>
      </c>
    </row>
    <row r="1156" spans="1:2">
      <c r="A1156" s="10" t="s">
        <v>1355</v>
      </c>
      <c r="B1156" s="16">
        <v>573.4</v>
      </c>
    </row>
    <row r="1157" spans="1:2">
      <c r="A1157" s="10" t="s">
        <v>1356</v>
      </c>
      <c r="B1157" s="16">
        <v>574.63</v>
      </c>
    </row>
    <row r="1158" spans="1:2">
      <c r="A1158" s="10" t="s">
        <v>1357</v>
      </c>
      <c r="B1158" s="16">
        <v>579.41999999999996</v>
      </c>
    </row>
    <row r="1159" spans="1:2">
      <c r="A1159" s="10" t="s">
        <v>1358</v>
      </c>
      <c r="B1159" s="16">
        <v>583.77</v>
      </c>
    </row>
    <row r="1160" spans="1:2">
      <c r="A1160" s="10" t="s">
        <v>1359</v>
      </c>
      <c r="B1160" s="16">
        <v>580.95000000000005</v>
      </c>
    </row>
    <row r="1161" spans="1:2">
      <c r="A1161" s="10" t="s">
        <v>1360</v>
      </c>
      <c r="B1161" s="16">
        <v>571.63</v>
      </c>
    </row>
    <row r="1162" spans="1:2">
      <c r="A1162" s="10" t="s">
        <v>1361</v>
      </c>
      <c r="B1162" s="16">
        <v>575.97</v>
      </c>
    </row>
    <row r="1163" spans="1:2">
      <c r="A1163" s="10" t="s">
        <v>1362</v>
      </c>
      <c r="B1163" s="16">
        <v>578.67999999999995</v>
      </c>
    </row>
    <row r="1164" spans="1:2">
      <c r="A1164" s="10" t="s">
        <v>1363</v>
      </c>
      <c r="B1164" s="16">
        <v>573.94000000000005</v>
      </c>
    </row>
    <row r="1165" spans="1:2">
      <c r="A1165" s="10" t="s">
        <v>1364</v>
      </c>
      <c r="B1165" s="16">
        <v>577.25</v>
      </c>
    </row>
    <row r="1166" spans="1:2">
      <c r="A1166" s="10" t="s">
        <v>1365</v>
      </c>
      <c r="B1166" s="16">
        <v>576.09</v>
      </c>
    </row>
    <row r="1167" spans="1:2">
      <c r="A1167" s="10" t="s">
        <v>1366</v>
      </c>
      <c r="B1167" s="16">
        <v>578.99</v>
      </c>
    </row>
    <row r="1168" spans="1:2">
      <c r="A1168" s="10" t="s">
        <v>1367</v>
      </c>
      <c r="B1168" s="16">
        <v>578.76</v>
      </c>
    </row>
    <row r="1169" spans="1:2">
      <c r="A1169" s="10" t="s">
        <v>1368</v>
      </c>
      <c r="B1169" s="16">
        <v>579.51</v>
      </c>
    </row>
    <row r="1170" spans="1:2">
      <c r="A1170" s="10" t="s">
        <v>1369</v>
      </c>
      <c r="B1170" s="16">
        <v>576.76</v>
      </c>
    </row>
    <row r="1171" spans="1:2">
      <c r="A1171" s="10" t="s">
        <v>1370</v>
      </c>
      <c r="B1171" s="16">
        <v>580.69000000000005</v>
      </c>
    </row>
    <row r="1172" spans="1:2">
      <c r="A1172" s="10" t="s">
        <v>1371</v>
      </c>
      <c r="B1172" s="16">
        <v>578.79</v>
      </c>
    </row>
    <row r="1173" spans="1:2">
      <c r="A1173" s="10" t="s">
        <v>1372</v>
      </c>
      <c r="B1173" s="16">
        <v>578.72</v>
      </c>
    </row>
    <row r="1174" spans="1:2">
      <c r="A1174" s="10" t="s">
        <v>1373</v>
      </c>
      <c r="B1174" s="16">
        <v>574.46</v>
      </c>
    </row>
    <row r="1175" spans="1:2">
      <c r="A1175" s="10" t="s">
        <v>1374</v>
      </c>
      <c r="B1175" s="16">
        <v>580.07000000000005</v>
      </c>
    </row>
    <row r="1176" spans="1:2">
      <c r="A1176" s="10" t="s">
        <v>1375</v>
      </c>
      <c r="B1176" s="16">
        <v>577.73</v>
      </c>
    </row>
    <row r="1177" spans="1:2">
      <c r="A1177" s="10" t="s">
        <v>1376</v>
      </c>
      <c r="B1177" s="16">
        <v>583.16999999999996</v>
      </c>
    </row>
    <row r="1178" spans="1:2">
      <c r="A1178" s="10" t="s">
        <v>1377</v>
      </c>
      <c r="B1178" s="16">
        <v>583.70000000000005</v>
      </c>
    </row>
    <row r="1179" spans="1:2">
      <c r="A1179" s="10" t="s">
        <v>1378</v>
      </c>
      <c r="B1179" s="16">
        <v>585.20000000000005</v>
      </c>
    </row>
    <row r="1180" spans="1:2">
      <c r="A1180" s="10" t="s">
        <v>1379</v>
      </c>
      <c r="B1180" s="16">
        <v>586.36</v>
      </c>
    </row>
    <row r="1181" spans="1:2">
      <c r="A1181" s="10" t="s">
        <v>1380</v>
      </c>
      <c r="B1181" s="16">
        <v>588.16</v>
      </c>
    </row>
    <row r="1182" spans="1:2">
      <c r="A1182" s="10" t="s">
        <v>1381</v>
      </c>
      <c r="B1182" s="16">
        <v>588.04</v>
      </c>
    </row>
    <row r="1183" spans="1:2">
      <c r="A1183" s="10" t="s">
        <v>1382</v>
      </c>
      <c r="B1183" s="16">
        <v>584.42999999999995</v>
      </c>
    </row>
    <row r="1184" spans="1:2">
      <c r="A1184" s="10" t="s">
        <v>1383</v>
      </c>
      <c r="B1184" s="16">
        <v>584.1</v>
      </c>
    </row>
    <row r="1185" spans="1:2">
      <c r="A1185" s="10" t="s">
        <v>1384</v>
      </c>
      <c r="B1185" s="16">
        <v>582.03</v>
      </c>
    </row>
    <row r="1186" spans="1:2">
      <c r="A1186" s="10" t="s">
        <v>1385</v>
      </c>
      <c r="B1186" s="16">
        <v>577.98</v>
      </c>
    </row>
    <row r="1187" spans="1:2">
      <c r="A1187" s="10" t="s">
        <v>1386</v>
      </c>
      <c r="B1187" s="16">
        <v>571.02</v>
      </c>
    </row>
    <row r="1188" spans="1:2">
      <c r="A1188" s="10" t="s">
        <v>1387</v>
      </c>
      <c r="B1188" s="16">
        <v>563.65</v>
      </c>
    </row>
    <row r="1189" spans="1:2">
      <c r="A1189" s="10" t="s">
        <v>1388</v>
      </c>
      <c r="B1189" s="16">
        <v>562.19000000000005</v>
      </c>
    </row>
    <row r="1190" spans="1:2">
      <c r="A1190" s="10" t="s">
        <v>1389</v>
      </c>
      <c r="B1190" s="16">
        <v>558.87</v>
      </c>
    </row>
    <row r="1191" spans="1:2">
      <c r="A1191" s="10" t="s">
        <v>1390</v>
      </c>
      <c r="B1191" s="16">
        <v>572.36</v>
      </c>
    </row>
    <row r="1192" spans="1:2">
      <c r="A1192" s="10" t="s">
        <v>1391</v>
      </c>
      <c r="B1192" s="16">
        <v>574.13</v>
      </c>
    </row>
    <row r="1193" spans="1:2">
      <c r="A1193" s="10" t="s">
        <v>1392</v>
      </c>
      <c r="B1193" s="16">
        <v>583.52</v>
      </c>
    </row>
    <row r="1194" spans="1:2">
      <c r="A1194" s="10" t="s">
        <v>1393</v>
      </c>
      <c r="B1194" s="16">
        <v>583.87</v>
      </c>
    </row>
    <row r="1195" spans="1:2">
      <c r="A1195" s="10" t="s">
        <v>1394</v>
      </c>
      <c r="B1195" s="16">
        <v>584.20000000000005</v>
      </c>
    </row>
    <row r="1196" spans="1:2">
      <c r="A1196" s="10" t="s">
        <v>1395</v>
      </c>
      <c r="B1196" s="16">
        <v>586.75</v>
      </c>
    </row>
    <row r="1197" spans="1:2">
      <c r="A1197" s="10" t="s">
        <v>1396</v>
      </c>
      <c r="B1197" s="16">
        <v>589.6</v>
      </c>
    </row>
    <row r="1198" spans="1:2">
      <c r="A1198" s="10" t="s">
        <v>1397</v>
      </c>
      <c r="B1198" s="16">
        <v>589.98</v>
      </c>
    </row>
    <row r="1199" spans="1:2">
      <c r="A1199" s="10" t="s">
        <v>1398</v>
      </c>
      <c r="B1199" s="16">
        <v>592.73</v>
      </c>
    </row>
    <row r="1200" spans="1:2">
      <c r="A1200" s="10" t="s">
        <v>1399</v>
      </c>
      <c r="B1200" s="16">
        <v>593.52</v>
      </c>
    </row>
    <row r="1201" spans="1:2">
      <c r="A1201" s="10" t="s">
        <v>1400</v>
      </c>
      <c r="B1201" s="16">
        <v>593.67999999999995</v>
      </c>
    </row>
    <row r="1202" spans="1:2">
      <c r="A1202" s="10" t="s">
        <v>1401</v>
      </c>
      <c r="B1202" s="16">
        <v>596.48</v>
      </c>
    </row>
    <row r="1203" spans="1:2">
      <c r="A1203" s="10" t="s">
        <v>1402</v>
      </c>
      <c r="B1203" s="16">
        <v>596.46</v>
      </c>
    </row>
    <row r="1204" spans="1:2">
      <c r="A1204" s="10" t="s">
        <v>1403</v>
      </c>
      <c r="B1204" s="16">
        <v>595.99</v>
      </c>
    </row>
    <row r="1205" spans="1:2">
      <c r="A1205" s="10" t="s">
        <v>1404</v>
      </c>
      <c r="B1205" s="16">
        <v>597.14</v>
      </c>
    </row>
    <row r="1206" spans="1:2">
      <c r="A1206" s="10" t="s">
        <v>1405</v>
      </c>
      <c r="B1206" s="16">
        <v>593.12</v>
      </c>
    </row>
    <row r="1207" spans="1:2">
      <c r="A1207" s="10" t="s">
        <v>1406</v>
      </c>
      <c r="B1207" s="16">
        <v>594.5</v>
      </c>
    </row>
    <row r="1208" spans="1:2">
      <c r="A1208" s="10" t="s">
        <v>1407</v>
      </c>
      <c r="B1208" s="16">
        <v>594.24</v>
      </c>
    </row>
    <row r="1209" spans="1:2">
      <c r="A1209" s="10" t="s">
        <v>1408</v>
      </c>
      <c r="B1209" s="16">
        <v>590.57000000000005</v>
      </c>
    </row>
    <row r="1210" spans="1:2">
      <c r="A1210" s="10" t="s">
        <v>1409</v>
      </c>
      <c r="B1210" s="16">
        <v>587.55999999999995</v>
      </c>
    </row>
    <row r="1211" spans="1:2">
      <c r="A1211" s="10" t="s">
        <v>1410</v>
      </c>
      <c r="B1211" s="16">
        <v>589.97</v>
      </c>
    </row>
    <row r="1212" spans="1:2">
      <c r="A1212" s="10" t="s">
        <v>1411</v>
      </c>
      <c r="B1212" s="16">
        <v>594.79</v>
      </c>
    </row>
    <row r="1213" spans="1:2">
      <c r="A1213" s="10" t="s">
        <v>1412</v>
      </c>
      <c r="B1213" s="16">
        <v>602.36</v>
      </c>
    </row>
    <row r="1214" spans="1:2">
      <c r="A1214" s="10" t="s">
        <v>1413</v>
      </c>
      <c r="B1214" s="16">
        <v>611.16999999999996</v>
      </c>
    </row>
    <row r="1215" spans="1:2">
      <c r="A1215" s="10" t="s">
        <v>1414</v>
      </c>
      <c r="B1215" s="16">
        <v>617.38</v>
      </c>
    </row>
    <row r="1216" spans="1:2">
      <c r="A1216" s="10" t="s">
        <v>1415</v>
      </c>
      <c r="B1216" s="16">
        <v>614.29999999999995</v>
      </c>
    </row>
    <row r="1217" spans="1:2">
      <c r="A1217" s="10" t="s">
        <v>1416</v>
      </c>
      <c r="B1217" s="16">
        <v>618.66</v>
      </c>
    </row>
    <row r="1218" spans="1:2">
      <c r="A1218" s="10" t="s">
        <v>1417</v>
      </c>
      <c r="B1218" s="16">
        <v>614.16</v>
      </c>
    </row>
    <row r="1219" spans="1:2">
      <c r="A1219" s="10" t="s">
        <v>1418</v>
      </c>
      <c r="B1219" s="16">
        <v>626.47</v>
      </c>
    </row>
    <row r="1220" spans="1:2">
      <c r="A1220" s="10" t="s">
        <v>1419</v>
      </c>
      <c r="B1220" s="16">
        <v>626.54999999999995</v>
      </c>
    </row>
    <row r="1221" spans="1:2">
      <c r="A1221" s="10" t="s">
        <v>1420</v>
      </c>
      <c r="B1221" s="16">
        <v>626.91</v>
      </c>
    </row>
    <row r="1222" spans="1:2">
      <c r="A1222" s="10" t="s">
        <v>1421</v>
      </c>
      <c r="B1222" s="16">
        <v>631.89</v>
      </c>
    </row>
    <row r="1223" spans="1:2">
      <c r="A1223" s="10" t="s">
        <v>1422</v>
      </c>
      <c r="B1223" s="16">
        <v>628.21</v>
      </c>
    </row>
    <row r="1224" spans="1:2">
      <c r="A1224" s="10" t="s">
        <v>1423</v>
      </c>
      <c r="B1224" s="16">
        <v>626.75</v>
      </c>
    </row>
    <row r="1225" spans="1:2">
      <c r="A1225" s="10" t="s">
        <v>1424</v>
      </c>
      <c r="B1225" s="16">
        <v>627.21</v>
      </c>
    </row>
    <row r="1226" spans="1:2">
      <c r="A1226" s="10" t="s">
        <v>1425</v>
      </c>
      <c r="B1226" s="16">
        <v>627.94000000000005</v>
      </c>
    </row>
    <row r="1227" spans="1:2">
      <c r="A1227" s="10" t="s">
        <v>1426</v>
      </c>
      <c r="B1227" s="16">
        <v>627.24</v>
      </c>
    </row>
    <row r="1228" spans="1:2">
      <c r="A1228" s="10" t="s">
        <v>1427</v>
      </c>
      <c r="B1228" s="16">
        <v>623.24</v>
      </c>
    </row>
    <row r="1229" spans="1:2">
      <c r="A1229" s="10" t="s">
        <v>1428</v>
      </c>
      <c r="B1229" s="16">
        <v>620.5</v>
      </c>
    </row>
    <row r="1230" spans="1:2">
      <c r="A1230" s="10" t="s">
        <v>1429</v>
      </c>
      <c r="B1230" s="16">
        <v>621.86</v>
      </c>
    </row>
    <row r="1231" spans="1:2">
      <c r="A1231" s="10" t="s">
        <v>1430</v>
      </c>
      <c r="B1231" s="16">
        <v>630.74</v>
      </c>
    </row>
    <row r="1232" spans="1:2">
      <c r="A1232" s="10" t="s">
        <v>1431</v>
      </c>
      <c r="B1232" s="16">
        <v>629.12</v>
      </c>
    </row>
    <row r="1233" spans="1:2">
      <c r="A1233" s="10" t="s">
        <v>1432</v>
      </c>
      <c r="B1233" s="16">
        <v>624.86</v>
      </c>
    </row>
    <row r="1234" spans="1:2">
      <c r="A1234" s="10" t="s">
        <v>1433</v>
      </c>
      <c r="B1234" s="16">
        <v>627.05999999999995</v>
      </c>
    </row>
    <row r="1235" spans="1:2">
      <c r="A1235" s="10" t="s">
        <v>1434</v>
      </c>
      <c r="B1235" s="16">
        <v>625.91999999999996</v>
      </c>
    </row>
    <row r="1236" spans="1:2">
      <c r="A1236" s="10" t="s">
        <v>1435</v>
      </c>
      <c r="B1236" s="16">
        <v>624.29</v>
      </c>
    </row>
    <row r="1237" spans="1:2">
      <c r="A1237" s="10" t="s">
        <v>1436</v>
      </c>
      <c r="B1237" s="16">
        <v>629.12</v>
      </c>
    </row>
    <row r="1238" spans="1:2">
      <c r="A1238" s="10" t="s">
        <v>1437</v>
      </c>
      <c r="B1238" s="16">
        <v>619.95000000000005</v>
      </c>
    </row>
    <row r="1239" spans="1:2">
      <c r="A1239" s="10" t="s">
        <v>1438</v>
      </c>
      <c r="B1239" s="16">
        <v>624.15</v>
      </c>
    </row>
    <row r="1240" spans="1:2">
      <c r="A1240" s="10" t="s">
        <v>1439</v>
      </c>
      <c r="B1240" s="16">
        <v>622.08000000000004</v>
      </c>
    </row>
    <row r="1241" spans="1:2">
      <c r="A1241" s="10" t="s">
        <v>1440</v>
      </c>
      <c r="B1241" s="16">
        <v>617.29999999999995</v>
      </c>
    </row>
    <row r="1242" spans="1:2">
      <c r="A1242" s="10" t="s">
        <v>1441</v>
      </c>
      <c r="B1242" s="16">
        <v>618.12</v>
      </c>
    </row>
    <row r="1243" spans="1:2">
      <c r="A1243" s="10" t="s">
        <v>1442</v>
      </c>
      <c r="B1243" s="16">
        <v>619.52</v>
      </c>
    </row>
    <row r="1244" spans="1:2">
      <c r="A1244" s="10" t="s">
        <v>1443</v>
      </c>
      <c r="B1244" s="16">
        <v>618.4</v>
      </c>
    </row>
    <row r="1245" spans="1:2">
      <c r="A1245" s="10" t="s">
        <v>1444</v>
      </c>
      <c r="B1245" s="16">
        <v>612.55999999999995</v>
      </c>
    </row>
    <row r="1246" spans="1:2">
      <c r="A1246" s="10" t="s">
        <v>1445</v>
      </c>
      <c r="B1246" s="16">
        <v>614.36</v>
      </c>
    </row>
    <row r="1247" spans="1:2">
      <c r="A1247" s="10" t="s">
        <v>1446</v>
      </c>
      <c r="B1247" s="16">
        <v>620.38</v>
      </c>
    </row>
    <row r="1248" spans="1:2">
      <c r="A1248" s="10" t="s">
        <v>1447</v>
      </c>
      <c r="B1248" s="16">
        <v>621.92999999999995</v>
      </c>
    </row>
    <row r="1249" spans="1:2">
      <c r="A1249" s="10" t="s">
        <v>1448</v>
      </c>
      <c r="B1249" s="16">
        <v>620.11</v>
      </c>
    </row>
    <row r="1250" spans="1:2">
      <c r="A1250" s="10" t="s">
        <v>1449</v>
      </c>
      <c r="B1250" s="16">
        <v>615.19000000000005</v>
      </c>
    </row>
    <row r="1251" spans="1:2">
      <c r="A1251" s="10" t="s">
        <v>1450</v>
      </c>
      <c r="B1251" s="16">
        <v>607.39</v>
      </c>
    </row>
    <row r="1252" spans="1:2">
      <c r="A1252" s="10" t="s">
        <v>1451</v>
      </c>
      <c r="B1252" s="16">
        <v>611.79</v>
      </c>
    </row>
    <row r="1253" spans="1:2">
      <c r="A1253" s="10" t="s">
        <v>1452</v>
      </c>
      <c r="B1253" s="16">
        <v>610.1</v>
      </c>
    </row>
    <row r="1254" spans="1:2">
      <c r="A1254" s="10" t="s">
        <v>1453</v>
      </c>
      <c r="B1254" s="16">
        <v>614.92999999999995</v>
      </c>
    </row>
    <row r="1255" spans="1:2">
      <c r="A1255" s="10" t="s">
        <v>1454</v>
      </c>
      <c r="B1255" s="16">
        <v>612.73</v>
      </c>
    </row>
    <row r="1256" spans="1:2">
      <c r="A1256" s="10" t="s">
        <v>1455</v>
      </c>
      <c r="B1256" s="16">
        <v>614.86</v>
      </c>
    </row>
    <row r="1257" spans="1:2">
      <c r="A1257" s="10" t="s">
        <v>1456</v>
      </c>
      <c r="B1257" s="16">
        <v>614.12</v>
      </c>
    </row>
    <row r="1258" spans="1:2">
      <c r="A1258" s="10" t="s">
        <v>1457</v>
      </c>
      <c r="B1258" s="16">
        <v>620.21</v>
      </c>
    </row>
    <row r="1259" spans="1:2">
      <c r="A1259" s="10" t="s">
        <v>1458</v>
      </c>
      <c r="B1259" s="16">
        <v>621.88</v>
      </c>
    </row>
    <row r="1260" spans="1:2">
      <c r="A1260" s="10" t="s">
        <v>1459</v>
      </c>
      <c r="B1260" s="16">
        <v>626.97</v>
      </c>
    </row>
    <row r="1261" spans="1:2">
      <c r="A1261" s="10" t="s">
        <v>1460</v>
      </c>
      <c r="B1261" s="16">
        <v>630.91999999999996</v>
      </c>
    </row>
    <row r="1262" spans="1:2">
      <c r="A1262" s="10" t="s">
        <v>1461</v>
      </c>
      <c r="B1262" s="16">
        <v>633.76</v>
      </c>
    </row>
    <row r="1263" spans="1:2">
      <c r="A1263" s="10" t="s">
        <v>1462</v>
      </c>
      <c r="B1263" s="16">
        <v>629.95000000000005</v>
      </c>
    </row>
    <row r="1264" spans="1:2">
      <c r="A1264" s="10" t="s">
        <v>1463</v>
      </c>
      <c r="B1264" s="16">
        <v>632.37</v>
      </c>
    </row>
    <row r="1265" spans="1:2">
      <c r="A1265" s="10" t="s">
        <v>1464</v>
      </c>
      <c r="B1265" s="16">
        <v>631.97</v>
      </c>
    </row>
    <row r="1266" spans="1:2">
      <c r="A1266" s="10" t="s">
        <v>1465</v>
      </c>
      <c r="B1266" s="16">
        <v>638.53</v>
      </c>
    </row>
    <row r="1267" spans="1:2">
      <c r="A1267" s="10" t="s">
        <v>1466</v>
      </c>
      <c r="B1267" s="16">
        <v>638.65</v>
      </c>
    </row>
    <row r="1268" spans="1:2">
      <c r="A1268" s="10" t="s">
        <v>1467</v>
      </c>
      <c r="B1268" s="16">
        <v>636.35</v>
      </c>
    </row>
    <row r="1269" spans="1:2">
      <c r="A1269" s="10" t="s">
        <v>1468</v>
      </c>
      <c r="B1269" s="16">
        <v>635.4</v>
      </c>
    </row>
    <row r="1270" spans="1:2">
      <c r="A1270" s="10" t="s">
        <v>1469</v>
      </c>
      <c r="B1270" s="16">
        <v>633.30999999999995</v>
      </c>
    </row>
    <row r="1271" spans="1:2">
      <c r="A1271" s="10" t="s">
        <v>1470</v>
      </c>
      <c r="B1271" s="16">
        <v>632.58000000000004</v>
      </c>
    </row>
    <row r="1272" spans="1:2">
      <c r="A1272" s="10" t="s">
        <v>1471</v>
      </c>
      <c r="B1272" s="16">
        <v>644.94000000000005</v>
      </c>
    </row>
    <row r="1273" spans="1:2">
      <c r="A1273" s="10" t="s">
        <v>1472</v>
      </c>
      <c r="B1273" s="16">
        <v>643.62</v>
      </c>
    </row>
    <row r="1274" spans="1:2">
      <c r="A1274" s="10" t="s">
        <v>1473</v>
      </c>
      <c r="B1274" s="16">
        <v>644.11</v>
      </c>
    </row>
    <row r="1275" spans="1:2">
      <c r="A1275" s="10" t="s">
        <v>1474</v>
      </c>
      <c r="B1275" s="16">
        <v>640.37</v>
      </c>
    </row>
    <row r="1276" spans="1:2">
      <c r="A1276" s="10" t="s">
        <v>1475</v>
      </c>
      <c r="B1276" s="16">
        <v>640.28</v>
      </c>
    </row>
    <row r="1277" spans="1:2">
      <c r="A1277" s="10" t="s">
        <v>1476</v>
      </c>
      <c r="B1277" s="16">
        <v>641.44000000000005</v>
      </c>
    </row>
    <row r="1278" spans="1:2">
      <c r="A1278" s="10" t="s">
        <v>1477</v>
      </c>
      <c r="B1278" s="16">
        <v>642.80999999999995</v>
      </c>
    </row>
    <row r="1279" spans="1:2">
      <c r="A1279" s="10" t="s">
        <v>1478</v>
      </c>
      <c r="B1279" s="16">
        <v>642.4</v>
      </c>
    </row>
    <row r="1280" spans="1:2">
      <c r="A1280" s="10" t="s">
        <v>1479</v>
      </c>
      <c r="B1280" s="16">
        <v>641.26</v>
      </c>
    </row>
    <row r="1281" spans="1:2">
      <c r="A1281" s="10" t="s">
        <v>1480</v>
      </c>
      <c r="B1281" s="16">
        <v>640.21</v>
      </c>
    </row>
    <row r="1282" spans="1:2">
      <c r="A1282" s="10" t="s">
        <v>1481</v>
      </c>
      <c r="B1282" s="16">
        <v>643.54</v>
      </c>
    </row>
    <row r="1283" spans="1:2">
      <c r="A1283" s="10" t="s">
        <v>1482</v>
      </c>
      <c r="B1283" s="16">
        <v>642.16999999999996</v>
      </c>
    </row>
    <row r="1284" spans="1:2">
      <c r="A1284" s="10" t="s">
        <v>1483</v>
      </c>
      <c r="B1284" s="16">
        <v>642.13</v>
      </c>
    </row>
    <row r="1285" spans="1:2">
      <c r="A1285" s="10" t="s">
        <v>1484</v>
      </c>
      <c r="B1285" s="16">
        <v>640.32000000000005</v>
      </c>
    </row>
    <row r="1286" spans="1:2">
      <c r="A1286" s="10" t="s">
        <v>1485</v>
      </c>
      <c r="B1286" s="16">
        <v>633.16</v>
      </c>
    </row>
    <row r="1287" spans="1:2">
      <c r="A1287" s="10" t="s">
        <v>1486</v>
      </c>
      <c r="B1287" s="16">
        <v>632.88</v>
      </c>
    </row>
    <row r="1288" spans="1:2">
      <c r="A1288" s="10" t="s">
        <v>1487</v>
      </c>
      <c r="B1288" s="16">
        <v>635.30999999999995</v>
      </c>
    </row>
    <row r="1289" spans="1:2">
      <c r="A1289" s="10" t="s">
        <v>1488</v>
      </c>
      <c r="B1289" s="16">
        <v>634.01</v>
      </c>
    </row>
    <row r="1290" spans="1:2">
      <c r="A1290" s="10" t="s">
        <v>1489</v>
      </c>
      <c r="B1290" s="16">
        <v>630.51</v>
      </c>
    </row>
    <row r="1291" spans="1:2">
      <c r="A1291" s="10" t="s">
        <v>1490</v>
      </c>
      <c r="B1291" s="16">
        <v>635.36</v>
      </c>
    </row>
    <row r="1292" spans="1:2">
      <c r="A1292" s="10" t="s">
        <v>1491</v>
      </c>
      <c r="B1292" s="16">
        <v>639.46</v>
      </c>
    </row>
    <row r="1293" spans="1:2">
      <c r="A1293" s="10" t="s">
        <v>1492</v>
      </c>
      <c r="B1293" s="16">
        <v>641.66999999999996</v>
      </c>
    </row>
    <row r="1294" spans="1:2">
      <c r="A1294" s="10" t="s">
        <v>1493</v>
      </c>
      <c r="B1294" s="16">
        <v>643.49</v>
      </c>
    </row>
    <row r="1295" spans="1:2">
      <c r="A1295" s="10" t="s">
        <v>1494</v>
      </c>
      <c r="B1295" s="16">
        <v>642.07000000000005</v>
      </c>
    </row>
    <row r="1296" spans="1:2">
      <c r="A1296" s="10" t="s">
        <v>1495</v>
      </c>
      <c r="B1296" s="16">
        <v>642.48</v>
      </c>
    </row>
    <row r="1297" spans="1:2">
      <c r="A1297" s="10" t="s">
        <v>1496</v>
      </c>
      <c r="B1297" s="16">
        <v>640.02</v>
      </c>
    </row>
    <row r="1298" spans="1:2">
      <c r="A1298" s="10" t="s">
        <v>1497</v>
      </c>
      <c r="B1298" s="16">
        <v>641.26</v>
      </c>
    </row>
    <row r="1299" spans="1:2">
      <c r="A1299" s="10" t="s">
        <v>1498</v>
      </c>
      <c r="B1299" s="16">
        <v>642.71</v>
      </c>
    </row>
    <row r="1300" spans="1:2">
      <c r="A1300" s="10" t="s">
        <v>1499</v>
      </c>
      <c r="B1300" s="16">
        <v>641.54999999999995</v>
      </c>
    </row>
    <row r="1301" spans="1:2">
      <c r="A1301" s="10" t="s">
        <v>1500</v>
      </c>
      <c r="B1301" s="16">
        <v>638.22</v>
      </c>
    </row>
    <row r="1302" spans="1:2">
      <c r="A1302" s="10" t="s">
        <v>1501</v>
      </c>
      <c r="B1302" s="16">
        <v>637.53</v>
      </c>
    </row>
    <row r="1303" spans="1:2">
      <c r="A1303" s="10" t="s">
        <v>1502</v>
      </c>
      <c r="B1303" s="16">
        <v>633.62</v>
      </c>
    </row>
    <row r="1304" spans="1:2">
      <c r="A1304" s="10" t="s">
        <v>1503</v>
      </c>
      <c r="B1304" s="16">
        <v>630.21</v>
      </c>
    </row>
    <row r="1305" spans="1:2">
      <c r="A1305" s="10" t="s">
        <v>1504</v>
      </c>
      <c r="B1305" s="16">
        <v>630.39</v>
      </c>
    </row>
    <row r="1306" spans="1:2">
      <c r="A1306" s="10" t="s">
        <v>1505</v>
      </c>
      <c r="B1306" s="16">
        <v>632.71</v>
      </c>
    </row>
    <row r="1307" spans="1:2">
      <c r="A1307" s="10" t="s">
        <v>1506</v>
      </c>
      <c r="B1307" s="16">
        <v>634.49</v>
      </c>
    </row>
    <row r="1308" spans="1:2">
      <c r="A1308" s="10" t="s">
        <v>1507</v>
      </c>
      <c r="B1308" s="16">
        <v>643.34</v>
      </c>
    </row>
    <row r="1309" spans="1:2">
      <c r="A1309" s="10" t="s">
        <v>1508</v>
      </c>
      <c r="B1309" s="16">
        <v>643.76</v>
      </c>
    </row>
    <row r="1310" spans="1:2">
      <c r="A1310" s="10" t="s">
        <v>1509</v>
      </c>
      <c r="B1310" s="16">
        <v>644.38</v>
      </c>
    </row>
    <row r="1311" spans="1:2">
      <c r="A1311" s="10" t="s">
        <v>1510</v>
      </c>
      <c r="B1311" s="16">
        <v>644.03</v>
      </c>
    </row>
    <row r="1312" spans="1:2">
      <c r="A1312" s="10" t="s">
        <v>1511</v>
      </c>
      <c r="B1312" s="16">
        <v>642.62</v>
      </c>
    </row>
    <row r="1313" spans="1:2">
      <c r="A1313" s="10" t="s">
        <v>1512</v>
      </c>
      <c r="B1313" s="16">
        <v>642.1</v>
      </c>
    </row>
    <row r="1314" spans="1:2">
      <c r="A1314" s="10" t="s">
        <v>1513</v>
      </c>
      <c r="B1314" s="16">
        <v>644.82000000000005</v>
      </c>
    </row>
    <row r="1315" spans="1:2">
      <c r="A1315" s="10" t="s">
        <v>1514</v>
      </c>
      <c r="B1315" s="16">
        <v>645.20000000000005</v>
      </c>
    </row>
    <row r="1316" spans="1:2">
      <c r="A1316" s="10" t="s">
        <v>1515</v>
      </c>
      <c r="B1316" s="16">
        <v>647.38</v>
      </c>
    </row>
    <row r="1317" spans="1:2">
      <c r="A1317" s="10" t="s">
        <v>1516</v>
      </c>
      <c r="B1317" s="16">
        <v>650.26</v>
      </c>
    </row>
    <row r="1318" spans="1:2">
      <c r="A1318" s="10" t="s">
        <v>1517</v>
      </c>
      <c r="B1318" s="16">
        <v>651.29999999999995</v>
      </c>
    </row>
    <row r="1319" spans="1:2">
      <c r="A1319" s="10" t="s">
        <v>1518</v>
      </c>
      <c r="B1319" s="16">
        <v>652.76</v>
      </c>
    </row>
    <row r="1320" spans="1:2">
      <c r="A1320" s="10" t="s">
        <v>1519</v>
      </c>
      <c r="B1320" s="16">
        <v>653.87</v>
      </c>
    </row>
    <row r="1321" spans="1:2">
      <c r="A1321" s="10" t="s">
        <v>1520</v>
      </c>
      <c r="B1321" s="16">
        <v>652.17999999999995</v>
      </c>
    </row>
    <row r="1322" spans="1:2">
      <c r="A1322" s="10" t="s">
        <v>1521</v>
      </c>
      <c r="B1322" s="16">
        <v>651.70000000000005</v>
      </c>
    </row>
    <row r="1323" spans="1:2">
      <c r="A1323" s="10" t="s">
        <v>1522</v>
      </c>
      <c r="B1323" s="16">
        <v>651.55999999999995</v>
      </c>
    </row>
    <row r="1324" spans="1:2">
      <c r="A1324" s="10" t="s">
        <v>1523</v>
      </c>
      <c r="B1324" s="16">
        <v>648.72</v>
      </c>
    </row>
    <row r="1325" spans="1:2">
      <c r="A1325" s="10" t="s">
        <v>1524</v>
      </c>
      <c r="B1325" s="16">
        <v>634.27</v>
      </c>
    </row>
    <row r="1326" spans="1:2">
      <c r="A1326" s="10" t="s">
        <v>1525</v>
      </c>
      <c r="B1326" s="16">
        <v>634.87</v>
      </c>
    </row>
    <row r="1327" spans="1:2">
      <c r="A1327" s="10" t="s">
        <v>1526</v>
      </c>
      <c r="B1327" s="16">
        <v>637.04</v>
      </c>
    </row>
    <row r="1328" spans="1:2">
      <c r="A1328" s="10" t="s">
        <v>1527</v>
      </c>
      <c r="B1328" s="16">
        <v>637.14</v>
      </c>
    </row>
    <row r="1329" spans="1:2">
      <c r="A1329" s="10" t="s">
        <v>1528</v>
      </c>
      <c r="B1329" s="16">
        <v>640.55999999999995</v>
      </c>
    </row>
    <row r="1330" spans="1:2">
      <c r="A1330" s="10" t="s">
        <v>1529</v>
      </c>
      <c r="B1330" s="16">
        <v>642.41999999999996</v>
      </c>
    </row>
    <row r="1331" spans="1:2">
      <c r="A1331" s="10" t="s">
        <v>1530</v>
      </c>
      <c r="B1331" s="16">
        <v>642.54</v>
      </c>
    </row>
    <row r="1332" spans="1:2">
      <c r="A1332" s="10" t="s">
        <v>1531</v>
      </c>
      <c r="B1332" s="16">
        <v>643.25</v>
      </c>
    </row>
    <row r="1333" spans="1:2">
      <c r="A1333" s="10" t="s">
        <v>1532</v>
      </c>
      <c r="B1333" s="16">
        <v>642.55999999999995</v>
      </c>
    </row>
    <row r="1334" spans="1:2">
      <c r="A1334" s="10" t="s">
        <v>1533</v>
      </c>
      <c r="B1334" s="16">
        <v>641.78</v>
      </c>
    </row>
    <row r="1335" spans="1:2">
      <c r="A1335" s="10" t="s">
        <v>1534</v>
      </c>
      <c r="B1335" s="16">
        <v>638.54999999999995</v>
      </c>
    </row>
    <row r="1336" spans="1:2">
      <c r="A1336" s="10" t="s">
        <v>1535</v>
      </c>
      <c r="B1336" s="16">
        <v>642.58000000000004</v>
      </c>
    </row>
    <row r="1337" spans="1:2">
      <c r="A1337" s="10" t="s">
        <v>1536</v>
      </c>
      <c r="B1337" s="16">
        <v>644.62</v>
      </c>
    </row>
    <row r="1338" spans="1:2">
      <c r="A1338" s="10" t="s">
        <v>1537</v>
      </c>
      <c r="B1338" s="16">
        <v>643.77</v>
      </c>
    </row>
    <row r="1339" spans="1:2">
      <c r="A1339" s="10" t="s">
        <v>1538</v>
      </c>
      <c r="B1339" s="16">
        <v>640.79</v>
      </c>
    </row>
    <row r="1340" spans="1:2">
      <c r="A1340" s="10" t="s">
        <v>1539</v>
      </c>
      <c r="B1340" s="16">
        <v>642.15</v>
      </c>
    </row>
    <row r="1341" spans="1:2">
      <c r="A1341" s="10" t="s">
        <v>1540</v>
      </c>
      <c r="B1341" s="16">
        <v>643.77</v>
      </c>
    </row>
    <row r="1342" spans="1:2">
      <c r="A1342" s="10" t="s">
        <v>1541</v>
      </c>
      <c r="B1342" s="16">
        <v>645.16999999999996</v>
      </c>
    </row>
    <row r="1343" spans="1:2">
      <c r="A1343" s="10" t="s">
        <v>1542</v>
      </c>
      <c r="B1343" s="16">
        <v>640.54999999999995</v>
      </c>
    </row>
    <row r="1344" spans="1:2">
      <c r="A1344" s="10" t="s">
        <v>1543</v>
      </c>
      <c r="B1344" s="16">
        <v>642.51</v>
      </c>
    </row>
    <row r="1345" spans="1:2">
      <c r="A1345" s="10" t="s">
        <v>1544</v>
      </c>
      <c r="B1345" s="16">
        <v>639.41</v>
      </c>
    </row>
    <row r="1346" spans="1:2">
      <c r="A1346" s="10" t="s">
        <v>1545</v>
      </c>
      <c r="B1346" s="16">
        <v>640.84</v>
      </c>
    </row>
    <row r="1347" spans="1:2">
      <c r="A1347" s="10" t="s">
        <v>1546</v>
      </c>
      <c r="B1347" s="16">
        <v>640.52</v>
      </c>
    </row>
    <row r="1348" spans="1:2">
      <c r="A1348" s="10" t="s">
        <v>1547</v>
      </c>
      <c r="B1348" s="16">
        <v>647.91</v>
      </c>
    </row>
    <row r="1349" spans="1:2">
      <c r="A1349" s="10" t="s">
        <v>1548</v>
      </c>
      <c r="B1349" s="16">
        <v>644.86</v>
      </c>
    </row>
    <row r="1350" spans="1:2">
      <c r="A1350" s="10" t="s">
        <v>1549</v>
      </c>
      <c r="B1350" s="16">
        <v>643.58000000000004</v>
      </c>
    </row>
    <row r="1351" spans="1:2">
      <c r="A1351" s="10" t="s">
        <v>1550</v>
      </c>
      <c r="B1351" s="16">
        <v>642.4</v>
      </c>
    </row>
    <row r="1352" spans="1:2">
      <c r="A1352" s="10" t="s">
        <v>1551</v>
      </c>
      <c r="B1352" s="16">
        <v>640.47</v>
      </c>
    </row>
    <row r="1353" spans="1:2">
      <c r="A1353" s="10" t="s">
        <v>1552</v>
      </c>
      <c r="B1353" s="16">
        <v>641.57000000000005</v>
      </c>
    </row>
    <row r="1354" spans="1:2">
      <c r="A1354" s="10" t="s">
        <v>1553</v>
      </c>
      <c r="B1354" s="16">
        <v>633.66999999999996</v>
      </c>
    </row>
    <row r="1355" spans="1:2">
      <c r="A1355" s="10" t="s">
        <v>1554</v>
      </c>
      <c r="B1355" s="16">
        <v>634.45000000000005</v>
      </c>
    </row>
    <row r="1356" spans="1:2">
      <c r="A1356" s="10" t="s">
        <v>1555</v>
      </c>
      <c r="B1356" s="16">
        <v>624.17999999999995</v>
      </c>
    </row>
    <row r="1357" spans="1:2">
      <c r="A1357" s="10" t="s">
        <v>1556</v>
      </c>
      <c r="B1357" s="16">
        <v>623.36</v>
      </c>
    </row>
    <row r="1358" spans="1:2">
      <c r="A1358" s="10" t="s">
        <v>1557</v>
      </c>
      <c r="B1358" s="16">
        <v>628.74</v>
      </c>
    </row>
    <row r="1359" spans="1:2">
      <c r="A1359" s="10" t="s">
        <v>1558</v>
      </c>
      <c r="B1359" s="16">
        <v>628.26</v>
      </c>
    </row>
    <row r="1360" spans="1:2">
      <c r="A1360" s="10" t="s">
        <v>1559</v>
      </c>
      <c r="B1360" s="16">
        <v>630.08000000000004</v>
      </c>
    </row>
    <row r="1361" spans="1:2">
      <c r="A1361" s="10" t="s">
        <v>1560</v>
      </c>
      <c r="B1361" s="16">
        <v>623.29</v>
      </c>
    </row>
    <row r="1362" spans="1:2">
      <c r="A1362" s="10" t="s">
        <v>1561</v>
      </c>
      <c r="B1362" s="16">
        <v>625.92999999999995</v>
      </c>
    </row>
    <row r="1363" spans="1:2">
      <c r="A1363" s="10" t="s">
        <v>1562</v>
      </c>
      <c r="B1363" s="16">
        <v>627.37</v>
      </c>
    </row>
    <row r="1364" spans="1:2">
      <c r="A1364" s="10" t="s">
        <v>1563</v>
      </c>
      <c r="B1364" s="16">
        <v>624.77</v>
      </c>
    </row>
    <row r="1365" spans="1:2">
      <c r="A1365" s="10" t="s">
        <v>1564</v>
      </c>
      <c r="B1365" s="16">
        <v>630.87</v>
      </c>
    </row>
    <row r="1366" spans="1:2">
      <c r="A1366" s="10" t="s">
        <v>1565</v>
      </c>
      <c r="B1366" s="16">
        <v>633.39</v>
      </c>
    </row>
    <row r="1367" spans="1:2">
      <c r="A1367" s="10" t="s">
        <v>1566</v>
      </c>
      <c r="B1367" s="16">
        <v>633.48</v>
      </c>
    </row>
    <row r="1368" spans="1:2">
      <c r="A1368" s="10" t="s">
        <v>1567</v>
      </c>
      <c r="B1368" s="16">
        <v>631.5</v>
      </c>
    </row>
    <row r="1369" spans="1:2">
      <c r="A1369" s="10" t="s">
        <v>1568</v>
      </c>
      <c r="B1369" s="16">
        <v>624.98</v>
      </c>
    </row>
    <row r="1370" spans="1:2">
      <c r="A1370" s="10" t="s">
        <v>1569</v>
      </c>
      <c r="B1370" s="16">
        <v>629.9</v>
      </c>
    </row>
    <row r="1371" spans="1:2">
      <c r="A1371" s="10" t="s">
        <v>1570</v>
      </c>
      <c r="B1371" s="16">
        <v>626.47</v>
      </c>
    </row>
    <row r="1372" spans="1:2">
      <c r="A1372" s="10" t="s">
        <v>1571</v>
      </c>
      <c r="B1372" s="16">
        <v>621.38</v>
      </c>
    </row>
    <row r="1373" spans="1:2">
      <c r="A1373" s="10" t="s">
        <v>1572</v>
      </c>
      <c r="B1373" s="16">
        <v>620.92999999999995</v>
      </c>
    </row>
    <row r="1374" spans="1:2">
      <c r="A1374" s="10" t="s">
        <v>1573</v>
      </c>
      <c r="B1374" s="16">
        <v>623.28</v>
      </c>
    </row>
    <row r="1375" spans="1:2">
      <c r="A1375" s="10" t="s">
        <v>1574</v>
      </c>
      <c r="B1375" s="16">
        <v>626.08000000000004</v>
      </c>
    </row>
    <row r="1376" spans="1:2">
      <c r="A1376" s="10" t="s">
        <v>1575</v>
      </c>
      <c r="B1376" s="16">
        <v>624.91999999999996</v>
      </c>
    </row>
    <row r="1377" spans="1:2">
      <c r="A1377" s="10" t="s">
        <v>1576</v>
      </c>
      <c r="B1377" s="16">
        <v>619.48</v>
      </c>
    </row>
    <row r="1378" spans="1:2">
      <c r="A1378" s="10" t="s">
        <v>1577</v>
      </c>
      <c r="B1378" s="16">
        <v>617.04999999999995</v>
      </c>
    </row>
    <row r="1379" spans="1:2">
      <c r="A1379" s="10" t="s">
        <v>1578</v>
      </c>
      <c r="B1379" s="16">
        <v>620.17999999999995</v>
      </c>
    </row>
    <row r="1380" spans="1:2">
      <c r="A1380" s="10" t="s">
        <v>1579</v>
      </c>
      <c r="B1380" s="16">
        <v>618.73</v>
      </c>
    </row>
    <row r="1381" spans="1:2">
      <c r="A1381" s="10" t="s">
        <v>1580</v>
      </c>
      <c r="B1381" s="16">
        <v>618.05999999999995</v>
      </c>
    </row>
    <row r="1382" spans="1:2">
      <c r="A1382" s="10" t="s">
        <v>1581</v>
      </c>
      <c r="B1382" s="16">
        <v>626.19000000000005</v>
      </c>
    </row>
    <row r="1383" spans="1:2">
      <c r="A1383" s="10" t="s">
        <v>1582</v>
      </c>
      <c r="B1383" s="16">
        <v>625.44000000000005</v>
      </c>
    </row>
    <row r="1384" spans="1:2">
      <c r="A1384" s="10" t="s">
        <v>1583</v>
      </c>
      <c r="B1384" s="16">
        <v>627.5</v>
      </c>
    </row>
    <row r="1385" spans="1:2">
      <c r="A1385" s="10" t="s">
        <v>1584</v>
      </c>
      <c r="B1385" s="16">
        <v>624.04999999999995</v>
      </c>
    </row>
    <row r="1386" spans="1:2">
      <c r="A1386" s="10" t="s">
        <v>1585</v>
      </c>
      <c r="B1386" s="16">
        <v>615.72</v>
      </c>
    </row>
    <row r="1387" spans="1:2">
      <c r="A1387" s="10" t="s">
        <v>1586</v>
      </c>
      <c r="B1387" s="16">
        <v>613.27</v>
      </c>
    </row>
    <row r="1388" spans="1:2">
      <c r="A1388" s="10" t="s">
        <v>1587</v>
      </c>
      <c r="B1388" s="16">
        <v>620.54</v>
      </c>
    </row>
    <row r="1389" spans="1:2">
      <c r="A1389" s="10" t="s">
        <v>1588</v>
      </c>
      <c r="B1389" s="16">
        <v>623.1</v>
      </c>
    </row>
    <row r="1390" spans="1:2">
      <c r="A1390" s="10" t="s">
        <v>1589</v>
      </c>
      <c r="B1390" s="16">
        <v>625.73</v>
      </c>
    </row>
    <row r="1391" spans="1:2">
      <c r="A1391" s="10" t="s">
        <v>1590</v>
      </c>
      <c r="B1391" s="16">
        <v>617.34</v>
      </c>
    </row>
    <row r="1392" spans="1:2">
      <c r="A1392" s="10" t="s">
        <v>1591</v>
      </c>
      <c r="B1392" s="16">
        <v>615.07000000000005</v>
      </c>
    </row>
    <row r="1393" spans="1:2">
      <c r="A1393" s="10" t="s">
        <v>1592</v>
      </c>
      <c r="B1393" s="16">
        <v>611.09</v>
      </c>
    </row>
    <row r="1394" spans="1:2">
      <c r="A1394" s="10" t="s">
        <v>1593</v>
      </c>
      <c r="B1394" s="16">
        <v>618.41</v>
      </c>
    </row>
    <row r="1395" spans="1:2">
      <c r="A1395" s="10" t="s">
        <v>1594</v>
      </c>
      <c r="B1395" s="16">
        <v>614.4</v>
      </c>
    </row>
    <row r="1396" spans="1:2">
      <c r="A1396" s="10" t="s">
        <v>1595</v>
      </c>
      <c r="B1396" s="16">
        <v>614.16999999999996</v>
      </c>
    </row>
    <row r="1397" spans="1:2">
      <c r="A1397" s="10" t="s">
        <v>1596</v>
      </c>
      <c r="B1397" s="16">
        <v>612.6</v>
      </c>
    </row>
    <row r="1398" spans="1:2">
      <c r="A1398" s="10" t="s">
        <v>1597</v>
      </c>
      <c r="B1398" s="16">
        <v>609.28</v>
      </c>
    </row>
    <row r="1399" spans="1:2">
      <c r="A1399" s="10" t="s">
        <v>1598</v>
      </c>
      <c r="B1399" s="16">
        <v>604.74</v>
      </c>
    </row>
    <row r="1400" spans="1:2">
      <c r="A1400" s="10" t="s">
        <v>1599</v>
      </c>
      <c r="B1400" s="16">
        <v>610.20000000000005</v>
      </c>
    </row>
    <row r="1401" spans="1:2">
      <c r="A1401" s="10" t="s">
        <v>1600</v>
      </c>
      <c r="B1401" s="16">
        <v>613.85</v>
      </c>
    </row>
    <row r="1402" spans="1:2">
      <c r="A1402" s="10" t="s">
        <v>1601</v>
      </c>
      <c r="B1402" s="16">
        <v>616.45000000000005</v>
      </c>
    </row>
    <row r="1403" spans="1:2">
      <c r="A1403" s="10" t="s">
        <v>1602</v>
      </c>
      <c r="B1403" s="16">
        <v>614.04</v>
      </c>
    </row>
    <row r="1404" spans="1:2">
      <c r="A1404" s="10" t="s">
        <v>1603</v>
      </c>
      <c r="B1404" s="16">
        <v>609.73</v>
      </c>
    </row>
    <row r="1405" spans="1:2">
      <c r="A1405" s="10" t="s">
        <v>1604</v>
      </c>
      <c r="B1405" s="16">
        <v>610.64</v>
      </c>
    </row>
    <row r="1406" spans="1:2">
      <c r="A1406" s="10" t="s">
        <v>1605</v>
      </c>
      <c r="B1406" s="16">
        <v>608.94000000000005</v>
      </c>
    </row>
    <row r="1407" spans="1:2">
      <c r="A1407" s="10" t="s">
        <v>1606</v>
      </c>
      <c r="B1407" s="16">
        <v>607.55999999999995</v>
      </c>
    </row>
    <row r="1408" spans="1:2">
      <c r="A1408" s="10" t="s">
        <v>1607</v>
      </c>
      <c r="B1408" s="16">
        <v>616.05999999999995</v>
      </c>
    </row>
    <row r="1409" spans="1:2">
      <c r="A1409" s="10" t="s">
        <v>1608</v>
      </c>
      <c r="B1409" s="16">
        <v>620.19000000000005</v>
      </c>
    </row>
    <row r="1410" spans="1:2">
      <c r="A1410" s="10" t="s">
        <v>1609</v>
      </c>
      <c r="B1410" s="16">
        <v>622.44000000000005</v>
      </c>
    </row>
    <row r="1411" spans="1:2">
      <c r="A1411" s="10" t="s">
        <v>1610</v>
      </c>
      <c r="B1411" s="16">
        <v>623.02</v>
      </c>
    </row>
    <row r="1412" spans="1:2">
      <c r="A1412" s="10" t="s">
        <v>1611</v>
      </c>
      <c r="B1412" s="16">
        <v>620.23</v>
      </c>
    </row>
    <row r="1413" spans="1:2">
      <c r="A1413" s="10" t="s">
        <v>1612</v>
      </c>
      <c r="B1413" s="16">
        <v>621.96</v>
      </c>
    </row>
    <row r="1414" spans="1:2">
      <c r="A1414" s="10" t="s">
        <v>1613</v>
      </c>
      <c r="B1414" s="16">
        <v>622.26</v>
      </c>
    </row>
    <row r="1415" spans="1:2">
      <c r="A1415" s="10" t="s">
        <v>1614</v>
      </c>
      <c r="B1415" s="16">
        <v>620.98</v>
      </c>
    </row>
    <row r="1416" spans="1:2">
      <c r="A1416" s="10" t="s">
        <v>1615</v>
      </c>
      <c r="B1416" s="16">
        <v>622.20000000000005</v>
      </c>
    </row>
    <row r="1417" spans="1:2">
      <c r="A1417" s="10" t="s">
        <v>1616</v>
      </c>
      <c r="B1417" s="16">
        <v>621.02</v>
      </c>
    </row>
    <row r="1418" spans="1:2">
      <c r="A1418" s="10" t="s">
        <v>1617</v>
      </c>
      <c r="B1418" s="16">
        <v>621.47</v>
      </c>
    </row>
    <row r="1419" spans="1:2">
      <c r="A1419" s="10" t="s">
        <v>1618</v>
      </c>
      <c r="B1419" s="16">
        <v>624</v>
      </c>
    </row>
    <row r="1420" spans="1:2">
      <c r="A1420" s="10" t="s">
        <v>1619</v>
      </c>
      <c r="B1420" s="16">
        <v>627.65</v>
      </c>
    </row>
    <row r="1421" spans="1:2">
      <c r="A1421" s="10" t="s">
        <v>1620</v>
      </c>
      <c r="B1421" s="16">
        <v>626.99</v>
      </c>
    </row>
    <row r="1422" spans="1:2">
      <c r="A1422" s="10" t="s">
        <v>1621</v>
      </c>
      <c r="B1422" s="16">
        <v>629.48</v>
      </c>
    </row>
    <row r="1423" spans="1:2">
      <c r="A1423" s="10" t="s">
        <v>1622</v>
      </c>
      <c r="B1423" s="16">
        <v>634.34</v>
      </c>
    </row>
    <row r="1424" spans="1:2">
      <c r="A1424" s="10" t="s">
        <v>1623</v>
      </c>
      <c r="B1424" s="16">
        <v>634.64</v>
      </c>
    </row>
    <row r="1425" spans="1:2">
      <c r="A1425" s="10" t="s">
        <v>1624</v>
      </c>
      <c r="B1425" s="16">
        <v>632.76</v>
      </c>
    </row>
    <row r="1426" spans="1:2">
      <c r="A1426" s="10" t="s">
        <v>1625</v>
      </c>
      <c r="B1426" s="16">
        <v>637.57000000000005</v>
      </c>
    </row>
    <row r="1427" spans="1:2">
      <c r="A1427" s="10" t="s">
        <v>1626</v>
      </c>
      <c r="B1427" s="16">
        <v>635.9</v>
      </c>
    </row>
    <row r="1428" spans="1:2">
      <c r="A1428" s="10" t="s">
        <v>1627</v>
      </c>
      <c r="B1428" s="16">
        <v>635.54</v>
      </c>
    </row>
    <row r="1429" spans="1:2">
      <c r="A1429" s="10" t="s">
        <v>1628</v>
      </c>
      <c r="B1429" s="16">
        <v>633.28</v>
      </c>
    </row>
    <row r="1430" spans="1:2">
      <c r="A1430" s="10" t="s">
        <v>1629</v>
      </c>
      <c r="B1430" s="16">
        <v>633.27</v>
      </c>
    </row>
    <row r="1431" spans="1:2">
      <c r="A1431" s="10" t="s">
        <v>1630</v>
      </c>
      <c r="B1431" s="16">
        <v>631.1</v>
      </c>
    </row>
    <row r="1432" spans="1:2">
      <c r="A1432" s="10" t="s">
        <v>1631</v>
      </c>
      <c r="B1432" s="16">
        <v>631.66</v>
      </c>
    </row>
    <row r="1433" spans="1:2">
      <c r="A1433" s="10" t="s">
        <v>1632</v>
      </c>
      <c r="B1433" s="16">
        <v>633.64</v>
      </c>
    </row>
    <row r="1434" spans="1:2">
      <c r="A1434" s="10" t="s">
        <v>1633</v>
      </c>
      <c r="B1434" s="16">
        <v>634.78</v>
      </c>
    </row>
    <row r="1435" spans="1:2">
      <c r="A1435" s="10" t="s">
        <v>1634</v>
      </c>
      <c r="B1435" s="16">
        <v>635.76</v>
      </c>
    </row>
    <row r="1436" spans="1:2">
      <c r="A1436" s="10" t="s">
        <v>1635</v>
      </c>
      <c r="B1436" s="16">
        <v>631.79999999999995</v>
      </c>
    </row>
    <row r="1437" spans="1:2">
      <c r="A1437" s="10" t="s">
        <v>1636</v>
      </c>
      <c r="B1437" s="16">
        <v>635.14</v>
      </c>
    </row>
    <row r="1438" spans="1:2">
      <c r="A1438" s="10" t="s">
        <v>1637</v>
      </c>
      <c r="B1438" s="16">
        <v>634.64</v>
      </c>
    </row>
    <row r="1439" spans="1:2">
      <c r="A1439" s="10" t="s">
        <v>1638</v>
      </c>
      <c r="B1439" s="16">
        <v>634.78</v>
      </c>
    </row>
    <row r="1440" spans="1:2">
      <c r="A1440" s="10" t="s">
        <v>1639</v>
      </c>
      <c r="B1440" s="16">
        <v>630.73</v>
      </c>
    </row>
    <row r="1441" spans="1:2">
      <c r="A1441" s="10" t="s">
        <v>1640</v>
      </c>
      <c r="B1441" s="16">
        <v>637.62</v>
      </c>
    </row>
    <row r="1442" spans="1:2">
      <c r="A1442" s="10" t="s">
        <v>1641</v>
      </c>
      <c r="B1442" s="16">
        <v>646.28</v>
      </c>
    </row>
    <row r="1443" spans="1:2">
      <c r="A1443" s="10" t="s">
        <v>1642</v>
      </c>
      <c r="B1443" s="16">
        <v>643.92999999999995</v>
      </c>
    </row>
    <row r="1444" spans="1:2">
      <c r="A1444" s="10" t="s">
        <v>1643</v>
      </c>
      <c r="B1444" s="16">
        <v>643.67999999999995</v>
      </c>
    </row>
    <row r="1445" spans="1:2">
      <c r="A1445" s="10" t="s">
        <v>1644</v>
      </c>
      <c r="B1445" s="16">
        <v>647.78</v>
      </c>
    </row>
    <row r="1446" spans="1:2">
      <c r="A1446" s="10" t="s">
        <v>1645</v>
      </c>
      <c r="B1446" s="16">
        <v>645.30999999999995</v>
      </c>
    </row>
    <row r="1447" spans="1:2">
      <c r="A1447" s="10" t="s">
        <v>1646</v>
      </c>
      <c r="B1447" s="16">
        <v>648.97</v>
      </c>
    </row>
    <row r="1448" spans="1:2">
      <c r="A1448" s="10" t="s">
        <v>1647</v>
      </c>
      <c r="B1448" s="16">
        <v>648.61</v>
      </c>
    </row>
    <row r="1449" spans="1:2">
      <c r="A1449" s="10" t="s">
        <v>1648</v>
      </c>
      <c r="B1449" s="16">
        <v>647.80999999999995</v>
      </c>
    </row>
    <row r="1450" spans="1:2">
      <c r="A1450" s="10" t="s">
        <v>1649</v>
      </c>
      <c r="B1450" s="16">
        <v>648.02</v>
      </c>
    </row>
    <row r="1451" spans="1:2">
      <c r="A1451" s="10" t="s">
        <v>1650</v>
      </c>
      <c r="B1451" s="16">
        <v>642.09</v>
      </c>
    </row>
    <row r="1452" spans="1:2">
      <c r="A1452" s="10" t="s">
        <v>1651</v>
      </c>
      <c r="B1452" s="16">
        <v>639.91999999999996</v>
      </c>
    </row>
    <row r="1453" spans="1:2">
      <c r="A1453" s="10" t="s">
        <v>1652</v>
      </c>
      <c r="B1453" s="16">
        <v>637.94000000000005</v>
      </c>
    </row>
    <row r="1454" spans="1:2">
      <c r="A1454" s="10" t="s">
        <v>1653</v>
      </c>
      <c r="B1454" s="16">
        <v>632.34</v>
      </c>
    </row>
    <row r="1455" spans="1:2">
      <c r="A1455" s="10" t="s">
        <v>1654</v>
      </c>
      <c r="B1455" s="16">
        <v>628.23</v>
      </c>
    </row>
    <row r="1456" spans="1:2">
      <c r="A1456" s="10" t="s">
        <v>1655</v>
      </c>
      <c r="B1456" s="16">
        <v>633.36</v>
      </c>
    </row>
    <row r="1457" spans="1:2">
      <c r="A1457" s="10" t="s">
        <v>1656</v>
      </c>
      <c r="B1457" s="16">
        <v>630.29999999999995</v>
      </c>
    </row>
    <row r="1458" spans="1:2">
      <c r="A1458" s="10" t="s">
        <v>1657</v>
      </c>
      <c r="B1458" s="16">
        <v>632.05999999999995</v>
      </c>
    </row>
    <row r="1459" spans="1:2">
      <c r="A1459" s="10" t="s">
        <v>1658</v>
      </c>
      <c r="B1459" s="16">
        <v>637.14</v>
      </c>
    </row>
    <row r="1460" spans="1:2">
      <c r="A1460" s="10" t="s">
        <v>1659</v>
      </c>
      <c r="B1460" s="16">
        <v>633.53</v>
      </c>
    </row>
    <row r="1461" spans="1:2">
      <c r="A1461" s="10" t="s">
        <v>1660</v>
      </c>
      <c r="B1461" s="16">
        <v>632.19000000000005</v>
      </c>
    </row>
    <row r="1462" spans="1:2">
      <c r="A1462" s="10" t="s">
        <v>1661</v>
      </c>
      <c r="B1462" s="16">
        <v>630.91</v>
      </c>
    </row>
    <row r="1463" spans="1:2">
      <c r="A1463" s="10" t="s">
        <v>1662</v>
      </c>
      <c r="B1463" s="16">
        <v>629.15</v>
      </c>
    </row>
    <row r="1464" spans="1:2">
      <c r="A1464" s="10" t="s">
        <v>1663</v>
      </c>
      <c r="B1464" s="16">
        <v>635.41999999999996</v>
      </c>
    </row>
    <row r="1465" spans="1:2">
      <c r="A1465" s="10" t="s">
        <v>1664</v>
      </c>
      <c r="B1465" s="16">
        <v>635.28</v>
      </c>
    </row>
    <row r="1466" spans="1:2">
      <c r="A1466" s="10" t="s">
        <v>1665</v>
      </c>
      <c r="B1466" s="16">
        <v>634.94000000000005</v>
      </c>
    </row>
    <row r="1467" spans="1:2">
      <c r="A1467" s="10" t="s">
        <v>1666</v>
      </c>
      <c r="B1467" s="16">
        <v>632.69000000000005</v>
      </c>
    </row>
    <row r="1468" spans="1:2">
      <c r="A1468" s="10" t="s">
        <v>1667</v>
      </c>
      <c r="B1468" s="16">
        <v>636.41</v>
      </c>
    </row>
    <row r="1469" spans="1:2">
      <c r="A1469" s="10" t="s">
        <v>1668</v>
      </c>
      <c r="B1469" s="16">
        <v>635.20000000000005</v>
      </c>
    </row>
    <row r="1470" spans="1:2">
      <c r="A1470" s="10" t="s">
        <v>1669</v>
      </c>
      <c r="B1470" s="16">
        <v>635.03</v>
      </c>
    </row>
    <row r="1471" spans="1:2">
      <c r="A1471" s="10" t="s">
        <v>1670</v>
      </c>
      <c r="B1471" s="16">
        <v>636.45000000000005</v>
      </c>
    </row>
    <row r="1472" spans="1:2">
      <c r="A1472" s="10" t="s">
        <v>1671</v>
      </c>
      <c r="B1472" s="16">
        <v>642.07000000000005</v>
      </c>
    </row>
    <row r="1473" spans="1:2">
      <c r="A1473" s="10" t="s">
        <v>1672</v>
      </c>
      <c r="B1473" s="16">
        <v>641.94000000000005</v>
      </c>
    </row>
    <row r="1474" spans="1:2">
      <c r="A1474" s="10" t="s">
        <v>1673</v>
      </c>
      <c r="B1474" s="16">
        <v>646.26</v>
      </c>
    </row>
    <row r="1475" spans="1:2">
      <c r="A1475" s="10" t="s">
        <v>1674</v>
      </c>
      <c r="B1475" s="16">
        <v>643.22</v>
      </c>
    </row>
    <row r="1476" spans="1:2">
      <c r="A1476" s="10" t="s">
        <v>1675</v>
      </c>
      <c r="B1476" s="16">
        <v>639.66</v>
      </c>
    </row>
    <row r="1477" spans="1:2">
      <c r="A1477" s="10" t="s">
        <v>1676</v>
      </c>
      <c r="B1477" s="16">
        <v>643.39</v>
      </c>
    </row>
    <row r="1478" spans="1:2">
      <c r="A1478" s="10" t="s">
        <v>1677</v>
      </c>
      <c r="B1478" s="16">
        <v>647.21</v>
      </c>
    </row>
    <row r="1479" spans="1:2">
      <c r="A1479" s="10" t="s">
        <v>1678</v>
      </c>
      <c r="B1479" s="16">
        <v>644.30999999999995</v>
      </c>
    </row>
    <row r="1480" spans="1:2">
      <c r="A1480" s="10" t="s">
        <v>1679</v>
      </c>
      <c r="B1480" s="16">
        <v>639.14</v>
      </c>
    </row>
    <row r="1481" spans="1:2">
      <c r="A1481" s="10" t="s">
        <v>1680</v>
      </c>
      <c r="B1481" s="16">
        <v>642.45000000000005</v>
      </c>
    </row>
    <row r="1482" spans="1:2">
      <c r="A1482" s="10" t="s">
        <v>1681</v>
      </c>
      <c r="B1482" s="16">
        <v>641.45000000000005</v>
      </c>
    </row>
    <row r="1483" spans="1:2">
      <c r="A1483" s="10" t="s">
        <v>1682</v>
      </c>
      <c r="B1483" s="16">
        <v>637.64</v>
      </c>
    </row>
    <row r="1484" spans="1:2">
      <c r="A1484" s="10" t="s">
        <v>1683</v>
      </c>
      <c r="B1484" s="16">
        <v>634.92999999999995</v>
      </c>
    </row>
    <row r="1485" spans="1:2">
      <c r="A1485" s="10" t="s">
        <v>1684</v>
      </c>
      <c r="B1485" s="16">
        <v>629.25</v>
      </c>
    </row>
    <row r="1486" spans="1:2">
      <c r="A1486" s="10" t="s">
        <v>1685</v>
      </c>
      <c r="B1486" s="16">
        <v>630.11</v>
      </c>
    </row>
    <row r="1487" spans="1:2">
      <c r="A1487" s="10" t="s">
        <v>1686</v>
      </c>
      <c r="B1487" s="16">
        <v>633.87</v>
      </c>
    </row>
    <row r="1488" spans="1:2">
      <c r="A1488" s="10" t="s">
        <v>1687</v>
      </c>
      <c r="B1488" s="16">
        <v>639.5</v>
      </c>
    </row>
    <row r="1489" spans="1:2">
      <c r="A1489" s="10" t="s">
        <v>1688</v>
      </c>
      <c r="B1489" s="16">
        <v>646.07000000000005</v>
      </c>
    </row>
    <row r="1490" spans="1:2">
      <c r="A1490" s="10" t="s">
        <v>1689</v>
      </c>
      <c r="B1490" s="16">
        <v>648.01</v>
      </c>
    </row>
    <row r="1491" spans="1:2">
      <c r="A1491" s="10" t="s">
        <v>1690</v>
      </c>
      <c r="B1491" s="16">
        <v>650.9</v>
      </c>
    </row>
    <row r="1492" spans="1:2">
      <c r="A1492" s="10" t="s">
        <v>1691</v>
      </c>
      <c r="B1492" s="16">
        <v>648.42999999999995</v>
      </c>
    </row>
    <row r="1493" spans="1:2">
      <c r="A1493" s="10" t="s">
        <v>1692</v>
      </c>
      <c r="B1493" s="16">
        <v>647.96</v>
      </c>
    </row>
    <row r="1494" spans="1:2">
      <c r="A1494" s="10" t="s">
        <v>1693</v>
      </c>
      <c r="B1494" s="16">
        <v>649.12</v>
      </c>
    </row>
    <row r="1495" spans="1:2">
      <c r="A1495" s="10" t="s">
        <v>1694</v>
      </c>
      <c r="B1495" s="16">
        <v>644.92999999999995</v>
      </c>
    </row>
    <row r="1496" spans="1:2">
      <c r="A1496" s="10" t="s">
        <v>1695</v>
      </c>
      <c r="B1496" s="16">
        <v>645.80999999999995</v>
      </c>
    </row>
    <row r="1497" spans="1:2">
      <c r="A1497" s="10" t="s">
        <v>1696</v>
      </c>
      <c r="B1497" s="16">
        <v>648.44000000000005</v>
      </c>
    </row>
    <row r="1498" spans="1:2">
      <c r="A1498" s="10" t="s">
        <v>1697</v>
      </c>
      <c r="B1498" s="16">
        <v>649.58000000000004</v>
      </c>
    </row>
    <row r="1499" spans="1:2">
      <c r="A1499" s="10" t="s">
        <v>1698</v>
      </c>
      <c r="B1499" s="16">
        <v>653.55999999999995</v>
      </c>
    </row>
    <row r="1500" spans="1:2">
      <c r="A1500" s="10" t="s">
        <v>1699</v>
      </c>
      <c r="B1500" s="16">
        <v>656.44</v>
      </c>
    </row>
    <row r="1501" spans="1:2">
      <c r="A1501" s="10" t="s">
        <v>1700</v>
      </c>
      <c r="B1501" s="16">
        <v>655.68</v>
      </c>
    </row>
    <row r="1502" spans="1:2">
      <c r="A1502" s="10" t="s">
        <v>1701</v>
      </c>
      <c r="B1502" s="16">
        <v>650.03</v>
      </c>
    </row>
    <row r="1503" spans="1:2">
      <c r="A1503" s="10" t="s">
        <v>1702</v>
      </c>
      <c r="B1503" s="16">
        <v>645.66</v>
      </c>
    </row>
    <row r="1504" spans="1:2">
      <c r="A1504" s="10" t="s">
        <v>1703</v>
      </c>
      <c r="B1504" s="16">
        <v>653.80999999999995</v>
      </c>
    </row>
    <row r="1505" spans="1:2">
      <c r="A1505" s="10" t="s">
        <v>1704</v>
      </c>
      <c r="B1505" s="16">
        <v>652.80999999999995</v>
      </c>
    </row>
    <row r="1506" spans="1:2">
      <c r="A1506" s="10" t="s">
        <v>1705</v>
      </c>
      <c r="B1506" s="16">
        <v>644.28</v>
      </c>
    </row>
    <row r="1507" spans="1:2">
      <c r="A1507" s="10" t="s">
        <v>1706</v>
      </c>
      <c r="B1507" s="16">
        <v>643.24</v>
      </c>
    </row>
    <row r="1508" spans="1:2">
      <c r="A1508" s="10" t="s">
        <v>1707</v>
      </c>
      <c r="B1508" s="16">
        <v>641.38</v>
      </c>
    </row>
    <row r="1509" spans="1:2">
      <c r="A1509" s="10" t="s">
        <v>1708</v>
      </c>
      <c r="B1509" s="16">
        <v>629.79</v>
      </c>
    </row>
    <row r="1510" spans="1:2">
      <c r="A1510" s="10" t="s">
        <v>1709</v>
      </c>
      <c r="B1510" s="16">
        <v>612.38</v>
      </c>
    </row>
    <row r="1511" spans="1:2">
      <c r="A1511" s="10" t="s">
        <v>1710</v>
      </c>
      <c r="B1511" s="16">
        <v>615.15</v>
      </c>
    </row>
    <row r="1512" spans="1:2">
      <c r="A1512" s="10" t="s">
        <v>1711</v>
      </c>
      <c r="B1512" s="16">
        <v>619.76</v>
      </c>
    </row>
    <row r="1513" spans="1:2">
      <c r="A1513" s="10" t="s">
        <v>1712</v>
      </c>
      <c r="B1513" s="16">
        <v>600.45000000000005</v>
      </c>
    </row>
    <row r="1514" spans="1:2">
      <c r="A1514" s="10" t="s">
        <v>1713</v>
      </c>
      <c r="B1514" s="16">
        <v>603.02</v>
      </c>
    </row>
    <row r="1515" spans="1:2">
      <c r="A1515" s="10" t="s">
        <v>1714</v>
      </c>
      <c r="B1515" s="16">
        <v>610.04</v>
      </c>
    </row>
    <row r="1516" spans="1:2">
      <c r="A1516" s="10" t="s">
        <v>1715</v>
      </c>
      <c r="B1516" s="16">
        <v>606.30999999999995</v>
      </c>
    </row>
    <row r="1517" spans="1:2">
      <c r="A1517" s="10" t="s">
        <v>1716</v>
      </c>
      <c r="B1517" s="16">
        <v>611.9</v>
      </c>
    </row>
    <row r="1518" spans="1:2">
      <c r="A1518" s="10" t="s">
        <v>1717</v>
      </c>
      <c r="B1518" s="16">
        <v>616.65</v>
      </c>
    </row>
    <row r="1519" spans="1:2">
      <c r="A1519" s="10" t="s">
        <v>1718</v>
      </c>
      <c r="B1519" s="16">
        <v>620.16999999999996</v>
      </c>
    </row>
    <row r="1520" spans="1:2">
      <c r="A1520" s="10" t="s">
        <v>1719</v>
      </c>
      <c r="B1520" s="16">
        <v>619.85</v>
      </c>
    </row>
    <row r="1521" spans="1:2">
      <c r="A1521" s="10" t="s">
        <v>1720</v>
      </c>
      <c r="B1521" s="16">
        <v>621.78</v>
      </c>
    </row>
    <row r="1522" spans="1:2">
      <c r="A1522" s="10" t="s">
        <v>1721</v>
      </c>
      <c r="B1522" s="16">
        <v>619.08000000000004</v>
      </c>
    </row>
    <row r="1523" spans="1:2">
      <c r="A1523" s="10" t="s">
        <v>1722</v>
      </c>
      <c r="B1523" s="16">
        <v>619.5</v>
      </c>
    </row>
    <row r="1524" spans="1:2">
      <c r="A1524" s="10" t="s">
        <v>1723</v>
      </c>
      <c r="B1524" s="16">
        <v>626.25</v>
      </c>
    </row>
    <row r="1525" spans="1:2">
      <c r="A1525" s="10" t="s">
        <v>1724</v>
      </c>
      <c r="B1525" s="16">
        <v>632.85</v>
      </c>
    </row>
    <row r="1526" spans="1:2">
      <c r="A1526" s="10" t="s">
        <v>1725</v>
      </c>
      <c r="B1526" s="16">
        <v>629.29</v>
      </c>
    </row>
    <row r="1527" spans="1:2">
      <c r="A1527" s="10" t="s">
        <v>1726</v>
      </c>
      <c r="B1527" s="16">
        <v>625.29999999999995</v>
      </c>
    </row>
    <row r="1528" spans="1:2">
      <c r="A1528" s="10" t="s">
        <v>1727</v>
      </c>
      <c r="B1528" s="16">
        <v>617.34</v>
      </c>
    </row>
    <row r="1529" spans="1:2">
      <c r="A1529" s="10" t="s">
        <v>1728</v>
      </c>
      <c r="B1529" s="16">
        <v>609.28</v>
      </c>
    </row>
    <row r="1530" spans="1:2">
      <c r="A1530" s="10" t="s">
        <v>1729</v>
      </c>
      <c r="B1530" s="16">
        <v>613.41</v>
      </c>
    </row>
    <row r="1531" spans="1:2">
      <c r="A1531" s="10" t="s">
        <v>1730</v>
      </c>
      <c r="B1531" s="16">
        <v>612.42999999999995</v>
      </c>
    </row>
    <row r="1532" spans="1:2">
      <c r="A1532" s="10" t="s">
        <v>1731</v>
      </c>
      <c r="B1532" s="16">
        <v>613.89</v>
      </c>
    </row>
    <row r="1533" spans="1:2">
      <c r="A1533" s="10" t="s">
        <v>1732</v>
      </c>
      <c r="B1533" s="16">
        <v>620.61</v>
      </c>
    </row>
    <row r="1534" spans="1:2">
      <c r="A1534" s="10" t="s">
        <v>1733</v>
      </c>
      <c r="B1534" s="16">
        <v>627.02</v>
      </c>
    </row>
    <row r="1535" spans="1:2">
      <c r="A1535" s="10" t="s">
        <v>1734</v>
      </c>
      <c r="B1535" s="16">
        <v>627.59</v>
      </c>
    </row>
    <row r="1536" spans="1:2">
      <c r="A1536" s="10" t="s">
        <v>1735</v>
      </c>
      <c r="B1536" s="16">
        <v>619.41</v>
      </c>
    </row>
    <row r="1537" spans="1:2">
      <c r="A1537" s="10" t="s">
        <v>1736</v>
      </c>
      <c r="B1537" s="16">
        <v>617.77</v>
      </c>
    </row>
    <row r="1538" spans="1:2">
      <c r="A1538" s="10" t="s">
        <v>1737</v>
      </c>
      <c r="B1538" s="16">
        <v>620.73</v>
      </c>
    </row>
    <row r="1539" spans="1:2">
      <c r="A1539" s="10" t="s">
        <v>1738</v>
      </c>
      <c r="B1539" s="16">
        <v>623.9</v>
      </c>
    </row>
    <row r="1540" spans="1:2">
      <c r="A1540" s="10" t="s">
        <v>1739</v>
      </c>
      <c r="B1540" s="16">
        <v>614.07000000000005</v>
      </c>
    </row>
    <row r="1541" spans="1:2">
      <c r="A1541" s="10" t="s">
        <v>1740</v>
      </c>
      <c r="B1541" s="16">
        <v>617.41</v>
      </c>
    </row>
    <row r="1542" spans="1:2">
      <c r="A1542" s="10" t="s">
        <v>1741</v>
      </c>
      <c r="B1542" s="16">
        <v>615.22</v>
      </c>
    </row>
    <row r="1543" spans="1:2">
      <c r="A1543" s="10" t="s">
        <v>1742</v>
      </c>
      <c r="B1543" s="16">
        <v>599.94000000000005</v>
      </c>
    </row>
    <row r="1544" spans="1:2">
      <c r="A1544" s="10" t="s">
        <v>1743</v>
      </c>
      <c r="B1544" s="16">
        <v>586.53</v>
      </c>
    </row>
    <row r="1545" spans="1:2">
      <c r="A1545" s="10" t="s">
        <v>1744</v>
      </c>
      <c r="B1545" s="16">
        <v>592.78</v>
      </c>
    </row>
    <row r="1546" spans="1:2">
      <c r="A1546" s="10" t="s">
        <v>1745</v>
      </c>
      <c r="B1546" s="16">
        <v>590.23</v>
      </c>
    </row>
    <row r="1547" spans="1:2">
      <c r="A1547" s="10" t="s">
        <v>1746</v>
      </c>
      <c r="B1547" s="16">
        <v>591.59</v>
      </c>
    </row>
    <row r="1548" spans="1:2">
      <c r="A1548" s="10" t="s">
        <v>1747</v>
      </c>
      <c r="B1548" s="16">
        <v>599.79999999999995</v>
      </c>
    </row>
    <row r="1549" spans="1:2">
      <c r="A1549" s="10" t="s">
        <v>1748</v>
      </c>
      <c r="B1549" s="16">
        <v>594.75</v>
      </c>
    </row>
    <row r="1550" spans="1:2">
      <c r="A1550" s="10" t="s">
        <v>1749</v>
      </c>
      <c r="B1550" s="16">
        <v>597.70000000000005</v>
      </c>
    </row>
    <row r="1551" spans="1:2">
      <c r="A1551" s="10" t="s">
        <v>1750</v>
      </c>
      <c r="B1551" s="16">
        <v>607.67999999999995</v>
      </c>
    </row>
    <row r="1552" spans="1:2">
      <c r="A1552" s="10" t="s">
        <v>1751</v>
      </c>
      <c r="B1552" s="16">
        <v>598.04</v>
      </c>
    </row>
    <row r="1553" spans="1:2">
      <c r="A1553" s="10" t="s">
        <v>1752</v>
      </c>
      <c r="B1553" s="16">
        <v>598.94000000000005</v>
      </c>
    </row>
    <row r="1554" spans="1:2">
      <c r="A1554" s="10" t="s">
        <v>1753</v>
      </c>
      <c r="B1554" s="16">
        <v>605.63</v>
      </c>
    </row>
    <row r="1555" spans="1:2">
      <c r="A1555" s="10" t="s">
        <v>1754</v>
      </c>
      <c r="B1555" s="16">
        <v>600.59</v>
      </c>
    </row>
    <row r="1556" spans="1:2">
      <c r="A1556" s="10" t="s">
        <v>1755</v>
      </c>
      <c r="B1556" s="16">
        <v>608.55999999999995</v>
      </c>
    </row>
    <row r="1557" spans="1:2">
      <c r="A1557" s="10" t="s">
        <v>1756</v>
      </c>
      <c r="B1557" s="16">
        <v>607.15</v>
      </c>
    </row>
    <row r="1558" spans="1:2">
      <c r="A1558" s="10" t="s">
        <v>1757</v>
      </c>
      <c r="B1558" s="16">
        <v>607.22</v>
      </c>
    </row>
    <row r="1559" spans="1:2">
      <c r="A1559" s="10" t="s">
        <v>1758</v>
      </c>
      <c r="B1559" s="16">
        <v>614.47</v>
      </c>
    </row>
    <row r="1560" spans="1:2">
      <c r="A1560" s="10" t="s">
        <v>1759</v>
      </c>
      <c r="B1560" s="16">
        <v>613.15</v>
      </c>
    </row>
    <row r="1561" spans="1:2">
      <c r="A1561" s="10" t="s">
        <v>1760</v>
      </c>
      <c r="B1561" s="16">
        <v>610.77</v>
      </c>
    </row>
    <row r="1562" spans="1:2">
      <c r="A1562" s="10" t="s">
        <v>1761</v>
      </c>
      <c r="B1562" s="16">
        <v>609.78</v>
      </c>
    </row>
    <row r="1563" spans="1:2">
      <c r="A1563" s="10" t="s">
        <v>1762</v>
      </c>
      <c r="B1563" s="16">
        <v>612.47</v>
      </c>
    </row>
    <row r="1564" spans="1:2">
      <c r="A1564" s="10" t="s">
        <v>1763</v>
      </c>
      <c r="B1564" s="16">
        <v>608.79999999999995</v>
      </c>
    </row>
    <row r="1565" spans="1:2">
      <c r="A1565" s="10" t="s">
        <v>1764</v>
      </c>
      <c r="B1565" s="16">
        <v>607.54999999999995</v>
      </c>
    </row>
    <row r="1566" spans="1:2">
      <c r="A1566" s="10" t="s">
        <v>1765</v>
      </c>
      <c r="B1566" s="16">
        <v>614.97</v>
      </c>
    </row>
    <row r="1567" spans="1:2">
      <c r="A1567" s="10" t="s">
        <v>1766</v>
      </c>
      <c r="B1567" s="16">
        <v>616.59</v>
      </c>
    </row>
    <row r="1568" spans="1:2">
      <c r="A1568" s="10" t="s">
        <v>1767</v>
      </c>
      <c r="B1568" s="16">
        <v>614.99</v>
      </c>
    </row>
    <row r="1569" spans="1:2">
      <c r="A1569" s="10" t="s">
        <v>1768</v>
      </c>
      <c r="B1569" s="16">
        <v>619.49</v>
      </c>
    </row>
    <row r="1570" spans="1:2">
      <c r="A1570" s="10" t="s">
        <v>1769</v>
      </c>
      <c r="B1570" s="16">
        <v>621.17999999999995</v>
      </c>
    </row>
    <row r="1571" spans="1:2">
      <c r="A1571" s="10" t="s">
        <v>1770</v>
      </c>
      <c r="B1571" s="16">
        <v>618.84</v>
      </c>
    </row>
    <row r="1572" spans="1:2">
      <c r="A1572" s="10" t="s">
        <v>1771</v>
      </c>
      <c r="B1572" s="16">
        <v>626.39</v>
      </c>
    </row>
    <row r="1573" spans="1:2">
      <c r="A1573" s="10" t="s">
        <v>1772</v>
      </c>
      <c r="B1573" s="16">
        <v>629.84</v>
      </c>
    </row>
    <row r="1574" spans="1:2">
      <c r="A1574" s="10" t="s">
        <v>1773</v>
      </c>
      <c r="B1574" s="16">
        <v>631.12</v>
      </c>
    </row>
    <row r="1575" spans="1:2">
      <c r="A1575" s="10" t="s">
        <v>1774</v>
      </c>
      <c r="B1575" s="16">
        <v>635.20000000000005</v>
      </c>
    </row>
    <row r="1576" spans="1:2">
      <c r="A1576" s="10" t="s">
        <v>1775</v>
      </c>
      <c r="B1576" s="16">
        <v>639.04</v>
      </c>
    </row>
    <row r="1577" spans="1:2">
      <c r="A1577" s="10" t="s">
        <v>1776</v>
      </c>
      <c r="B1577" s="16">
        <v>637.82000000000005</v>
      </c>
    </row>
    <row r="1578" spans="1:2">
      <c r="A1578" s="10" t="s">
        <v>1777</v>
      </c>
      <c r="B1578" s="16">
        <v>637.09</v>
      </c>
    </row>
    <row r="1579" spans="1:2">
      <c r="A1579" s="10" t="s">
        <v>1778</v>
      </c>
      <c r="B1579" s="16">
        <v>637.44000000000005</v>
      </c>
    </row>
    <row r="1580" spans="1:2">
      <c r="A1580" s="10" t="s">
        <v>1779</v>
      </c>
      <c r="B1580" s="16">
        <v>640.58000000000004</v>
      </c>
    </row>
    <row r="1581" spans="1:2">
      <c r="A1581" s="10" t="s">
        <v>1780</v>
      </c>
      <c r="B1581" s="16">
        <v>640.59</v>
      </c>
    </row>
    <row r="1582" spans="1:2">
      <c r="A1582" s="10" t="s">
        <v>1781</v>
      </c>
      <c r="B1582" s="16">
        <v>638.29999999999995</v>
      </c>
    </row>
    <row r="1583" spans="1:2">
      <c r="A1583" s="10" t="s">
        <v>1782</v>
      </c>
      <c r="B1583" s="16">
        <v>641.62</v>
      </c>
    </row>
    <row r="1584" spans="1:2">
      <c r="A1584" s="10" t="s">
        <v>1783</v>
      </c>
      <c r="B1584" s="16">
        <v>642.04999999999995</v>
      </c>
    </row>
    <row r="1585" spans="1:2">
      <c r="A1585" s="10" t="s">
        <v>1784</v>
      </c>
      <c r="B1585" s="16">
        <v>641.88</v>
      </c>
    </row>
    <row r="1586" spans="1:2">
      <c r="A1586" s="10" t="s">
        <v>1785</v>
      </c>
      <c r="B1586" s="16">
        <v>639.5</v>
      </c>
    </row>
    <row r="1587" spans="1:2">
      <c r="A1587" s="10" t="s">
        <v>1786</v>
      </c>
      <c r="B1587" s="16">
        <v>640.70000000000005</v>
      </c>
    </row>
    <row r="1588" spans="1:2">
      <c r="A1588" s="10" t="s">
        <v>1787</v>
      </c>
      <c r="B1588" s="16">
        <v>639.29999999999995</v>
      </c>
    </row>
    <row r="1589" spans="1:2">
      <c r="A1589" s="10" t="s">
        <v>1788</v>
      </c>
      <c r="B1589" s="16">
        <v>631.41</v>
      </c>
    </row>
    <row r="1590" spans="1:2">
      <c r="A1590" s="10" t="s">
        <v>1789</v>
      </c>
      <c r="B1590" s="16">
        <v>634.94000000000005</v>
      </c>
    </row>
    <row r="1591" spans="1:2">
      <c r="A1591" s="10" t="s">
        <v>1790</v>
      </c>
      <c r="B1591" s="16">
        <v>628.14</v>
      </c>
    </row>
    <row r="1592" spans="1:2">
      <c r="A1592" s="10" t="s">
        <v>1791</v>
      </c>
      <c r="B1592" s="16">
        <v>636.59</v>
      </c>
    </row>
    <row r="1593" spans="1:2">
      <c r="A1593" s="10" t="s">
        <v>1792</v>
      </c>
      <c r="B1593" s="16">
        <v>638.99</v>
      </c>
    </row>
    <row r="1594" spans="1:2">
      <c r="A1594" s="10" t="s">
        <v>1793</v>
      </c>
      <c r="B1594" s="16">
        <v>639.32000000000005</v>
      </c>
    </row>
    <row r="1595" spans="1:2">
      <c r="A1595" s="10" t="s">
        <v>1794</v>
      </c>
      <c r="B1595" s="16">
        <v>639.73</v>
      </c>
    </row>
    <row r="1596" spans="1:2">
      <c r="A1596" s="10" t="s">
        <v>1795</v>
      </c>
      <c r="B1596" s="16">
        <v>636.72</v>
      </c>
    </row>
    <row r="1597" spans="1:2">
      <c r="A1597" s="10" t="s">
        <v>1796</v>
      </c>
      <c r="B1597" s="16">
        <v>638.33000000000004</v>
      </c>
    </row>
    <row r="1598" spans="1:2">
      <c r="A1598" s="10" t="s">
        <v>1797</v>
      </c>
      <c r="B1598" s="16">
        <v>640.03</v>
      </c>
    </row>
    <row r="1599" spans="1:2">
      <c r="A1599" s="10" t="s">
        <v>1798</v>
      </c>
      <c r="B1599" s="16">
        <v>640.96</v>
      </c>
    </row>
    <row r="1600" spans="1:2">
      <c r="A1600" s="10" t="s">
        <v>1799</v>
      </c>
      <c r="B1600" s="16">
        <v>640.45000000000005</v>
      </c>
    </row>
    <row r="1601" spans="1:2">
      <c r="A1601" s="10" t="s">
        <v>1800</v>
      </c>
      <c r="B1601" s="16">
        <v>647.49</v>
      </c>
    </row>
    <row r="1602" spans="1:2">
      <c r="A1602" s="10" t="s">
        <v>1801</v>
      </c>
      <c r="B1602" s="16">
        <v>646.38</v>
      </c>
    </row>
    <row r="1603" spans="1:2">
      <c r="A1603" s="10" t="s">
        <v>1802</v>
      </c>
      <c r="B1603" s="16">
        <v>642.28</v>
      </c>
    </row>
    <row r="1604" spans="1:2">
      <c r="A1604" s="10" t="s">
        <v>1803</v>
      </c>
      <c r="B1604" s="16">
        <v>639.16999999999996</v>
      </c>
    </row>
    <row r="1605" spans="1:2">
      <c r="A1605" s="10" t="s">
        <v>1804</v>
      </c>
      <c r="B1605" s="16">
        <v>638.48</v>
      </c>
    </row>
    <row r="1606" spans="1:2">
      <c r="A1606" s="10" t="s">
        <v>1805</v>
      </c>
      <c r="B1606" s="16">
        <v>632.33000000000004</v>
      </c>
    </row>
    <row r="1607" spans="1:2">
      <c r="A1607" s="10" t="s">
        <v>1806</v>
      </c>
      <c r="B1607" s="16">
        <v>632.91</v>
      </c>
    </row>
    <row r="1608" spans="1:2">
      <c r="A1608" s="10" t="s">
        <v>1807</v>
      </c>
      <c r="B1608" s="16">
        <v>619.45000000000005</v>
      </c>
    </row>
    <row r="1609" spans="1:2">
      <c r="A1609" s="10" t="s">
        <v>1808</v>
      </c>
      <c r="B1609" s="16">
        <v>621.09</v>
      </c>
    </row>
    <row r="1610" spans="1:2">
      <c r="A1610" s="10" t="s">
        <v>1809</v>
      </c>
      <c r="B1610" s="16">
        <v>621.85</v>
      </c>
    </row>
    <row r="1611" spans="1:2">
      <c r="A1611" s="10" t="s">
        <v>1810</v>
      </c>
      <c r="B1611" s="16">
        <v>622.41999999999996</v>
      </c>
    </row>
    <row r="1612" spans="1:2">
      <c r="A1612" s="10" t="s">
        <v>1811</v>
      </c>
      <c r="B1612" s="16">
        <v>621.97</v>
      </c>
    </row>
    <row r="1613" spans="1:2">
      <c r="A1613" s="10" t="s">
        <v>1812</v>
      </c>
      <c r="B1613" s="16">
        <v>623.17999999999995</v>
      </c>
    </row>
    <row r="1614" spans="1:2">
      <c r="A1614" s="10" t="s">
        <v>1813</v>
      </c>
      <c r="B1614" s="16">
        <v>621.85</v>
      </c>
    </row>
    <row r="1615" spans="1:2">
      <c r="A1615" s="10" t="s">
        <v>1814</v>
      </c>
      <c r="B1615" s="16">
        <v>621.6</v>
      </c>
    </row>
    <row r="1616" spans="1:2">
      <c r="A1616" s="10" t="s">
        <v>1815</v>
      </c>
      <c r="B1616" s="16">
        <v>625.55999999999995</v>
      </c>
    </row>
    <row r="1617" spans="1:2">
      <c r="A1617" s="10" t="s">
        <v>1816</v>
      </c>
      <c r="B1617" s="16">
        <v>627.70000000000005</v>
      </c>
    </row>
    <row r="1618" spans="1:2">
      <c r="A1618" s="10" t="s">
        <v>1817</v>
      </c>
      <c r="B1618" s="16">
        <v>631.96</v>
      </c>
    </row>
    <row r="1619" spans="1:2">
      <c r="A1619" s="10" t="s">
        <v>1818</v>
      </c>
      <c r="B1619" s="16">
        <v>635.58000000000004</v>
      </c>
    </row>
    <row r="1620" spans="1:2">
      <c r="A1620" s="10" t="s">
        <v>1819</v>
      </c>
      <c r="B1620" s="16">
        <v>629.53</v>
      </c>
    </row>
    <row r="1621" spans="1:2">
      <c r="A1621" s="10" t="s">
        <v>1820</v>
      </c>
      <c r="B1621" s="16">
        <v>636.22</v>
      </c>
    </row>
    <row r="1622" spans="1:2">
      <c r="A1622" s="10" t="s">
        <v>1821</v>
      </c>
      <c r="B1622" s="16">
        <v>637.98</v>
      </c>
    </row>
    <row r="1623" spans="1:2">
      <c r="A1623" s="10" t="s">
        <v>1822</v>
      </c>
      <c r="B1623" s="16">
        <v>636.94000000000005</v>
      </c>
    </row>
    <row r="1624" spans="1:2">
      <c r="A1624" s="10" t="s">
        <v>1823</v>
      </c>
      <c r="B1624" s="16">
        <v>640.39</v>
      </c>
    </row>
    <row r="1625" spans="1:2">
      <c r="A1625" s="10" t="s">
        <v>1824</v>
      </c>
      <c r="B1625" s="16">
        <v>644.47</v>
      </c>
    </row>
    <row r="1626" spans="1:2">
      <c r="A1626" s="10" t="s">
        <v>1825</v>
      </c>
      <c r="B1626" s="16">
        <v>642.20000000000005</v>
      </c>
    </row>
    <row r="1627" spans="1:2">
      <c r="A1627" s="10" t="s">
        <v>1826</v>
      </c>
      <c r="B1627" s="16">
        <v>637.73</v>
      </c>
    </row>
    <row r="1628" spans="1:2">
      <c r="A1628" s="10" t="s">
        <v>1827</v>
      </c>
      <c r="B1628" s="16">
        <v>638.20000000000005</v>
      </c>
    </row>
    <row r="1629" spans="1:2">
      <c r="A1629" s="10" t="s">
        <v>1828</v>
      </c>
      <c r="B1629" s="16">
        <v>642.91</v>
      </c>
    </row>
    <row r="1630" spans="1:2">
      <c r="A1630" s="10" t="s">
        <v>1829</v>
      </c>
      <c r="B1630" s="16">
        <v>645.54999999999995</v>
      </c>
    </row>
    <row r="1631" spans="1:2">
      <c r="A1631" s="10" t="s">
        <v>1830</v>
      </c>
      <c r="B1631" s="16">
        <v>648.65</v>
      </c>
    </row>
    <row r="1632" spans="1:2">
      <c r="A1632" s="10" t="s">
        <v>1831</v>
      </c>
      <c r="B1632" s="16">
        <v>645.53</v>
      </c>
    </row>
    <row r="1633" spans="1:2">
      <c r="A1633" s="10" t="s">
        <v>1832</v>
      </c>
      <c r="B1633" s="16">
        <v>640.85</v>
      </c>
    </row>
    <row r="1634" spans="1:2">
      <c r="A1634" s="10" t="s">
        <v>1833</v>
      </c>
      <c r="B1634" s="16">
        <v>642.95000000000005</v>
      </c>
    </row>
    <row r="1635" spans="1:2">
      <c r="A1635" s="10" t="s">
        <v>1834</v>
      </c>
      <c r="B1635" s="16">
        <v>644.73</v>
      </c>
    </row>
    <row r="1636" spans="1:2">
      <c r="A1636" s="10" t="s">
        <v>1835</v>
      </c>
      <c r="B1636" s="16">
        <v>646.02</v>
      </c>
    </row>
    <row r="1637" spans="1:2">
      <c r="A1637" s="10" t="s">
        <v>1836</v>
      </c>
      <c r="B1637" s="16">
        <v>649.82000000000005</v>
      </c>
    </row>
    <row r="1638" spans="1:2">
      <c r="A1638" s="10" t="s">
        <v>1837</v>
      </c>
      <c r="B1638" s="16">
        <v>651.47</v>
      </c>
    </row>
    <row r="1639" spans="1:2">
      <c r="A1639" s="10" t="s">
        <v>1838</v>
      </c>
      <c r="B1639" s="16">
        <v>652.47</v>
      </c>
    </row>
    <row r="1640" spans="1:2">
      <c r="A1640" s="10" t="s">
        <v>1839</v>
      </c>
      <c r="B1640" s="16">
        <v>652.66999999999996</v>
      </c>
    </row>
    <row r="1641" spans="1:2">
      <c r="A1641" s="10" t="s">
        <v>1840</v>
      </c>
      <c r="B1641" s="16">
        <v>653.79</v>
      </c>
    </row>
    <row r="1642" spans="1:2">
      <c r="A1642" s="10" t="s">
        <v>1841</v>
      </c>
      <c r="B1642" s="16">
        <v>649.85</v>
      </c>
    </row>
    <row r="1643" spans="1:2">
      <c r="A1643" s="10" t="s">
        <v>1842</v>
      </c>
      <c r="B1643" s="16">
        <v>648.34</v>
      </c>
    </row>
    <row r="1644" spans="1:2">
      <c r="A1644" s="10" t="s">
        <v>1843</v>
      </c>
      <c r="B1644" s="16">
        <v>651.45000000000005</v>
      </c>
    </row>
    <row r="1645" spans="1:2">
      <c r="A1645" s="10" t="s">
        <v>1844</v>
      </c>
      <c r="B1645" s="16">
        <v>647.70000000000005</v>
      </c>
    </row>
    <row r="1646" spans="1:2">
      <c r="A1646" s="10" t="s">
        <v>1845</v>
      </c>
      <c r="B1646" s="16">
        <v>649.70000000000005</v>
      </c>
    </row>
    <row r="1647" spans="1:2">
      <c r="A1647" s="10" t="s">
        <v>1846</v>
      </c>
      <c r="B1647" s="16">
        <v>649.4</v>
      </c>
    </row>
    <row r="1648" spans="1:2">
      <c r="A1648" s="10" t="s">
        <v>1847</v>
      </c>
      <c r="B1648" s="16">
        <v>650.29999999999995</v>
      </c>
    </row>
    <row r="1649" spans="1:2">
      <c r="A1649" s="10" t="s">
        <v>1848</v>
      </c>
      <c r="B1649" s="16">
        <v>649.71</v>
      </c>
    </row>
    <row r="1650" spans="1:2">
      <c r="A1650" s="10" t="s">
        <v>1849</v>
      </c>
      <c r="B1650" s="16">
        <v>647.64</v>
      </c>
    </row>
    <row r="1651" spans="1:2">
      <c r="A1651" s="10" t="s">
        <v>1850</v>
      </c>
      <c r="B1651" s="16">
        <v>648.28</v>
      </c>
    </row>
    <row r="1652" spans="1:2">
      <c r="A1652" s="10" t="s">
        <v>1851</v>
      </c>
      <c r="B1652" s="16">
        <v>649.54</v>
      </c>
    </row>
    <row r="1653" spans="1:2">
      <c r="A1653" s="10" t="s">
        <v>1852</v>
      </c>
      <c r="B1653" s="16">
        <v>653.30999999999995</v>
      </c>
    </row>
    <row r="1654" spans="1:2">
      <c r="A1654" s="10" t="s">
        <v>1853</v>
      </c>
      <c r="B1654" s="16">
        <v>651.70000000000005</v>
      </c>
    </row>
    <row r="1655" spans="1:2">
      <c r="A1655" s="10" t="s">
        <v>1854</v>
      </c>
      <c r="B1655" s="16">
        <v>654.96</v>
      </c>
    </row>
    <row r="1656" spans="1:2">
      <c r="A1656" s="10" t="s">
        <v>1855</v>
      </c>
      <c r="B1656" s="16">
        <v>653.04</v>
      </c>
    </row>
    <row r="1657" spans="1:2">
      <c r="A1657" s="10" t="s">
        <v>1856</v>
      </c>
      <c r="B1657" s="16">
        <v>651.22</v>
      </c>
    </row>
    <row r="1658" spans="1:2">
      <c r="A1658" s="10" t="s">
        <v>1857</v>
      </c>
      <c r="B1658" s="16">
        <v>651.41</v>
      </c>
    </row>
    <row r="1659" spans="1:2">
      <c r="A1659" s="10" t="s">
        <v>1858</v>
      </c>
      <c r="B1659" s="16">
        <v>650.28</v>
      </c>
    </row>
    <row r="1660" spans="1:2">
      <c r="A1660" s="10" t="s">
        <v>1859</v>
      </c>
      <c r="B1660" s="16">
        <v>642.29999999999995</v>
      </c>
    </row>
    <row r="1661" spans="1:2">
      <c r="A1661" s="10" t="s">
        <v>1860</v>
      </c>
      <c r="B1661" s="16">
        <v>639.08000000000004</v>
      </c>
    </row>
    <row r="1662" spans="1:2">
      <c r="A1662" s="10" t="s">
        <v>1861</v>
      </c>
      <c r="B1662" s="16">
        <v>639.11</v>
      </c>
    </row>
    <row r="1663" spans="1:2">
      <c r="A1663" s="10" t="s">
        <v>1862</v>
      </c>
      <c r="B1663" s="16">
        <v>640.41999999999996</v>
      </c>
    </row>
    <row r="1664" spans="1:2">
      <c r="A1664" s="10" t="s">
        <v>1863</v>
      </c>
      <c r="B1664" s="16">
        <v>642.46</v>
      </c>
    </row>
    <row r="1665" spans="1:2">
      <c r="A1665" s="10" t="s">
        <v>1864</v>
      </c>
      <c r="B1665" s="16">
        <v>641.63</v>
      </c>
    </row>
    <row r="1666" spans="1:2">
      <c r="A1666" s="10" t="s">
        <v>1865</v>
      </c>
      <c r="B1666" s="16">
        <v>643.87</v>
      </c>
    </row>
    <row r="1667" spans="1:2">
      <c r="A1667" s="10" t="s">
        <v>1866</v>
      </c>
      <c r="B1667" s="16">
        <v>644.72</v>
      </c>
    </row>
    <row r="1668" spans="1:2">
      <c r="A1668" s="10" t="s">
        <v>1867</v>
      </c>
      <c r="B1668" s="16">
        <v>641.28</v>
      </c>
    </row>
    <row r="1669" spans="1:2">
      <c r="A1669" s="10" t="s">
        <v>1868</v>
      </c>
      <c r="B1669" s="16">
        <v>643.38</v>
      </c>
    </row>
    <row r="1670" spans="1:2">
      <c r="A1670" s="10" t="s">
        <v>1869</v>
      </c>
      <c r="B1670" s="16">
        <v>645.4</v>
      </c>
    </row>
    <row r="1671" spans="1:2">
      <c r="A1671" s="10" t="s">
        <v>1870</v>
      </c>
      <c r="B1671" s="16">
        <v>648.83000000000004</v>
      </c>
    </row>
    <row r="1672" spans="1:2">
      <c r="A1672" s="10" t="s">
        <v>1871</v>
      </c>
      <c r="B1672" s="16">
        <v>650.30999999999995</v>
      </c>
    </row>
    <row r="1673" spans="1:2">
      <c r="A1673" s="10" t="s">
        <v>1872</v>
      </c>
      <c r="B1673" s="16">
        <v>647.19000000000005</v>
      </c>
    </row>
    <row r="1674" spans="1:2">
      <c r="A1674" s="10" t="s">
        <v>1873</v>
      </c>
      <c r="B1674" s="16">
        <v>648.24</v>
      </c>
    </row>
    <row r="1675" spans="1:2">
      <c r="A1675" s="10" t="s">
        <v>1874</v>
      </c>
      <c r="B1675" s="16">
        <v>648.42999999999995</v>
      </c>
    </row>
    <row r="1676" spans="1:2">
      <c r="A1676" s="10" t="s">
        <v>1875</v>
      </c>
      <c r="B1676" s="16">
        <v>652.95000000000005</v>
      </c>
    </row>
    <row r="1677" spans="1:2">
      <c r="A1677" s="10" t="s">
        <v>1876</v>
      </c>
      <c r="B1677" s="16">
        <v>649.95000000000005</v>
      </c>
    </row>
    <row r="1678" spans="1:2">
      <c r="A1678" s="10" t="s">
        <v>1877</v>
      </c>
      <c r="B1678" s="16">
        <v>653.24</v>
      </c>
    </row>
    <row r="1679" spans="1:2">
      <c r="A1679" s="10" t="s">
        <v>1878</v>
      </c>
      <c r="B1679" s="16">
        <v>652.85</v>
      </c>
    </row>
    <row r="1680" spans="1:2">
      <c r="A1680" s="10" t="s">
        <v>1879</v>
      </c>
      <c r="B1680" s="16">
        <v>655.17999999999995</v>
      </c>
    </row>
    <row r="1681" spans="1:2">
      <c r="A1681" s="10" t="s">
        <v>1880</v>
      </c>
      <c r="B1681" s="16">
        <v>650.04</v>
      </c>
    </row>
    <row r="1682" spans="1:2">
      <c r="A1682" s="10" t="s">
        <v>1881</v>
      </c>
      <c r="B1682" s="16">
        <v>645.37</v>
      </c>
    </row>
    <row r="1683" spans="1:2">
      <c r="A1683" s="10" t="s">
        <v>1882</v>
      </c>
      <c r="B1683" s="16">
        <v>641.74</v>
      </c>
    </row>
    <row r="1684" spans="1:2">
      <c r="A1684" s="10" t="s">
        <v>1883</v>
      </c>
      <c r="B1684" s="16">
        <v>643.12</v>
      </c>
    </row>
    <row r="1685" spans="1:2">
      <c r="A1685" s="10" t="s">
        <v>1884</v>
      </c>
      <c r="B1685" s="16">
        <v>623.63</v>
      </c>
    </row>
    <row r="1686" spans="1:2">
      <c r="A1686" s="10" t="s">
        <v>1885</v>
      </c>
      <c r="B1686" s="16">
        <v>610.61</v>
      </c>
    </row>
    <row r="1687" spans="1:2">
      <c r="A1687" s="10" t="s">
        <v>1886</v>
      </c>
      <c r="B1687" s="16">
        <v>616.08000000000004</v>
      </c>
    </row>
    <row r="1688" spans="1:2">
      <c r="A1688" s="10" t="s">
        <v>1887</v>
      </c>
      <c r="B1688" s="16">
        <v>612.35</v>
      </c>
    </row>
    <row r="1689" spans="1:2">
      <c r="A1689" s="10" t="s">
        <v>1888</v>
      </c>
      <c r="B1689" s="16">
        <v>624.62</v>
      </c>
    </row>
    <row r="1690" spans="1:2">
      <c r="A1690" s="10" t="s">
        <v>1889</v>
      </c>
      <c r="B1690" s="16">
        <v>625.38</v>
      </c>
    </row>
    <row r="1691" spans="1:2">
      <c r="A1691" s="10" t="s">
        <v>1890</v>
      </c>
      <c r="B1691" s="16">
        <v>618.13</v>
      </c>
    </row>
    <row r="1692" spans="1:2">
      <c r="A1692" s="10" t="s">
        <v>1891</v>
      </c>
      <c r="B1692" s="16">
        <v>618.05999999999995</v>
      </c>
    </row>
    <row r="1693" spans="1:2">
      <c r="A1693" s="10" t="s">
        <v>1892</v>
      </c>
      <c r="B1693" s="16">
        <v>616.08000000000004</v>
      </c>
    </row>
    <row r="1694" spans="1:2">
      <c r="A1694" s="10" t="s">
        <v>1893</v>
      </c>
      <c r="B1694" s="16">
        <v>611.30999999999995</v>
      </c>
    </row>
    <row r="1695" spans="1:2">
      <c r="A1695" s="10" t="s">
        <v>1894</v>
      </c>
      <c r="B1695" s="16">
        <v>599.29999999999995</v>
      </c>
    </row>
    <row r="1696" spans="1:2">
      <c r="A1696" s="10" t="s">
        <v>1895</v>
      </c>
      <c r="B1696" s="16">
        <v>610.33000000000004</v>
      </c>
    </row>
    <row r="1697" spans="1:2">
      <c r="A1697" s="10" t="s">
        <v>1896</v>
      </c>
      <c r="B1697" s="16">
        <v>603.04999999999995</v>
      </c>
    </row>
    <row r="1698" spans="1:2">
      <c r="A1698" s="10" t="s">
        <v>1897</v>
      </c>
      <c r="B1698" s="16">
        <v>601.65</v>
      </c>
    </row>
    <row r="1699" spans="1:2">
      <c r="A1699" s="10" t="s">
        <v>1898</v>
      </c>
      <c r="B1699" s="16">
        <v>605.36</v>
      </c>
    </row>
    <row r="1700" spans="1:2">
      <c r="A1700" s="10" t="s">
        <v>1899</v>
      </c>
      <c r="B1700" s="16">
        <v>614.96</v>
      </c>
    </row>
    <row r="1701" spans="1:2">
      <c r="A1701" s="10" t="s">
        <v>1900</v>
      </c>
      <c r="B1701" s="16">
        <v>616.37</v>
      </c>
    </row>
    <row r="1702" spans="1:2">
      <c r="A1702" s="10" t="s">
        <v>1901</v>
      </c>
      <c r="B1702" s="16">
        <v>614.52</v>
      </c>
    </row>
    <row r="1703" spans="1:2">
      <c r="A1703" s="10" t="s">
        <v>1902</v>
      </c>
      <c r="B1703" s="16">
        <v>614.01</v>
      </c>
    </row>
    <row r="1704" spans="1:2">
      <c r="A1704" s="10" t="s">
        <v>1903</v>
      </c>
      <c r="B1704" s="16">
        <v>614.5</v>
      </c>
    </row>
    <row r="1705" spans="1:2">
      <c r="A1705" s="10" t="s">
        <v>1904</v>
      </c>
      <c r="B1705" s="16">
        <v>623.77</v>
      </c>
    </row>
    <row r="1706" spans="1:2">
      <c r="A1706" s="10" t="s">
        <v>1905</v>
      </c>
      <c r="B1706" s="16">
        <v>624.98</v>
      </c>
    </row>
    <row r="1707" spans="1:2">
      <c r="A1707" s="10" t="s">
        <v>1906</v>
      </c>
      <c r="B1707" s="16">
        <v>623.75</v>
      </c>
    </row>
    <row r="1708" spans="1:2">
      <c r="A1708" s="10" t="s">
        <v>1907</v>
      </c>
      <c r="B1708" s="16">
        <v>614.63</v>
      </c>
    </row>
    <row r="1709" spans="1:2">
      <c r="A1709" s="10" t="s">
        <v>1908</v>
      </c>
      <c r="B1709" s="16">
        <v>616.88</v>
      </c>
    </row>
    <row r="1710" spans="1:2">
      <c r="A1710" s="10" t="s">
        <v>1909</v>
      </c>
      <c r="B1710" s="16">
        <v>611.25</v>
      </c>
    </row>
    <row r="1711" spans="1:2">
      <c r="A1711" s="10" t="s">
        <v>1910</v>
      </c>
      <c r="B1711" s="16">
        <v>614.75</v>
      </c>
    </row>
    <row r="1712" spans="1:2">
      <c r="A1712" s="10" t="s">
        <v>1911</v>
      </c>
      <c r="B1712" s="16">
        <v>612.75</v>
      </c>
    </row>
    <row r="1713" spans="1:2">
      <c r="A1713" s="10" t="s">
        <v>1912</v>
      </c>
      <c r="B1713" s="16">
        <v>601.64</v>
      </c>
    </row>
    <row r="1714" spans="1:2">
      <c r="A1714" s="10" t="s">
        <v>1913</v>
      </c>
      <c r="B1714" s="16">
        <v>592.16</v>
      </c>
    </row>
    <row r="1715" spans="1:2">
      <c r="A1715" s="10" t="s">
        <v>1914</v>
      </c>
      <c r="B1715" s="16">
        <v>595.97</v>
      </c>
    </row>
    <row r="1716" spans="1:2">
      <c r="A1716" s="10" t="s">
        <v>1915</v>
      </c>
      <c r="B1716" s="16">
        <v>593.24</v>
      </c>
    </row>
    <row r="1717" spans="1:2">
      <c r="A1717" s="10" t="s">
        <v>1916</v>
      </c>
      <c r="B1717" s="16">
        <v>593.71</v>
      </c>
    </row>
    <row r="1718" spans="1:2">
      <c r="A1718" s="10" t="s">
        <v>1917</v>
      </c>
      <c r="B1718" s="16">
        <v>602.41</v>
      </c>
    </row>
    <row r="1719" spans="1:2">
      <c r="A1719" s="10" t="s">
        <v>1918</v>
      </c>
      <c r="B1719" s="16">
        <v>605.51</v>
      </c>
    </row>
    <row r="1720" spans="1:2">
      <c r="A1720" s="10" t="s">
        <v>1919</v>
      </c>
      <c r="B1720" s="16">
        <v>614.41</v>
      </c>
    </row>
    <row r="1721" spans="1:2">
      <c r="A1721" s="10" t="s">
        <v>1920</v>
      </c>
      <c r="B1721" s="16">
        <v>609.85</v>
      </c>
    </row>
    <row r="1722" spans="1:2">
      <c r="A1722" s="10" t="s">
        <v>1921</v>
      </c>
      <c r="B1722" s="16">
        <v>615.13</v>
      </c>
    </row>
    <row r="1723" spans="1:2">
      <c r="A1723" s="10" t="s">
        <v>1922</v>
      </c>
      <c r="B1723" s="16">
        <v>620.96</v>
      </c>
    </row>
    <row r="1724" spans="1:2">
      <c r="A1724" s="10" t="s">
        <v>1923</v>
      </c>
      <c r="B1724" s="16">
        <v>607.14</v>
      </c>
    </row>
    <row r="1725" spans="1:2">
      <c r="A1725" s="10" t="s">
        <v>1924</v>
      </c>
      <c r="B1725" s="16">
        <v>604.1</v>
      </c>
    </row>
    <row r="1726" spans="1:2">
      <c r="A1726" s="10" t="s">
        <v>1925</v>
      </c>
      <c r="B1726" s="16">
        <v>594</v>
      </c>
    </row>
    <row r="1727" spans="1:2">
      <c r="A1727" s="10" t="s">
        <v>1926</v>
      </c>
      <c r="B1727" s="16">
        <v>585.52</v>
      </c>
    </row>
    <row r="1728" spans="1:2">
      <c r="A1728" s="10" t="s">
        <v>1927</v>
      </c>
      <c r="B1728" s="16">
        <v>583.64</v>
      </c>
    </row>
    <row r="1729" spans="1:2">
      <c r="A1729" s="10" t="s">
        <v>1928</v>
      </c>
      <c r="B1729" s="16">
        <v>587.55999999999995</v>
      </c>
    </row>
    <row r="1730" spans="1:2">
      <c r="A1730" s="10" t="s">
        <v>1929</v>
      </c>
      <c r="B1730" s="16">
        <v>592.15</v>
      </c>
    </row>
    <row r="1731" spans="1:2">
      <c r="A1731" s="10" t="s">
        <v>1930</v>
      </c>
      <c r="B1731" s="16">
        <v>593.6</v>
      </c>
    </row>
    <row r="1732" spans="1:2">
      <c r="A1732" s="10" t="s">
        <v>1931</v>
      </c>
      <c r="B1732" s="16">
        <v>586.48</v>
      </c>
    </row>
    <row r="1733" spans="1:2">
      <c r="A1733" s="10" t="s">
        <v>1932</v>
      </c>
      <c r="B1733" s="16">
        <v>575.41999999999996</v>
      </c>
    </row>
    <row r="1734" spans="1:2">
      <c r="A1734" s="10" t="s">
        <v>1933</v>
      </c>
      <c r="B1734" s="16">
        <v>574</v>
      </c>
    </row>
    <row r="1735" spans="1:2">
      <c r="A1735" s="10" t="s">
        <v>1934</v>
      </c>
      <c r="B1735" s="16">
        <v>569.53</v>
      </c>
    </row>
    <row r="1736" spans="1:2">
      <c r="A1736" s="10" t="s">
        <v>1935</v>
      </c>
      <c r="B1736" s="16">
        <v>560.21</v>
      </c>
    </row>
    <row r="1737" spans="1:2">
      <c r="A1737" s="10" t="s">
        <v>1936</v>
      </c>
      <c r="B1737" s="16">
        <v>552.41</v>
      </c>
    </row>
    <row r="1738" spans="1:2">
      <c r="A1738" s="10" t="s">
        <v>1937</v>
      </c>
      <c r="B1738" s="16">
        <v>542.39</v>
      </c>
    </row>
    <row r="1739" spans="1:2">
      <c r="A1739" s="10" t="s">
        <v>1938</v>
      </c>
      <c r="B1739" s="16">
        <v>557.16999999999996</v>
      </c>
    </row>
    <row r="1740" spans="1:2">
      <c r="A1740" s="10" t="s">
        <v>1939</v>
      </c>
      <c r="B1740" s="16">
        <v>559.73</v>
      </c>
    </row>
    <row r="1741" spans="1:2">
      <c r="A1741" s="10" t="s">
        <v>1940</v>
      </c>
      <c r="B1741" s="16">
        <v>563.37</v>
      </c>
    </row>
    <row r="1742" spans="1:2">
      <c r="A1742" s="10" t="s">
        <v>1941</v>
      </c>
      <c r="B1742" s="16">
        <v>564.88</v>
      </c>
    </row>
    <row r="1743" spans="1:2">
      <c r="A1743" s="10" t="s">
        <v>1942</v>
      </c>
      <c r="B1743" s="16">
        <v>550.49</v>
      </c>
    </row>
    <row r="1744" spans="1:2">
      <c r="A1744" s="10" t="s">
        <v>1943</v>
      </c>
      <c r="B1744" s="16">
        <v>567.41</v>
      </c>
    </row>
    <row r="1745" spans="1:2">
      <c r="A1745" s="10" t="s">
        <v>1944</v>
      </c>
      <c r="B1745" s="16">
        <v>566.76</v>
      </c>
    </row>
    <row r="1746" spans="1:2">
      <c r="A1746" s="10" t="s">
        <v>1945</v>
      </c>
      <c r="B1746" s="16">
        <v>570.6</v>
      </c>
    </row>
    <row r="1747" spans="1:2">
      <c r="A1747" s="10" t="s">
        <v>1946</v>
      </c>
      <c r="B1747" s="16">
        <v>570.88</v>
      </c>
    </row>
    <row r="1748" spans="1:2">
      <c r="A1748" s="10" t="s">
        <v>1947</v>
      </c>
      <c r="B1748" s="16">
        <v>571.72</v>
      </c>
    </row>
    <row r="1749" spans="1:2">
      <c r="A1749" s="10" t="s">
        <v>1948</v>
      </c>
      <c r="B1749" s="16">
        <v>572.53</v>
      </c>
    </row>
    <row r="1750" spans="1:2">
      <c r="A1750" s="10" t="s">
        <v>1949</v>
      </c>
      <c r="B1750" s="16">
        <v>569.22</v>
      </c>
    </row>
    <row r="1751" spans="1:2">
      <c r="A1751" s="10" t="s">
        <v>1950</v>
      </c>
      <c r="B1751" s="16">
        <v>575.4</v>
      </c>
    </row>
    <row r="1752" spans="1:2">
      <c r="A1752" s="10" t="s">
        <v>1951</v>
      </c>
      <c r="B1752" s="16">
        <v>579.05999999999995</v>
      </c>
    </row>
    <row r="1753" spans="1:2">
      <c r="A1753" s="10" t="s">
        <v>1952</v>
      </c>
      <c r="B1753" s="16">
        <v>580.9</v>
      </c>
    </row>
    <row r="1754" spans="1:2">
      <c r="A1754" s="10" t="s">
        <v>1953</v>
      </c>
      <c r="B1754" s="16">
        <v>590.23</v>
      </c>
    </row>
    <row r="1755" spans="1:2">
      <c r="A1755" s="10" t="s">
        <v>1954</v>
      </c>
      <c r="B1755" s="16">
        <v>589.12</v>
      </c>
    </row>
    <row r="1756" spans="1:2">
      <c r="A1756" s="10" t="s">
        <v>1955</v>
      </c>
      <c r="B1756" s="16">
        <v>583.89</v>
      </c>
    </row>
    <row r="1757" spans="1:2">
      <c r="A1757" s="10" t="s">
        <v>1956</v>
      </c>
      <c r="B1757" s="16">
        <v>584.75</v>
      </c>
    </row>
    <row r="1758" spans="1:2">
      <c r="A1758" s="10" t="s">
        <v>1957</v>
      </c>
      <c r="B1758" s="16">
        <v>586.01</v>
      </c>
    </row>
    <row r="1759" spans="1:2">
      <c r="A1759" s="10" t="s">
        <v>1958</v>
      </c>
      <c r="B1759" s="16">
        <v>589.84</v>
      </c>
    </row>
    <row r="1760" spans="1:2">
      <c r="A1760" s="10" t="s">
        <v>1959</v>
      </c>
      <c r="B1760" s="16">
        <v>582.97</v>
      </c>
    </row>
    <row r="1761" spans="1:2">
      <c r="A1761" s="10" t="s">
        <v>1960</v>
      </c>
      <c r="B1761" s="16">
        <v>583.03</v>
      </c>
    </row>
    <row r="1762" spans="1:2">
      <c r="A1762" s="10" t="s">
        <v>1961</v>
      </c>
      <c r="B1762" s="16">
        <v>588.66999999999996</v>
      </c>
    </row>
    <row r="1763" spans="1:2">
      <c r="A1763" s="10" t="s">
        <v>1962</v>
      </c>
      <c r="B1763" s="16">
        <v>588.54</v>
      </c>
    </row>
    <row r="1764" spans="1:2">
      <c r="A1764" s="10" t="s">
        <v>1963</v>
      </c>
      <c r="B1764" s="16">
        <v>589.24</v>
      </c>
    </row>
    <row r="1765" spans="1:2">
      <c r="A1765" s="10" t="s">
        <v>1964</v>
      </c>
      <c r="B1765" s="16">
        <v>592.98</v>
      </c>
    </row>
    <row r="1766" spans="1:2">
      <c r="A1766" s="10" t="s">
        <v>1965</v>
      </c>
      <c r="B1766" s="16">
        <v>599.22</v>
      </c>
    </row>
    <row r="1767" spans="1:2">
      <c r="A1767" s="10" t="s">
        <v>1966</v>
      </c>
      <c r="B1767" s="16">
        <v>600.15</v>
      </c>
    </row>
    <row r="1768" spans="1:2">
      <c r="A1768" s="10" t="s">
        <v>1967</v>
      </c>
      <c r="B1768" s="16">
        <v>592.22</v>
      </c>
    </row>
    <row r="1769" spans="1:2">
      <c r="A1769" s="10" t="s">
        <v>1968</v>
      </c>
      <c r="B1769" s="16">
        <v>591.63</v>
      </c>
    </row>
    <row r="1770" spans="1:2">
      <c r="A1770" s="10" t="s">
        <v>1969</v>
      </c>
      <c r="B1770" s="16">
        <v>594.98</v>
      </c>
    </row>
    <row r="1771" spans="1:2">
      <c r="A1771" s="10" t="s">
        <v>1970</v>
      </c>
      <c r="B1771" s="16">
        <v>600.32000000000005</v>
      </c>
    </row>
    <row r="1772" spans="1:2">
      <c r="A1772" s="10" t="s">
        <v>1971</v>
      </c>
      <c r="B1772" s="16">
        <v>602.45000000000005</v>
      </c>
    </row>
    <row r="1773" spans="1:2">
      <c r="A1773" s="10" t="s">
        <v>1972</v>
      </c>
      <c r="B1773" s="16">
        <v>601.33000000000004</v>
      </c>
    </row>
    <row r="1774" spans="1:2">
      <c r="A1774" s="10" t="s">
        <v>1973</v>
      </c>
      <c r="B1774" s="16">
        <v>610.38</v>
      </c>
    </row>
    <row r="1775" spans="1:2">
      <c r="A1775" s="10" t="s">
        <v>1974</v>
      </c>
      <c r="B1775" s="16">
        <v>609.27</v>
      </c>
    </row>
    <row r="1776" spans="1:2">
      <c r="A1776" s="10" t="s">
        <v>1975</v>
      </c>
      <c r="B1776" s="16">
        <v>608.04999999999995</v>
      </c>
    </row>
    <row r="1777" spans="1:2">
      <c r="A1777" s="10" t="s">
        <v>1976</v>
      </c>
      <c r="B1777" s="16">
        <v>609</v>
      </c>
    </row>
    <row r="1778" spans="1:2">
      <c r="A1778" s="10" t="s">
        <v>1977</v>
      </c>
      <c r="B1778" s="16">
        <v>608.1</v>
      </c>
    </row>
    <row r="1779" spans="1:2">
      <c r="A1779" s="10" t="s">
        <v>1978</v>
      </c>
      <c r="B1779" s="16">
        <v>611.96</v>
      </c>
    </row>
    <row r="1780" spans="1:2">
      <c r="A1780" s="10" t="s">
        <v>1979</v>
      </c>
      <c r="B1780" s="16">
        <v>613</v>
      </c>
    </row>
    <row r="1781" spans="1:2">
      <c r="A1781" s="10" t="s">
        <v>1980</v>
      </c>
      <c r="B1781" s="16">
        <v>613.65</v>
      </c>
    </row>
    <row r="1782" spans="1:2">
      <c r="A1782" s="10" t="s">
        <v>1981</v>
      </c>
      <c r="B1782" s="16">
        <v>610.87</v>
      </c>
    </row>
    <row r="1783" spans="1:2">
      <c r="A1783" s="10" t="s">
        <v>1982</v>
      </c>
      <c r="B1783" s="16">
        <v>610.73</v>
      </c>
    </row>
    <row r="1784" spans="1:2">
      <c r="A1784" s="10" t="s">
        <v>1983</v>
      </c>
      <c r="B1784" s="16">
        <v>614.38</v>
      </c>
    </row>
    <row r="1785" spans="1:2">
      <c r="A1785" s="10" t="s">
        <v>1984</v>
      </c>
      <c r="B1785" s="16">
        <v>614.80999999999995</v>
      </c>
    </row>
    <row r="1786" spans="1:2">
      <c r="A1786" s="10" t="s">
        <v>1985</v>
      </c>
      <c r="B1786" s="16">
        <v>615.32000000000005</v>
      </c>
    </row>
    <row r="1787" spans="1:2">
      <c r="A1787" s="10" t="s">
        <v>1986</v>
      </c>
      <c r="B1787" s="16">
        <v>612.55999999999995</v>
      </c>
    </row>
    <row r="1788" spans="1:2">
      <c r="A1788" s="10" t="s">
        <v>1987</v>
      </c>
      <c r="B1788" s="16">
        <v>611.53</v>
      </c>
    </row>
    <row r="1789" spans="1:2">
      <c r="A1789" s="10" t="s">
        <v>1988</v>
      </c>
      <c r="B1789" s="16">
        <v>608.9</v>
      </c>
    </row>
    <row r="1790" spans="1:2">
      <c r="A1790" s="10" t="s">
        <v>1989</v>
      </c>
      <c r="B1790" s="16">
        <v>616.91999999999996</v>
      </c>
    </row>
    <row r="1791" spans="1:2">
      <c r="A1791" s="10" t="s">
        <v>1990</v>
      </c>
      <c r="B1791" s="16">
        <v>617.08000000000004</v>
      </c>
    </row>
    <row r="1792" spans="1:2">
      <c r="A1792" s="10" t="s">
        <v>1991</v>
      </c>
      <c r="B1792" s="16">
        <v>619.36</v>
      </c>
    </row>
    <row r="1793" spans="1:2">
      <c r="A1793" s="10" t="s">
        <v>1992</v>
      </c>
      <c r="B1793" s="16">
        <v>622.29</v>
      </c>
    </row>
    <row r="1794" spans="1:2">
      <c r="A1794" s="10" t="s">
        <v>1993</v>
      </c>
      <c r="B1794" s="16">
        <v>627.74</v>
      </c>
    </row>
    <row r="1795" spans="1:2">
      <c r="A1795" s="10" t="s">
        <v>1994</v>
      </c>
      <c r="B1795" s="16">
        <v>628.37</v>
      </c>
    </row>
    <row r="1796" spans="1:2">
      <c r="A1796" s="10" t="s">
        <v>1995</v>
      </c>
      <c r="B1796" s="16">
        <v>629.75</v>
      </c>
    </row>
    <row r="1797" spans="1:2">
      <c r="A1797" s="10" t="s">
        <v>1996</v>
      </c>
      <c r="B1797" s="16">
        <v>625.75</v>
      </c>
    </row>
    <row r="1798" spans="1:2">
      <c r="A1798" s="10" t="s">
        <v>1997</v>
      </c>
      <c r="B1798" s="16">
        <v>628.86</v>
      </c>
    </row>
    <row r="1799" spans="1:2">
      <c r="A1799" s="10" t="s">
        <v>1998</v>
      </c>
      <c r="B1799" s="16">
        <v>620.11</v>
      </c>
    </row>
    <row r="1800" spans="1:2">
      <c r="A1800" s="10" t="s">
        <v>1999</v>
      </c>
      <c r="B1800" s="16">
        <v>616.95000000000005</v>
      </c>
    </row>
    <row r="1801" spans="1:2">
      <c r="A1801" s="10" t="s">
        <v>2000</v>
      </c>
      <c r="B1801" s="16">
        <v>622.04999999999995</v>
      </c>
    </row>
    <row r="1802" spans="1:2">
      <c r="A1802" s="10" t="s">
        <v>2001</v>
      </c>
      <c r="B1802" s="16">
        <v>621.64</v>
      </c>
    </row>
    <row r="1803" spans="1:2">
      <c r="A1803" s="10" t="s">
        <v>2002</v>
      </c>
      <c r="B1803" s="16">
        <v>622.42999999999995</v>
      </c>
    </row>
    <row r="1804" spans="1:2">
      <c r="A1804" s="10" t="s">
        <v>2003</v>
      </c>
      <c r="B1804" s="16">
        <v>627.49</v>
      </c>
    </row>
    <row r="1805" spans="1:2">
      <c r="A1805" s="10" t="s">
        <v>2004</v>
      </c>
      <c r="B1805" s="16">
        <v>633.92999999999995</v>
      </c>
    </row>
    <row r="1806" spans="1:2">
      <c r="A1806" s="10" t="s">
        <v>2005</v>
      </c>
      <c r="B1806" s="16">
        <v>636.38</v>
      </c>
    </row>
    <row r="1807" spans="1:2">
      <c r="A1807" s="10" t="s">
        <v>2006</v>
      </c>
      <c r="B1807" s="16">
        <v>639.89</v>
      </c>
    </row>
    <row r="1808" spans="1:2">
      <c r="A1808" s="10" t="s">
        <v>2007</v>
      </c>
      <c r="B1808" s="16">
        <v>641.08000000000004</v>
      </c>
    </row>
    <row r="1809" spans="1:2">
      <c r="A1809" s="10" t="s">
        <v>2008</v>
      </c>
      <c r="B1809" s="16">
        <v>641.58000000000004</v>
      </c>
    </row>
    <row r="1810" spans="1:2">
      <c r="A1810" s="10" t="s">
        <v>2009</v>
      </c>
      <c r="B1810" s="16">
        <v>640.12</v>
      </c>
    </row>
    <row r="1811" spans="1:2">
      <c r="A1811" s="10" t="s">
        <v>2010</v>
      </c>
      <c r="B1811" s="16">
        <v>636.24</v>
      </c>
    </row>
    <row r="1812" spans="1:2">
      <c r="A1812" s="10" t="s">
        <v>2011</v>
      </c>
      <c r="B1812" s="16">
        <v>638.98</v>
      </c>
    </row>
    <row r="1813" spans="1:2">
      <c r="A1813" s="10" t="s">
        <v>2012</v>
      </c>
      <c r="B1813" s="16">
        <v>638.53</v>
      </c>
    </row>
    <row r="1814" spans="1:2">
      <c r="A1814" s="10" t="s">
        <v>2013</v>
      </c>
      <c r="B1814" s="16">
        <v>641.26</v>
      </c>
    </row>
    <row r="1815" spans="1:2">
      <c r="A1815" s="10" t="s">
        <v>2014</v>
      </c>
      <c r="B1815" s="16">
        <v>641.71</v>
      </c>
    </row>
    <row r="1816" spans="1:2">
      <c r="A1816" s="10" t="s">
        <v>2015</v>
      </c>
      <c r="B1816" s="16">
        <v>643.61</v>
      </c>
    </row>
    <row r="1817" spans="1:2">
      <c r="A1817" s="10" t="s">
        <v>2016</v>
      </c>
      <c r="B1817" s="16">
        <v>645.71</v>
      </c>
    </row>
    <row r="1818" spans="1:2">
      <c r="A1818" s="10" t="s">
        <v>2017</v>
      </c>
      <c r="B1818" s="16">
        <v>649.70000000000005</v>
      </c>
    </row>
    <row r="1819" spans="1:2">
      <c r="A1819" s="10" t="s">
        <v>2018</v>
      </c>
      <c r="B1819" s="16">
        <v>653.76</v>
      </c>
    </row>
    <row r="1820" spans="1:2">
      <c r="A1820" s="10" t="s">
        <v>2019</v>
      </c>
      <c r="B1820" s="16">
        <v>653.76</v>
      </c>
    </row>
    <row r="1821" spans="1:2">
      <c r="A1821" s="10" t="s">
        <v>2020</v>
      </c>
      <c r="B1821" s="16">
        <v>655.30999999999995</v>
      </c>
    </row>
    <row r="1822" spans="1:2">
      <c r="A1822" s="10" t="s">
        <v>2021</v>
      </c>
      <c r="B1822" s="16">
        <v>656.28</v>
      </c>
    </row>
    <row r="1823" spans="1:2">
      <c r="A1823" s="10" t="s">
        <v>2022</v>
      </c>
      <c r="B1823" s="16">
        <v>657.26</v>
      </c>
    </row>
    <row r="1824" spans="1:2">
      <c r="A1824" s="10" t="s">
        <v>2023</v>
      </c>
      <c r="B1824" s="16">
        <v>656.24</v>
      </c>
    </row>
    <row r="1825" spans="1:2">
      <c r="A1825" s="10" t="s">
        <v>2024</v>
      </c>
      <c r="B1825" s="16">
        <v>653.17999999999995</v>
      </c>
    </row>
    <row r="1826" spans="1:2">
      <c r="A1826" s="10" t="s">
        <v>2025</v>
      </c>
      <c r="B1826" s="16">
        <v>652.21</v>
      </c>
    </row>
    <row r="1827" spans="1:2">
      <c r="A1827" s="10" t="s">
        <v>2026</v>
      </c>
      <c r="B1827" s="16">
        <v>656.67</v>
      </c>
    </row>
    <row r="1828" spans="1:2">
      <c r="A1828" s="10" t="s">
        <v>2027</v>
      </c>
      <c r="B1828" s="16">
        <v>651.67999999999995</v>
      </c>
    </row>
    <row r="1829" spans="1:2">
      <c r="A1829" s="10" t="s">
        <v>2028</v>
      </c>
      <c r="B1829" s="16">
        <v>641.20000000000005</v>
      </c>
    </row>
    <row r="1830" spans="1:2">
      <c r="A1830" s="10" t="s">
        <v>2029</v>
      </c>
      <c r="B1830" s="16">
        <v>641.09</v>
      </c>
    </row>
    <row r="1831" spans="1:2">
      <c r="A1831" s="10" t="s">
        <v>2030</v>
      </c>
      <c r="B1831" s="16">
        <v>633.66999999999996</v>
      </c>
    </row>
    <row r="1832" spans="1:2">
      <c r="A1832" s="10" t="s">
        <v>2031</v>
      </c>
      <c r="B1832" s="16">
        <v>635.48</v>
      </c>
    </row>
    <row r="1833" spans="1:2">
      <c r="A1833" s="10" t="s">
        <v>2032</v>
      </c>
      <c r="B1833" s="16">
        <v>622.45000000000005</v>
      </c>
    </row>
    <row r="1834" spans="1:2">
      <c r="A1834" s="10" t="s">
        <v>2033</v>
      </c>
      <c r="B1834" s="16">
        <v>630.28</v>
      </c>
    </row>
    <row r="1835" spans="1:2">
      <c r="A1835" s="10" t="s">
        <v>2034</v>
      </c>
      <c r="B1835" s="16">
        <v>634.24</v>
      </c>
    </row>
    <row r="1836" spans="1:2">
      <c r="A1836" s="10" t="s">
        <v>2035</v>
      </c>
      <c r="B1836" s="16">
        <v>643.34</v>
      </c>
    </row>
    <row r="1837" spans="1:2">
      <c r="A1837" s="10" t="s">
        <v>2036</v>
      </c>
      <c r="B1837" s="16">
        <v>641.14</v>
      </c>
    </row>
    <row r="1838" spans="1:2">
      <c r="A1838" s="10" t="s">
        <v>2037</v>
      </c>
      <c r="B1838" s="16">
        <v>633.75</v>
      </c>
    </row>
    <row r="1839" spans="1:2">
      <c r="A1839" s="10" t="s">
        <v>2038</v>
      </c>
      <c r="B1839" s="16">
        <v>638.14</v>
      </c>
    </row>
    <row r="1840" spans="1:2">
      <c r="A1840" s="10" t="s">
        <v>2039</v>
      </c>
      <c r="B1840" s="16">
        <v>637.57000000000005</v>
      </c>
    </row>
    <row r="1841" spans="1:2">
      <c r="A1841" s="10" t="s">
        <v>2040</v>
      </c>
      <c r="B1841" s="16">
        <v>629.19000000000005</v>
      </c>
    </row>
    <row r="1842" spans="1:2">
      <c r="A1842" s="10" t="s">
        <v>2041</v>
      </c>
      <c r="B1842" s="16">
        <v>630.03</v>
      </c>
    </row>
    <row r="1843" spans="1:2">
      <c r="A1843" s="10" t="s">
        <v>2042</v>
      </c>
      <c r="B1843" s="16">
        <v>631.19000000000005</v>
      </c>
    </row>
    <row r="1844" spans="1:2">
      <c r="A1844" s="10" t="s">
        <v>2043</v>
      </c>
      <c r="B1844" s="16">
        <v>627.62</v>
      </c>
    </row>
    <row r="1845" spans="1:2">
      <c r="A1845" s="10" t="s">
        <v>2044</v>
      </c>
      <c r="B1845" s="16">
        <v>622.53</v>
      </c>
    </row>
    <row r="1846" spans="1:2">
      <c r="A1846" s="10" t="s">
        <v>2045</v>
      </c>
      <c r="B1846" s="16">
        <v>625.23</v>
      </c>
    </row>
    <row r="1847" spans="1:2">
      <c r="A1847" s="10" t="s">
        <v>2046</v>
      </c>
      <c r="B1847" s="16">
        <v>616.54999999999995</v>
      </c>
    </row>
    <row r="1848" spans="1:2">
      <c r="A1848" s="10" t="s">
        <v>2047</v>
      </c>
      <c r="B1848" s="16">
        <v>613.16</v>
      </c>
    </row>
    <row r="1849" spans="1:2">
      <c r="A1849" s="10" t="s">
        <v>2048</v>
      </c>
      <c r="B1849" s="16">
        <v>622.79</v>
      </c>
    </row>
    <row r="1850" spans="1:2">
      <c r="A1850" s="10" t="s">
        <v>2049</v>
      </c>
      <c r="B1850" s="16">
        <v>626.16</v>
      </c>
    </row>
    <row r="1851" spans="1:2">
      <c r="A1851" s="10" t="s">
        <v>2050</v>
      </c>
      <c r="B1851" s="16">
        <v>627.88</v>
      </c>
    </row>
    <row r="1852" spans="1:2">
      <c r="A1852" s="10" t="s">
        <v>2051</v>
      </c>
      <c r="B1852" s="16">
        <v>633.63</v>
      </c>
    </row>
    <row r="1853" spans="1:2">
      <c r="A1853" s="10" t="s">
        <v>2052</v>
      </c>
      <c r="B1853" s="16">
        <v>636.36</v>
      </c>
    </row>
    <row r="1854" spans="1:2">
      <c r="A1854" s="10" t="s">
        <v>2053</v>
      </c>
      <c r="B1854" s="16">
        <v>638.07000000000005</v>
      </c>
    </row>
    <row r="1855" spans="1:2">
      <c r="A1855" s="10" t="s">
        <v>2054</v>
      </c>
      <c r="B1855" s="16">
        <v>636.21</v>
      </c>
    </row>
    <row r="1856" spans="1:2">
      <c r="A1856" s="10" t="s">
        <v>2055</v>
      </c>
      <c r="B1856" s="16">
        <v>639.59</v>
      </c>
    </row>
    <row r="1857" spans="1:2">
      <c r="A1857" s="10" t="s">
        <v>2056</v>
      </c>
      <c r="B1857" s="16">
        <v>639.16</v>
      </c>
    </row>
    <row r="1858" spans="1:2">
      <c r="A1858" s="10" t="s">
        <v>2057</v>
      </c>
      <c r="B1858" s="16">
        <v>638.92999999999995</v>
      </c>
    </row>
    <row r="1859" spans="1:2">
      <c r="A1859" s="10" t="s">
        <v>2058</v>
      </c>
      <c r="B1859" s="16">
        <v>649.6</v>
      </c>
    </row>
    <row r="1860" spans="1:2">
      <c r="A1860" s="10" t="s">
        <v>2059</v>
      </c>
      <c r="B1860" s="16">
        <v>649.84</v>
      </c>
    </row>
    <row r="1861" spans="1:2">
      <c r="A1861" s="10" t="s">
        <v>2060</v>
      </c>
      <c r="B1861" s="16">
        <v>651.79999999999995</v>
      </c>
    </row>
    <row r="1862" spans="1:2">
      <c r="A1862" s="10" t="s">
        <v>2061</v>
      </c>
      <c r="B1862" s="16">
        <v>650.14</v>
      </c>
    </row>
    <row r="1863" spans="1:2">
      <c r="A1863" s="10" t="s">
        <v>2062</v>
      </c>
      <c r="B1863" s="16">
        <v>646.41999999999996</v>
      </c>
    </row>
    <row r="1864" spans="1:2">
      <c r="A1864" s="10" t="s">
        <v>2063</v>
      </c>
      <c r="B1864" s="16">
        <v>640.4</v>
      </c>
    </row>
    <row r="1865" spans="1:2">
      <c r="A1865" s="10" t="s">
        <v>2064</v>
      </c>
      <c r="B1865" s="16">
        <v>640.9</v>
      </c>
    </row>
    <row r="1866" spans="1:2">
      <c r="A1866" s="10" t="s">
        <v>2065</v>
      </c>
      <c r="B1866" s="16">
        <v>642.17999999999995</v>
      </c>
    </row>
    <row r="1867" spans="1:2">
      <c r="A1867" s="10" t="s">
        <v>2066</v>
      </c>
      <c r="B1867" s="16">
        <v>645.52</v>
      </c>
    </row>
    <row r="1868" spans="1:2">
      <c r="A1868" s="10" t="s">
        <v>2067</v>
      </c>
      <c r="B1868" s="16">
        <v>652.87</v>
      </c>
    </row>
    <row r="1869" spans="1:2">
      <c r="A1869" s="10" t="s">
        <v>2068</v>
      </c>
      <c r="B1869" s="16">
        <v>656.66</v>
      </c>
    </row>
    <row r="1870" spans="1:2">
      <c r="A1870" s="10" t="s">
        <v>2069</v>
      </c>
      <c r="B1870" s="16">
        <v>662.68</v>
      </c>
    </row>
    <row r="1871" spans="1:2">
      <c r="A1871" s="10" t="s">
        <v>2070</v>
      </c>
      <c r="B1871" s="16">
        <v>663.37</v>
      </c>
    </row>
    <row r="1872" spans="1:2">
      <c r="A1872" s="10" t="s">
        <v>2071</v>
      </c>
      <c r="B1872" s="16">
        <v>662.88</v>
      </c>
    </row>
    <row r="1873" spans="1:2">
      <c r="A1873" s="10" t="s">
        <v>2072</v>
      </c>
      <c r="B1873" s="16">
        <v>660.14</v>
      </c>
    </row>
    <row r="1874" spans="1:2">
      <c r="A1874" s="10" t="s">
        <v>2073</v>
      </c>
      <c r="B1874" s="16">
        <v>659.11</v>
      </c>
    </row>
    <row r="1875" spans="1:2">
      <c r="A1875" s="10" t="s">
        <v>2074</v>
      </c>
      <c r="B1875" s="16">
        <v>659.1</v>
      </c>
    </row>
    <row r="1876" spans="1:2">
      <c r="A1876" s="10" t="s">
        <v>2075</v>
      </c>
      <c r="B1876" s="16">
        <v>659.97</v>
      </c>
    </row>
    <row r="1877" spans="1:2">
      <c r="A1877" s="10" t="s">
        <v>2076</v>
      </c>
      <c r="B1877" s="16">
        <v>661.48</v>
      </c>
    </row>
    <row r="1878" spans="1:2">
      <c r="A1878" s="10" t="s">
        <v>2077</v>
      </c>
      <c r="B1878" s="16">
        <v>661.93</v>
      </c>
    </row>
    <row r="1879" spans="1:2">
      <c r="A1879" s="10" t="s">
        <v>2078</v>
      </c>
      <c r="B1879" s="16">
        <v>662.88</v>
      </c>
    </row>
    <row r="1880" spans="1:2">
      <c r="A1880" s="10" t="s">
        <v>2079</v>
      </c>
      <c r="B1880" s="16">
        <v>660.06</v>
      </c>
    </row>
    <row r="1881" spans="1:2">
      <c r="A1881" s="10" t="s">
        <v>2080</v>
      </c>
      <c r="B1881" s="16">
        <v>660.13</v>
      </c>
    </row>
    <row r="1882" spans="1:2">
      <c r="A1882" s="10" t="s">
        <v>2081</v>
      </c>
      <c r="B1882" s="16">
        <v>656.03</v>
      </c>
    </row>
    <row r="1883" spans="1:2">
      <c r="A1883" s="10" t="s">
        <v>2082</v>
      </c>
      <c r="B1883" s="16">
        <v>658.65</v>
      </c>
    </row>
    <row r="1884" spans="1:2">
      <c r="A1884" s="10" t="s">
        <v>2083</v>
      </c>
      <c r="B1884" s="16">
        <v>666.59</v>
      </c>
    </row>
    <row r="1885" spans="1:2">
      <c r="A1885" s="10" t="s">
        <v>2084</v>
      </c>
      <c r="B1885" s="16">
        <v>669.51</v>
      </c>
    </row>
    <row r="1886" spans="1:2">
      <c r="A1886" s="10" t="s">
        <v>2085</v>
      </c>
      <c r="B1886" s="16">
        <v>665.98</v>
      </c>
    </row>
    <row r="1887" spans="1:2">
      <c r="A1887" s="10" t="s">
        <v>2086</v>
      </c>
      <c r="B1887" s="16">
        <v>671.94</v>
      </c>
    </row>
    <row r="1888" spans="1:2">
      <c r="A1888" s="10" t="s">
        <v>2087</v>
      </c>
      <c r="B1888" s="16">
        <v>671.47</v>
      </c>
    </row>
    <row r="1889" spans="1:2">
      <c r="A1889" s="10" t="s">
        <v>2088</v>
      </c>
      <c r="B1889" s="16">
        <v>664.38</v>
      </c>
    </row>
    <row r="1890" spans="1:2">
      <c r="A1890" s="10" t="s">
        <v>2089</v>
      </c>
      <c r="B1890" s="16">
        <v>660.4</v>
      </c>
    </row>
    <row r="1891" spans="1:2">
      <c r="A1891" s="10" t="s">
        <v>2090</v>
      </c>
      <c r="B1891" s="16">
        <v>662.33</v>
      </c>
    </row>
    <row r="1892" spans="1:2">
      <c r="A1892" s="10" t="s">
        <v>2091</v>
      </c>
      <c r="B1892" s="16">
        <v>648.72</v>
      </c>
    </row>
    <row r="1893" spans="1:2">
      <c r="A1893" s="10" t="s">
        <v>2092</v>
      </c>
      <c r="B1893" s="16">
        <v>627.85</v>
      </c>
    </row>
    <row r="1894" spans="1:2">
      <c r="A1894" s="10" t="s">
        <v>2093</v>
      </c>
      <c r="B1894" s="16">
        <v>631.52</v>
      </c>
    </row>
    <row r="1895" spans="1:2">
      <c r="A1895" s="10" t="s">
        <v>2094</v>
      </c>
      <c r="B1895" s="16">
        <v>631.6</v>
      </c>
    </row>
    <row r="1896" spans="1:2">
      <c r="A1896" s="10" t="s">
        <v>2095</v>
      </c>
      <c r="B1896" s="16">
        <v>643.16</v>
      </c>
    </row>
    <row r="1897" spans="1:2">
      <c r="A1897" s="10" t="s">
        <v>2096</v>
      </c>
      <c r="B1897" s="16">
        <v>636.65</v>
      </c>
    </row>
    <row r="1898" spans="1:2">
      <c r="A1898" s="10" t="s">
        <v>2097</v>
      </c>
      <c r="B1898" s="16">
        <v>630.48</v>
      </c>
    </row>
    <row r="1899" spans="1:2">
      <c r="A1899" s="10" t="s">
        <v>2098</v>
      </c>
      <c r="B1899" s="16">
        <v>639.62</v>
      </c>
    </row>
    <row r="1900" spans="1:2">
      <c r="A1900" s="10" t="s">
        <v>2099</v>
      </c>
      <c r="B1900" s="16">
        <v>625.21</v>
      </c>
    </row>
    <row r="1901" spans="1:2">
      <c r="A1901" s="10" t="s">
        <v>2100</v>
      </c>
      <c r="B1901" s="16">
        <v>625.49</v>
      </c>
    </row>
    <row r="1902" spans="1:2">
      <c r="A1902" s="10" t="s">
        <v>2101</v>
      </c>
      <c r="B1902" s="16">
        <v>635.47</v>
      </c>
    </row>
    <row r="1903" spans="1:2">
      <c r="A1903" s="10" t="s">
        <v>2102</v>
      </c>
      <c r="B1903" s="16">
        <v>643.45000000000005</v>
      </c>
    </row>
    <row r="1904" spans="1:2">
      <c r="A1904" s="10" t="s">
        <v>2103</v>
      </c>
      <c r="B1904" s="16">
        <v>639.49</v>
      </c>
    </row>
    <row r="1905" spans="1:2">
      <c r="A1905" s="10" t="s">
        <v>2104</v>
      </c>
      <c r="B1905" s="16">
        <v>646.44000000000005</v>
      </c>
    </row>
    <row r="1906" spans="1:2">
      <c r="A1906" s="10" t="s">
        <v>2105</v>
      </c>
      <c r="B1906" s="16">
        <v>644.79</v>
      </c>
    </row>
    <row r="1907" spans="1:2">
      <c r="A1907" s="10" t="s">
        <v>2106</v>
      </c>
      <c r="B1907" s="16">
        <v>630.96</v>
      </c>
    </row>
    <row r="1908" spans="1:2">
      <c r="A1908" s="10" t="s">
        <v>2107</v>
      </c>
      <c r="B1908" s="16">
        <v>636.41</v>
      </c>
    </row>
    <row r="1909" spans="1:2">
      <c r="A1909" s="10" t="s">
        <v>2108</v>
      </c>
      <c r="B1909" s="16">
        <v>637.97</v>
      </c>
    </row>
    <row r="1910" spans="1:2">
      <c r="A1910" s="10" t="s">
        <v>2109</v>
      </c>
      <c r="B1910" s="16">
        <v>640.26</v>
      </c>
    </row>
    <row r="1911" spans="1:2">
      <c r="A1911" s="10" t="s">
        <v>2110</v>
      </c>
      <c r="B1911" s="16">
        <v>648.85</v>
      </c>
    </row>
    <row r="1912" spans="1:2">
      <c r="A1912" s="10" t="s">
        <v>2111</v>
      </c>
      <c r="B1912" s="16">
        <v>652.46</v>
      </c>
    </row>
    <row r="1913" spans="1:2">
      <c r="A1913" s="10" t="s">
        <v>2112</v>
      </c>
      <c r="B1913" s="16">
        <v>654.33000000000004</v>
      </c>
    </row>
    <row r="1914" spans="1:2">
      <c r="A1914" s="10" t="s">
        <v>2113</v>
      </c>
      <c r="B1914" s="16">
        <v>650.79999999999995</v>
      </c>
    </row>
    <row r="1915" spans="1:2">
      <c r="A1915" s="10" t="s">
        <v>2114</v>
      </c>
      <c r="B1915" s="16">
        <v>655.43</v>
      </c>
    </row>
    <row r="1916" spans="1:2">
      <c r="A1916" s="10" t="s">
        <v>2115</v>
      </c>
      <c r="B1916" s="16">
        <v>663.55</v>
      </c>
    </row>
    <row r="1917" spans="1:2">
      <c r="A1917" s="10" t="s">
        <v>2116</v>
      </c>
      <c r="B1917" s="16">
        <v>664.46</v>
      </c>
    </row>
    <row r="1918" spans="1:2">
      <c r="A1918" s="10" t="s">
        <v>2117</v>
      </c>
      <c r="B1918" s="16">
        <v>663.48</v>
      </c>
    </row>
    <row r="1919" spans="1:2">
      <c r="A1919" s="10" t="s">
        <v>2118</v>
      </c>
      <c r="B1919" s="16">
        <v>663.61</v>
      </c>
    </row>
    <row r="1920" spans="1:2">
      <c r="A1920" s="10" t="s">
        <v>2119</v>
      </c>
      <c r="B1920" s="16">
        <v>669.43</v>
      </c>
    </row>
    <row r="1921" spans="1:2">
      <c r="A1921" s="10" t="s">
        <v>2120</v>
      </c>
      <c r="B1921" s="16">
        <v>671.57</v>
      </c>
    </row>
    <row r="1922" spans="1:2">
      <c r="A1922" s="10" t="s">
        <v>2121</v>
      </c>
      <c r="B1922" s="16">
        <v>669.66</v>
      </c>
    </row>
    <row r="1923" spans="1:2">
      <c r="A1923" s="10" t="s">
        <v>2122</v>
      </c>
      <c r="B1923" s="16">
        <v>667.12</v>
      </c>
    </row>
    <row r="1924" spans="1:2">
      <c r="A1924" s="10" t="s">
        <v>2123</v>
      </c>
      <c r="B1924" s="16">
        <v>666.15</v>
      </c>
    </row>
    <row r="1925" spans="1:2">
      <c r="A1925" s="10" t="s">
        <v>2124</v>
      </c>
      <c r="B1925" s="16">
        <v>667.01</v>
      </c>
    </row>
    <row r="1926" spans="1:2">
      <c r="A1926" s="10" t="s">
        <v>2125</v>
      </c>
      <c r="B1926" s="16">
        <v>669.63</v>
      </c>
    </row>
    <row r="1927" spans="1:2">
      <c r="A1927" s="10" t="s">
        <v>2126</v>
      </c>
      <c r="B1927" s="16">
        <v>669.96</v>
      </c>
    </row>
    <row r="1928" spans="1:2">
      <c r="A1928" s="10" t="s">
        <v>2127</v>
      </c>
      <c r="B1928" s="16">
        <v>668.22</v>
      </c>
    </row>
    <row r="1929" spans="1:2">
      <c r="A1929" s="10" t="s">
        <v>2128</v>
      </c>
      <c r="B1929" s="16">
        <v>665</v>
      </c>
    </row>
    <row r="1930" spans="1:2">
      <c r="A1930" s="10" t="s">
        <v>2129</v>
      </c>
      <c r="B1930" s="16">
        <v>667.03</v>
      </c>
    </row>
    <row r="1931" spans="1:2">
      <c r="A1931" s="10" t="s">
        <v>2130</v>
      </c>
      <c r="B1931" s="16">
        <v>669.41</v>
      </c>
    </row>
    <row r="1932" spans="1:2">
      <c r="A1932" s="10" t="s">
        <v>2131</v>
      </c>
      <c r="B1932" s="16">
        <v>668.19</v>
      </c>
    </row>
    <row r="1933" spans="1:2">
      <c r="A1933" s="10" t="s">
        <v>2132</v>
      </c>
      <c r="B1933" s="16">
        <v>673.94</v>
      </c>
    </row>
    <row r="1934" spans="1:2">
      <c r="A1934" s="10" t="s">
        <v>2133</v>
      </c>
      <c r="B1934" s="16">
        <v>665.94</v>
      </c>
    </row>
    <row r="1935" spans="1:2">
      <c r="A1935" s="10" t="s">
        <v>2134</v>
      </c>
      <c r="B1935" s="16">
        <v>649.6</v>
      </c>
    </row>
    <row r="1936" spans="1:2">
      <c r="A1936" s="10" t="s">
        <v>2135</v>
      </c>
      <c r="B1936" s="16">
        <v>652.1</v>
      </c>
    </row>
    <row r="1937" spans="1:2">
      <c r="A1937" s="10" t="s">
        <v>2136</v>
      </c>
      <c r="B1937" s="16">
        <v>660.67</v>
      </c>
    </row>
    <row r="1938" spans="1:2">
      <c r="A1938" s="10" t="s">
        <v>2137</v>
      </c>
      <c r="B1938" s="16">
        <v>660.74</v>
      </c>
    </row>
    <row r="1939" spans="1:2">
      <c r="A1939" s="10" t="s">
        <v>2138</v>
      </c>
      <c r="B1939" s="16">
        <v>652.91</v>
      </c>
    </row>
    <row r="1940" spans="1:2">
      <c r="A1940" s="10" t="s">
        <v>2139</v>
      </c>
      <c r="B1940" s="16">
        <v>658.46</v>
      </c>
    </row>
    <row r="1941" spans="1:2">
      <c r="A1941" s="10" t="s">
        <v>2140</v>
      </c>
      <c r="B1941" s="16">
        <v>661.91</v>
      </c>
    </row>
    <row r="1942" spans="1:2">
      <c r="A1942" s="10" t="s">
        <v>2141</v>
      </c>
      <c r="B1942" s="16">
        <v>671.37</v>
      </c>
    </row>
    <row r="1943" spans="1:2">
      <c r="A1943" s="10" t="s">
        <v>2142</v>
      </c>
      <c r="B1943" s="16">
        <v>670.08</v>
      </c>
    </row>
    <row r="1944" spans="1:2">
      <c r="A1944" s="10" t="s">
        <v>2143</v>
      </c>
      <c r="B1944" s="16">
        <v>677.08</v>
      </c>
    </row>
    <row r="1945" spans="1:2">
      <c r="A1945" s="10" t="s">
        <v>2144</v>
      </c>
      <c r="B1945" s="16">
        <v>675.12</v>
      </c>
    </row>
    <row r="1946" spans="1:2">
      <c r="A1946" s="10" t="s">
        <v>2145</v>
      </c>
      <c r="B1946" s="16">
        <v>672.45</v>
      </c>
    </row>
    <row r="1947" spans="1:2">
      <c r="A1947" s="10" t="s">
        <v>2146</v>
      </c>
      <c r="B1947" s="16">
        <v>670.12</v>
      </c>
    </row>
    <row r="1948" spans="1:2">
      <c r="A1948" s="10" t="s">
        <v>2147</v>
      </c>
      <c r="B1948" s="16">
        <v>673.76</v>
      </c>
    </row>
    <row r="1949" spans="1:2">
      <c r="A1949" s="10" t="s">
        <v>2148</v>
      </c>
      <c r="B1949" s="16">
        <v>673.4</v>
      </c>
    </row>
    <row r="1950" spans="1:2">
      <c r="A1950" s="10" t="s">
        <v>2149</v>
      </c>
      <c r="B1950" s="16">
        <v>674.4</v>
      </c>
    </row>
    <row r="1951" spans="1:2">
      <c r="A1951" s="10" t="s">
        <v>2150</v>
      </c>
      <c r="B1951" s="16">
        <v>676.72</v>
      </c>
    </row>
    <row r="1952" spans="1:2">
      <c r="A1952" s="10" t="s">
        <v>2151</v>
      </c>
      <c r="B1952" s="16">
        <v>680.6</v>
      </c>
    </row>
    <row r="1953" spans="1:2">
      <c r="A1953" s="10" t="s">
        <v>2152</v>
      </c>
      <c r="B1953" s="16">
        <v>684.1</v>
      </c>
    </row>
    <row r="1954" spans="1:2">
      <c r="A1954" s="10" t="s">
        <v>2153</v>
      </c>
      <c r="B1954" s="16">
        <v>680.77</v>
      </c>
    </row>
    <row r="1955" spans="1:2">
      <c r="A1955" s="10" t="s">
        <v>2154</v>
      </c>
      <c r="B1955" s="16">
        <v>682.92</v>
      </c>
    </row>
    <row r="1956" spans="1:2">
      <c r="A1956" s="10" t="s">
        <v>2155</v>
      </c>
      <c r="B1956" s="16">
        <v>680.09</v>
      </c>
    </row>
    <row r="1957" spans="1:2">
      <c r="A1957" s="10" t="s">
        <v>2156</v>
      </c>
      <c r="B1957" s="16">
        <v>684.57</v>
      </c>
    </row>
    <row r="1958" spans="1:2">
      <c r="A1958" s="10" t="s">
        <v>2157</v>
      </c>
      <c r="B1958" s="16">
        <v>689.01</v>
      </c>
    </row>
    <row r="1959" spans="1:2">
      <c r="A1959" s="10" t="s">
        <v>2158</v>
      </c>
      <c r="B1959" s="16">
        <v>691.32</v>
      </c>
    </row>
    <row r="1960" spans="1:2">
      <c r="A1960" s="10" t="s">
        <v>2159</v>
      </c>
      <c r="B1960" s="16">
        <v>693.05</v>
      </c>
    </row>
    <row r="1961" spans="1:2">
      <c r="A1961" s="10" t="s">
        <v>2160</v>
      </c>
      <c r="B1961" s="16">
        <v>697.66</v>
      </c>
    </row>
    <row r="1962" spans="1:2">
      <c r="A1962" s="10" t="s">
        <v>2161</v>
      </c>
      <c r="B1962" s="16">
        <v>699.69</v>
      </c>
    </row>
    <row r="1963" spans="1:2">
      <c r="A1963" s="10" t="s">
        <v>2162</v>
      </c>
      <c r="B1963" s="16">
        <v>697.62</v>
      </c>
    </row>
    <row r="1964" spans="1:2">
      <c r="A1964" s="10" t="s">
        <v>2163</v>
      </c>
      <c r="B1964" s="16">
        <v>700.5</v>
      </c>
    </row>
    <row r="1965" spans="1:2">
      <c r="A1965" s="10" t="s">
        <v>2164</v>
      </c>
      <c r="B1965" s="16">
        <v>700.55</v>
      </c>
    </row>
    <row r="1966" spans="1:2">
      <c r="A1966" s="10" t="s">
        <v>2165</v>
      </c>
      <c r="B1966" s="16">
        <v>699.65</v>
      </c>
    </row>
    <row r="1967" spans="1:2">
      <c r="A1967" s="10" t="s">
        <v>2166</v>
      </c>
      <c r="B1967" s="16">
        <v>703.39</v>
      </c>
    </row>
    <row r="1968" spans="1:2">
      <c r="A1968" s="10" t="s">
        <v>2167</v>
      </c>
      <c r="B1968" s="16">
        <v>702.51</v>
      </c>
    </row>
    <row r="1969" spans="1:2">
      <c r="A1969" s="10" t="s">
        <v>2168</v>
      </c>
      <c r="B1969" s="16">
        <v>700.91</v>
      </c>
    </row>
    <row r="1970" spans="1:2">
      <c r="A1970" s="10" t="s">
        <v>2169</v>
      </c>
      <c r="B1970" s="16">
        <v>698.22</v>
      </c>
    </row>
    <row r="1971" spans="1:2">
      <c r="A1971" s="10" t="s">
        <v>2170</v>
      </c>
      <c r="B1971" s="16">
        <v>696.31</v>
      </c>
    </row>
    <row r="1972" spans="1:2">
      <c r="A1972" s="10" t="s">
        <v>2171</v>
      </c>
      <c r="B1972" s="16">
        <v>698.78</v>
      </c>
    </row>
    <row r="1973" spans="1:2">
      <c r="A1973" s="10" t="s">
        <v>2172</v>
      </c>
      <c r="B1973" s="16">
        <v>704.71</v>
      </c>
    </row>
    <row r="1974" spans="1:2">
      <c r="A1974" s="10" t="s">
        <v>2173</v>
      </c>
      <c r="B1974" s="16">
        <v>705.67</v>
      </c>
    </row>
    <row r="1975" spans="1:2">
      <c r="A1975" s="10" t="s">
        <v>2174</v>
      </c>
      <c r="B1975" s="16">
        <v>708.46</v>
      </c>
    </row>
    <row r="1976" spans="1:2">
      <c r="A1976" s="10" t="s">
        <v>2175</v>
      </c>
      <c r="B1976" s="16">
        <v>707.52</v>
      </c>
    </row>
    <row r="1977" spans="1:2">
      <c r="A1977" s="10" t="s">
        <v>2176</v>
      </c>
      <c r="B1977" s="16">
        <v>705.45</v>
      </c>
    </row>
    <row r="1978" spans="1:2">
      <c r="A1978" s="10" t="s">
        <v>2177</v>
      </c>
      <c r="B1978" s="16">
        <v>693.8</v>
      </c>
    </row>
    <row r="1979" spans="1:2">
      <c r="A1979" s="10" t="s">
        <v>2178</v>
      </c>
      <c r="B1979" s="16">
        <v>689.55</v>
      </c>
    </row>
    <row r="1980" spans="1:2">
      <c r="A1980" s="10" t="s">
        <v>2179</v>
      </c>
      <c r="B1980" s="16">
        <v>695.71</v>
      </c>
    </row>
    <row r="1981" spans="1:2">
      <c r="A1981" s="10" t="s">
        <v>2180</v>
      </c>
      <c r="B1981" s="16">
        <v>695.82</v>
      </c>
    </row>
    <row r="1982" spans="1:2">
      <c r="A1982" s="10" t="s">
        <v>2181</v>
      </c>
      <c r="B1982" s="16">
        <v>704.99</v>
      </c>
    </row>
    <row r="1983" spans="1:2">
      <c r="A1983" s="10" t="s">
        <v>2182</v>
      </c>
      <c r="B1983" s="16">
        <v>700.92</v>
      </c>
    </row>
    <row r="1984" spans="1:2">
      <c r="A1984" s="10" t="s">
        <v>2183</v>
      </c>
      <c r="B1984" s="16">
        <v>700.43</v>
      </c>
    </row>
    <row r="1985" spans="1:2">
      <c r="A1985" s="10" t="s">
        <v>2184</v>
      </c>
      <c r="B1985" s="16">
        <v>703.37</v>
      </c>
    </row>
    <row r="1986" spans="1:2">
      <c r="A1986" s="10" t="s">
        <v>2185</v>
      </c>
      <c r="B1986" s="16">
        <v>707.43</v>
      </c>
    </row>
    <row r="1987" spans="1:2">
      <c r="A1987" s="10" t="s">
        <v>2186</v>
      </c>
      <c r="B1987" s="16">
        <v>709.81</v>
      </c>
    </row>
    <row r="1988" spans="1:2">
      <c r="A1988" s="10" t="s">
        <v>2187</v>
      </c>
      <c r="B1988" s="16">
        <v>716.13</v>
      </c>
    </row>
    <row r="1989" spans="1:2">
      <c r="A1989" s="10" t="s">
        <v>2188</v>
      </c>
      <c r="B1989" s="16">
        <v>712.77</v>
      </c>
    </row>
    <row r="1990" spans="1:2">
      <c r="A1990" s="10" t="s">
        <v>2189</v>
      </c>
      <c r="B1990" s="16">
        <v>712.22</v>
      </c>
    </row>
    <row r="1991" spans="1:2">
      <c r="A1991" s="10" t="s">
        <v>2190</v>
      </c>
      <c r="B1991" s="16">
        <v>714.3</v>
      </c>
    </row>
    <row r="1992" spans="1:2">
      <c r="A1992" s="10" t="s">
        <v>2191</v>
      </c>
      <c r="B1992" s="16">
        <v>720.3</v>
      </c>
    </row>
    <row r="1993" spans="1:2">
      <c r="A1993" s="10" t="s">
        <v>2192</v>
      </c>
      <c r="B1993" s="16">
        <v>720.02</v>
      </c>
    </row>
    <row r="1994" spans="1:2">
      <c r="A1994" s="10" t="s">
        <v>2193</v>
      </c>
      <c r="B1994" s="16">
        <v>719.52</v>
      </c>
    </row>
    <row r="1995" spans="1:2">
      <c r="A1995" s="10" t="s">
        <v>2194</v>
      </c>
      <c r="B1995" s="16">
        <v>719.83</v>
      </c>
    </row>
    <row r="1996" spans="1:2">
      <c r="A1996" s="10" t="s">
        <v>2195</v>
      </c>
      <c r="B1996" s="16">
        <v>712.62</v>
      </c>
    </row>
    <row r="1997" spans="1:2">
      <c r="A1997" s="10" t="s">
        <v>2196</v>
      </c>
      <c r="B1997" s="16">
        <v>712.66</v>
      </c>
    </row>
    <row r="1998" spans="1:2">
      <c r="A1998" s="10" t="s">
        <v>2197</v>
      </c>
      <c r="B1998" s="16">
        <v>721.88</v>
      </c>
    </row>
    <row r="1999" spans="1:2">
      <c r="A1999" s="10" t="s">
        <v>2198</v>
      </c>
      <c r="B1999" s="16">
        <v>717.93</v>
      </c>
    </row>
    <row r="2000" spans="1:2">
      <c r="A2000" s="10" t="s">
        <v>2199</v>
      </c>
      <c r="B2000" s="16">
        <v>716.35</v>
      </c>
    </row>
    <row r="2001" spans="1:2">
      <c r="A2001" s="10" t="s">
        <v>2200</v>
      </c>
      <c r="B2001" s="16">
        <v>717.1</v>
      </c>
    </row>
    <row r="2002" spans="1:2">
      <c r="A2002" s="10" t="s">
        <v>2201</v>
      </c>
      <c r="B2002" s="16">
        <v>722.15</v>
      </c>
    </row>
    <row r="2003" spans="1:2">
      <c r="A2003" s="10" t="s">
        <v>2202</v>
      </c>
      <c r="B2003" s="16">
        <v>728.22</v>
      </c>
    </row>
    <row r="2004" spans="1:2">
      <c r="A2004" s="10" t="s">
        <v>2203</v>
      </c>
      <c r="B2004" s="16">
        <v>726.2</v>
      </c>
    </row>
    <row r="2005" spans="1:2">
      <c r="A2005" s="10" t="s">
        <v>2204</v>
      </c>
      <c r="B2005" s="16">
        <v>727.65</v>
      </c>
    </row>
    <row r="2006" spans="1:2">
      <c r="A2006" s="10" t="s">
        <v>2205</v>
      </c>
      <c r="B2006" s="16">
        <v>727.79</v>
      </c>
    </row>
    <row r="2007" spans="1:2">
      <c r="A2007" s="10" t="s">
        <v>2206</v>
      </c>
      <c r="B2007" s="16">
        <v>727.16</v>
      </c>
    </row>
    <row r="2008" spans="1:2">
      <c r="A2008" s="10" t="s">
        <v>2207</v>
      </c>
      <c r="B2008" s="16">
        <v>731.69</v>
      </c>
    </row>
    <row r="2009" spans="1:2">
      <c r="A2009" s="10" t="s">
        <v>2208</v>
      </c>
      <c r="B2009" s="16">
        <v>738.76</v>
      </c>
    </row>
    <row r="2010" spans="1:2">
      <c r="A2010" s="10" t="s">
        <v>2209</v>
      </c>
      <c r="B2010" s="16">
        <v>738.17</v>
      </c>
    </row>
    <row r="2011" spans="1:2">
      <c r="A2011" s="10" t="s">
        <v>2210</v>
      </c>
      <c r="B2011" s="16">
        <v>735.74</v>
      </c>
    </row>
    <row r="2012" spans="1:2">
      <c r="A2012" s="10" t="s">
        <v>2211</v>
      </c>
      <c r="B2012" s="16">
        <v>736.33</v>
      </c>
    </row>
    <row r="2013" spans="1:2">
      <c r="A2013" s="10" t="s">
        <v>2212</v>
      </c>
      <c r="B2013" s="16">
        <v>734.84</v>
      </c>
    </row>
    <row r="2014" spans="1:2">
      <c r="A2014" s="10" t="s">
        <v>2213</v>
      </c>
      <c r="B2014" s="16">
        <v>735.4</v>
      </c>
    </row>
    <row r="2015" spans="1:2">
      <c r="A2015" s="10" t="s">
        <v>2214</v>
      </c>
      <c r="B2015" s="16">
        <v>720.42</v>
      </c>
    </row>
    <row r="2016" spans="1:2">
      <c r="A2016" s="10" t="s">
        <v>2215</v>
      </c>
      <c r="B2016" s="16">
        <v>728.66</v>
      </c>
    </row>
    <row r="2017" spans="1:2">
      <c r="A2017" s="10" t="s">
        <v>2216</v>
      </c>
      <c r="B2017" s="16">
        <v>729.6</v>
      </c>
    </row>
    <row r="2018" spans="1:2">
      <c r="A2018" s="10" t="s">
        <v>2217</v>
      </c>
      <c r="B2018" s="16">
        <v>726.8</v>
      </c>
    </row>
    <row r="2019" spans="1:2">
      <c r="A2019" s="10" t="s">
        <v>2218</v>
      </c>
      <c r="B2019" s="16">
        <v>711.84</v>
      </c>
    </row>
    <row r="2020" spans="1:2">
      <c r="A2020" s="10" t="s">
        <v>2219</v>
      </c>
      <c r="B2020" s="16">
        <v>718.6</v>
      </c>
    </row>
    <row r="2021" spans="1:2">
      <c r="A2021" s="10" t="s">
        <v>2220</v>
      </c>
      <c r="B2021" s="16">
        <v>732.17</v>
      </c>
    </row>
    <row r="2022" spans="1:2">
      <c r="A2022" s="10" t="s">
        <v>2221</v>
      </c>
      <c r="B2022" s="16">
        <v>741.74</v>
      </c>
    </row>
    <row r="2023" spans="1:2">
      <c r="A2023" s="10" t="s">
        <v>2222</v>
      </c>
      <c r="B2023" s="16">
        <v>748.57</v>
      </c>
    </row>
    <row r="2024" spans="1:2">
      <c r="A2024" s="10" t="s">
        <v>2223</v>
      </c>
      <c r="B2024" s="16">
        <v>746.47</v>
      </c>
    </row>
    <row r="2025" spans="1:2">
      <c r="A2025" s="10" t="s">
        <v>2224</v>
      </c>
      <c r="B2025" s="16">
        <v>751.47</v>
      </c>
    </row>
    <row r="2026" spans="1:2">
      <c r="A2026" s="10" t="s">
        <v>2225</v>
      </c>
      <c r="B2026" s="16">
        <v>753.57</v>
      </c>
    </row>
    <row r="2027" spans="1:2">
      <c r="A2027" s="10" t="s">
        <v>2226</v>
      </c>
      <c r="B2027" s="16">
        <v>759.89</v>
      </c>
    </row>
    <row r="2028" spans="1:2">
      <c r="A2028" s="10" t="s">
        <v>2227</v>
      </c>
      <c r="B2028" s="16">
        <v>759.6</v>
      </c>
    </row>
    <row r="2029" spans="1:2">
      <c r="A2029" s="10" t="s">
        <v>2228</v>
      </c>
      <c r="B2029" s="16">
        <v>760.84</v>
      </c>
    </row>
    <row r="2030" spans="1:2">
      <c r="A2030" s="10" t="s">
        <v>2229</v>
      </c>
      <c r="B2030" s="16">
        <v>762.01</v>
      </c>
    </row>
    <row r="2031" spans="1:2">
      <c r="A2031" s="10" t="s">
        <v>2230</v>
      </c>
      <c r="B2031" s="16">
        <v>758.93</v>
      </c>
    </row>
    <row r="2032" spans="1:2">
      <c r="A2032" s="10" t="s">
        <v>2231</v>
      </c>
      <c r="B2032" s="16">
        <v>766.13</v>
      </c>
    </row>
    <row r="2033" spans="1:2">
      <c r="A2033" s="10" t="s">
        <v>2232</v>
      </c>
      <c r="B2033" s="16">
        <v>758.82</v>
      </c>
    </row>
    <row r="2034" spans="1:2">
      <c r="A2034" s="10" t="s">
        <v>2233</v>
      </c>
      <c r="B2034" s="16">
        <v>749.05</v>
      </c>
    </row>
    <row r="2035" spans="1:2">
      <c r="A2035" s="10" t="s">
        <v>2234</v>
      </c>
      <c r="B2035" s="16">
        <v>720.79</v>
      </c>
    </row>
    <row r="2036" spans="1:2">
      <c r="A2036" s="10" t="s">
        <v>2235</v>
      </c>
      <c r="B2036" s="16">
        <v>701.61</v>
      </c>
    </row>
    <row r="2037" spans="1:2">
      <c r="A2037" s="10" t="s">
        <v>2236</v>
      </c>
      <c r="B2037" s="16">
        <v>702.57</v>
      </c>
    </row>
    <row r="2038" spans="1:2">
      <c r="A2038" s="10" t="s">
        <v>2237</v>
      </c>
      <c r="B2038" s="16">
        <v>669.43</v>
      </c>
    </row>
    <row r="2039" spans="1:2">
      <c r="A2039" s="10" t="s">
        <v>2238</v>
      </c>
      <c r="B2039" s="16">
        <v>658.05</v>
      </c>
    </row>
    <row r="2040" spans="1:2">
      <c r="A2040" s="10" t="s">
        <v>2239</v>
      </c>
      <c r="B2040" s="16">
        <v>672.65</v>
      </c>
    </row>
    <row r="2041" spans="1:2">
      <c r="A2041" s="10" t="s">
        <v>2240</v>
      </c>
      <c r="B2041" s="16">
        <v>661.41</v>
      </c>
    </row>
    <row r="2042" spans="1:2">
      <c r="A2042" s="10" t="s">
        <v>2241</v>
      </c>
      <c r="B2042" s="16">
        <v>682.66</v>
      </c>
    </row>
    <row r="2043" spans="1:2">
      <c r="A2043" s="10" t="s">
        <v>2242</v>
      </c>
      <c r="B2043" s="16">
        <v>664.16</v>
      </c>
    </row>
    <row r="2044" spans="1:2">
      <c r="A2044" s="10" t="s">
        <v>2243</v>
      </c>
      <c r="B2044" s="16">
        <v>643.98</v>
      </c>
    </row>
    <row r="2045" spans="1:2">
      <c r="A2045" s="10" t="s">
        <v>2244</v>
      </c>
      <c r="B2045" s="16">
        <v>593.46</v>
      </c>
    </row>
    <row r="2046" spans="1:2">
      <c r="A2046" s="10" t="s">
        <v>2245</v>
      </c>
      <c r="B2046" s="16">
        <v>609.66</v>
      </c>
    </row>
    <row r="2047" spans="1:2">
      <c r="A2047" s="10" t="s">
        <v>2246</v>
      </c>
      <c r="B2047" s="16">
        <v>595.35</v>
      </c>
    </row>
    <row r="2048" spans="1:2">
      <c r="A2048" s="10" t="s">
        <v>2247</v>
      </c>
      <c r="B2048" s="16">
        <v>538.35</v>
      </c>
    </row>
    <row r="2049" spans="1:2">
      <c r="A2049" s="10" t="s">
        <v>2248</v>
      </c>
      <c r="B2049" s="16">
        <v>574.88</v>
      </c>
    </row>
    <row r="2050" spans="1:2">
      <c r="A2050" s="10" t="s">
        <v>2249</v>
      </c>
      <c r="B2050" s="16">
        <v>521.63</v>
      </c>
    </row>
    <row r="2051" spans="1:2">
      <c r="A2051" s="10" t="s">
        <v>2250</v>
      </c>
      <c r="B2051" s="16">
        <v>551.01</v>
      </c>
    </row>
    <row r="2052" spans="1:2">
      <c r="A2052" s="10" t="s">
        <v>2251</v>
      </c>
      <c r="B2052" s="16">
        <v>532.09</v>
      </c>
    </row>
    <row r="2053" spans="1:2">
      <c r="A2053" s="10" t="s">
        <v>2252</v>
      </c>
      <c r="B2053" s="16">
        <v>542.37</v>
      </c>
    </row>
    <row r="2054" spans="1:2">
      <c r="A2054" s="10" t="s">
        <v>2253</v>
      </c>
      <c r="B2054" s="16">
        <v>535.51</v>
      </c>
    </row>
    <row r="2055" spans="1:2">
      <c r="A2055" s="10" t="s">
        <v>2254</v>
      </c>
      <c r="B2055" s="16">
        <v>520.13</v>
      </c>
    </row>
    <row r="2056" spans="1:2">
      <c r="A2056" s="10" t="s">
        <v>2255</v>
      </c>
      <c r="B2056" s="16">
        <v>564.91</v>
      </c>
    </row>
    <row r="2057" spans="1:2">
      <c r="A2057" s="10" t="s">
        <v>2256</v>
      </c>
      <c r="B2057" s="16">
        <v>571.01</v>
      </c>
    </row>
    <row r="2058" spans="1:2">
      <c r="A2058" s="10" t="s">
        <v>2257</v>
      </c>
      <c r="B2058" s="16">
        <v>589.79</v>
      </c>
    </row>
    <row r="2059" spans="1:2">
      <c r="A2059" s="10" t="s">
        <v>2258</v>
      </c>
      <c r="B2059" s="16">
        <v>566.95000000000005</v>
      </c>
    </row>
    <row r="2060" spans="1:2">
      <c r="A2060" s="10" t="s">
        <v>2259</v>
      </c>
      <c r="B2060" s="16">
        <v>583.34</v>
      </c>
    </row>
    <row r="2061" spans="1:2">
      <c r="A2061" s="10" t="s">
        <v>2260</v>
      </c>
      <c r="B2061" s="16">
        <v>580.11</v>
      </c>
    </row>
    <row r="2062" spans="1:2">
      <c r="A2062" s="10" t="s">
        <v>2261</v>
      </c>
      <c r="B2062" s="16">
        <v>558.91</v>
      </c>
    </row>
    <row r="2063" spans="1:2">
      <c r="A2063" s="10" t="s">
        <v>2262</v>
      </c>
      <c r="B2063" s="16">
        <v>569.41</v>
      </c>
    </row>
    <row r="2064" spans="1:2">
      <c r="A2064" s="10" t="s">
        <v>2263</v>
      </c>
      <c r="B2064" s="16">
        <v>564.64</v>
      </c>
    </row>
    <row r="2065" spans="1:2">
      <c r="A2065" s="10" t="s">
        <v>2264</v>
      </c>
      <c r="B2065" s="16">
        <v>598.13</v>
      </c>
    </row>
    <row r="2066" spans="1:2">
      <c r="A2066" s="10" t="s">
        <v>2265</v>
      </c>
      <c r="B2066" s="16">
        <v>597.64</v>
      </c>
    </row>
    <row r="2067" spans="1:2">
      <c r="A2067" s="10" t="s">
        <v>2266</v>
      </c>
      <c r="B2067" s="16">
        <v>607</v>
      </c>
    </row>
    <row r="2068" spans="1:2">
      <c r="A2068" s="10" t="s">
        <v>2267</v>
      </c>
      <c r="B2068" s="16">
        <v>612.12</v>
      </c>
    </row>
    <row r="2069" spans="1:2">
      <c r="A2069" s="10" t="s">
        <v>2268</v>
      </c>
      <c r="B2069" s="16">
        <v>623.97</v>
      </c>
    </row>
    <row r="2070" spans="1:2">
      <c r="A2070" s="10" t="s">
        <v>2269</v>
      </c>
      <c r="B2070" s="16">
        <v>610.73</v>
      </c>
    </row>
    <row r="2071" spans="1:2">
      <c r="A2071" s="10" t="s">
        <v>2270</v>
      </c>
      <c r="B2071" s="16">
        <v>617.04</v>
      </c>
    </row>
    <row r="2072" spans="1:2">
      <c r="A2072" s="10" t="s">
        <v>2271</v>
      </c>
      <c r="B2072" s="16">
        <v>628.9</v>
      </c>
    </row>
    <row r="2073" spans="1:2">
      <c r="A2073" s="10" t="s">
        <v>2272</v>
      </c>
      <c r="B2073" s="16">
        <v>625.45000000000005</v>
      </c>
    </row>
    <row r="2074" spans="1:2">
      <c r="A2074" s="10" t="s">
        <v>2273</v>
      </c>
      <c r="B2074" s="16">
        <v>604.11</v>
      </c>
    </row>
    <row r="2075" spans="1:2">
      <c r="A2075" s="10" t="s">
        <v>2274</v>
      </c>
      <c r="B2075" s="16">
        <v>616.92999999999995</v>
      </c>
    </row>
    <row r="2076" spans="1:2">
      <c r="A2076" s="10" t="s">
        <v>2275</v>
      </c>
      <c r="B2076" s="16">
        <v>616.41999999999996</v>
      </c>
    </row>
    <row r="2077" spans="1:2">
      <c r="A2077" s="10" t="s">
        <v>2276</v>
      </c>
      <c r="B2077" s="16">
        <v>618.91</v>
      </c>
    </row>
    <row r="2078" spans="1:2">
      <c r="A2078" s="10" t="s">
        <v>2277</v>
      </c>
      <c r="B2078" s="16">
        <v>628.89</v>
      </c>
    </row>
    <row r="2079" spans="1:2">
      <c r="A2079" s="10" t="s">
        <v>2278</v>
      </c>
      <c r="B2079" s="16">
        <v>629.33000000000004</v>
      </c>
    </row>
    <row r="2080" spans="1:2">
      <c r="A2080" s="10" t="s">
        <v>2279</v>
      </c>
      <c r="B2080" s="16">
        <v>643.09</v>
      </c>
    </row>
    <row r="2081" spans="1:2">
      <c r="A2081" s="10" t="s">
        <v>2280</v>
      </c>
      <c r="B2081" s="16">
        <v>632.92999999999995</v>
      </c>
    </row>
    <row r="2082" spans="1:2">
      <c r="A2082" s="10" t="s">
        <v>2281</v>
      </c>
      <c r="B2082" s="16">
        <v>623.09</v>
      </c>
    </row>
    <row r="2083" spans="1:2">
      <c r="A2083" s="10" t="s">
        <v>2282</v>
      </c>
      <c r="B2083" s="16">
        <v>618.5</v>
      </c>
    </row>
    <row r="2084" spans="1:2">
      <c r="A2084" s="10" t="s">
        <v>2283</v>
      </c>
      <c r="B2084" s="16">
        <v>629.71</v>
      </c>
    </row>
    <row r="2085" spans="1:2">
      <c r="A2085" s="10" t="s">
        <v>2284</v>
      </c>
      <c r="B2085" s="16">
        <v>628.20000000000005</v>
      </c>
    </row>
    <row r="2086" spans="1:2">
      <c r="A2086" s="10" t="s">
        <v>2285</v>
      </c>
      <c r="B2086" s="16">
        <v>635.94000000000005</v>
      </c>
    </row>
    <row r="2087" spans="1:2">
      <c r="A2087" s="10" t="s">
        <v>2286</v>
      </c>
      <c r="B2087" s="16">
        <v>640.45000000000005</v>
      </c>
    </row>
    <row r="2088" spans="1:2">
      <c r="A2088" s="10" t="s">
        <v>2287</v>
      </c>
      <c r="B2088" s="16">
        <v>641.73</v>
      </c>
    </row>
    <row r="2089" spans="1:2">
      <c r="A2089" s="10" t="s">
        <v>2288</v>
      </c>
      <c r="B2089" s="16">
        <v>634.30999999999995</v>
      </c>
    </row>
    <row r="2090" spans="1:2">
      <c r="A2090" s="10" t="s">
        <v>2289</v>
      </c>
      <c r="B2090" s="16">
        <v>624.04</v>
      </c>
    </row>
    <row r="2091" spans="1:2">
      <c r="A2091" s="10" t="s">
        <v>2290</v>
      </c>
      <c r="B2091" s="16">
        <v>623.64</v>
      </c>
    </row>
    <row r="2092" spans="1:2">
      <c r="A2092" s="10" t="s">
        <v>2291</v>
      </c>
      <c r="B2092" s="16">
        <v>626.26</v>
      </c>
    </row>
    <row r="2093" spans="1:2">
      <c r="A2093" s="10" t="s">
        <v>2292</v>
      </c>
      <c r="B2093" s="16">
        <v>644.11</v>
      </c>
    </row>
    <row r="2094" spans="1:2">
      <c r="A2094" s="10" t="s">
        <v>2293</v>
      </c>
      <c r="B2094" s="16">
        <v>636.82000000000005</v>
      </c>
    </row>
    <row r="2095" spans="1:2">
      <c r="A2095" s="10" t="s">
        <v>2294</v>
      </c>
      <c r="B2095" s="16">
        <v>644.55999999999995</v>
      </c>
    </row>
    <row r="2096" spans="1:2">
      <c r="A2096" s="10" t="s">
        <v>2295</v>
      </c>
      <c r="B2096" s="16">
        <v>639.97</v>
      </c>
    </row>
    <row r="2097" spans="1:2">
      <c r="A2097" s="10" t="s">
        <v>2296</v>
      </c>
      <c r="B2097" s="16">
        <v>643.37</v>
      </c>
    </row>
    <row r="2098" spans="1:2">
      <c r="A2098" s="10" t="s">
        <v>2297</v>
      </c>
      <c r="B2098" s="16">
        <v>648.07000000000005</v>
      </c>
    </row>
    <row r="2099" spans="1:2">
      <c r="A2099" s="10" t="s">
        <v>2298</v>
      </c>
      <c r="B2099" s="16">
        <v>649.28</v>
      </c>
    </row>
    <row r="2100" spans="1:2">
      <c r="A2100" s="10" t="s">
        <v>2299</v>
      </c>
      <c r="B2100" s="16">
        <v>657.81</v>
      </c>
    </row>
    <row r="2101" spans="1:2">
      <c r="A2101" s="10" t="s">
        <v>2300</v>
      </c>
      <c r="B2101" s="16">
        <v>659.45</v>
      </c>
    </row>
    <row r="2102" spans="1:2">
      <c r="A2102" s="10" t="s">
        <v>2301</v>
      </c>
      <c r="B2102" s="16">
        <v>656.52</v>
      </c>
    </row>
    <row r="2103" spans="1:2">
      <c r="A2103" s="10" t="s">
        <v>2302</v>
      </c>
      <c r="B2103" s="16">
        <v>657.19</v>
      </c>
    </row>
    <row r="2104" spans="1:2">
      <c r="A2104" s="10" t="s">
        <v>2303</v>
      </c>
      <c r="B2104" s="16">
        <v>664.09</v>
      </c>
    </row>
    <row r="2105" spans="1:2">
      <c r="A2105" s="10" t="s">
        <v>2304</v>
      </c>
      <c r="B2105" s="16">
        <v>675.56</v>
      </c>
    </row>
    <row r="2106" spans="1:2">
      <c r="A2106" s="10" t="s">
        <v>2305</v>
      </c>
      <c r="B2106" s="16">
        <v>669.13</v>
      </c>
    </row>
    <row r="2107" spans="1:2">
      <c r="A2107" s="10" t="s">
        <v>2306</v>
      </c>
      <c r="B2107" s="16">
        <v>687.04</v>
      </c>
    </row>
    <row r="2108" spans="1:2">
      <c r="A2108" s="10" t="s">
        <v>2307</v>
      </c>
      <c r="B2108" s="16">
        <v>687.73</v>
      </c>
    </row>
    <row r="2109" spans="1:2">
      <c r="A2109" s="10" t="s">
        <v>2308</v>
      </c>
      <c r="B2109" s="16">
        <v>683.21</v>
      </c>
    </row>
    <row r="2110" spans="1:2">
      <c r="A2110" s="10" t="s">
        <v>2309</v>
      </c>
      <c r="B2110" s="16">
        <v>683.72</v>
      </c>
    </row>
    <row r="2111" spans="1:2">
      <c r="A2111" s="10" t="s">
        <v>2310</v>
      </c>
      <c r="B2111" s="16">
        <v>649.36</v>
      </c>
    </row>
    <row r="2112" spans="1:2">
      <c r="A2112" s="10" t="s">
        <v>2311</v>
      </c>
      <c r="B2112" s="16">
        <v>658.34</v>
      </c>
    </row>
    <row r="2113" spans="1:2">
      <c r="A2113" s="10" t="s">
        <v>2312</v>
      </c>
      <c r="B2113" s="16">
        <v>657.16</v>
      </c>
    </row>
    <row r="2114" spans="1:2">
      <c r="A2114" s="10" t="s">
        <v>2313</v>
      </c>
      <c r="B2114" s="16">
        <v>674.68</v>
      </c>
    </row>
    <row r="2115" spans="1:2">
      <c r="A2115" s="10" t="s">
        <v>2314</v>
      </c>
      <c r="B2115" s="16">
        <v>677.21</v>
      </c>
    </row>
    <row r="2116" spans="1:2">
      <c r="A2116" s="10" t="s">
        <v>2315</v>
      </c>
      <c r="B2116" s="16">
        <v>676.27</v>
      </c>
    </row>
    <row r="2117" spans="1:2">
      <c r="A2117" s="10" t="s">
        <v>2316</v>
      </c>
      <c r="B2117" s="16">
        <v>678.68</v>
      </c>
    </row>
    <row r="2118" spans="1:2">
      <c r="A2118" s="10" t="s">
        <v>2317</v>
      </c>
      <c r="B2118" s="16">
        <v>677.78</v>
      </c>
    </row>
    <row r="2119" spans="1:2">
      <c r="A2119" s="10" t="s">
        <v>2318</v>
      </c>
      <c r="B2119" s="16">
        <v>682.31</v>
      </c>
    </row>
    <row r="2120" spans="1:2">
      <c r="A2120" s="10" t="s">
        <v>2319</v>
      </c>
      <c r="B2120" s="16">
        <v>667.88</v>
      </c>
    </row>
    <row r="2121" spans="1:2">
      <c r="A2121" s="10" t="s">
        <v>2320</v>
      </c>
      <c r="B2121" s="16">
        <v>676.78</v>
      </c>
    </row>
    <row r="2122" spans="1:2">
      <c r="A2122" s="10" t="s">
        <v>2321</v>
      </c>
      <c r="B2122" s="16">
        <v>667.42</v>
      </c>
    </row>
    <row r="2123" spans="1:2">
      <c r="A2123" s="10" t="s">
        <v>2322</v>
      </c>
      <c r="B2123" s="16">
        <v>672.41</v>
      </c>
    </row>
    <row r="2124" spans="1:2">
      <c r="A2124" s="10" t="s">
        <v>2323</v>
      </c>
      <c r="B2124" s="16">
        <v>680.09</v>
      </c>
    </row>
    <row r="2125" spans="1:2">
      <c r="A2125" s="10" t="s">
        <v>2324</v>
      </c>
      <c r="B2125" s="16">
        <v>679.38</v>
      </c>
    </row>
    <row r="2126" spans="1:2">
      <c r="A2126" s="10" t="s">
        <v>2325</v>
      </c>
      <c r="B2126" s="16">
        <v>690.35</v>
      </c>
    </row>
    <row r="2127" spans="1:2">
      <c r="A2127" s="10" t="s">
        <v>2326</v>
      </c>
      <c r="B2127" s="16">
        <v>687.8</v>
      </c>
    </row>
    <row r="2128" spans="1:2">
      <c r="A2128" s="10" t="s">
        <v>2327</v>
      </c>
      <c r="B2128" s="16">
        <v>695.98</v>
      </c>
    </row>
    <row r="2129" spans="1:2">
      <c r="A2129" s="10" t="s">
        <v>2328</v>
      </c>
      <c r="B2129" s="16">
        <v>690.78</v>
      </c>
    </row>
    <row r="2130" spans="1:2">
      <c r="A2130" s="10" t="s">
        <v>2329</v>
      </c>
      <c r="B2130" s="16">
        <v>691.14</v>
      </c>
    </row>
    <row r="2131" spans="1:2">
      <c r="A2131" s="10" t="s">
        <v>2330</v>
      </c>
      <c r="B2131" s="16">
        <v>690.12</v>
      </c>
    </row>
    <row r="2132" spans="1:2">
      <c r="A2132" s="10" t="s">
        <v>2331</v>
      </c>
      <c r="B2132" s="16">
        <v>694.9</v>
      </c>
    </row>
    <row r="2133" spans="1:2">
      <c r="A2133" s="10" t="s">
        <v>2332</v>
      </c>
      <c r="B2133" s="16">
        <v>693.67</v>
      </c>
    </row>
    <row r="2134" spans="1:2">
      <c r="A2134" s="10" t="s">
        <v>2333</v>
      </c>
      <c r="B2134" s="16">
        <v>694.48</v>
      </c>
    </row>
    <row r="2135" spans="1:2">
      <c r="A2135" s="10" t="s">
        <v>2334</v>
      </c>
      <c r="B2135" s="16">
        <v>699.5</v>
      </c>
    </row>
    <row r="2136" spans="1:2">
      <c r="A2136" s="10" t="s">
        <v>2335</v>
      </c>
      <c r="B2136" s="16">
        <v>695.48</v>
      </c>
    </row>
    <row r="2137" spans="1:2">
      <c r="A2137" s="10" t="s">
        <v>2336</v>
      </c>
      <c r="B2137" s="16">
        <v>697.45</v>
      </c>
    </row>
    <row r="2138" spans="1:2">
      <c r="A2138" s="10" t="s">
        <v>2337</v>
      </c>
      <c r="B2138" s="16">
        <v>705.15</v>
      </c>
    </row>
    <row r="2139" spans="1:2">
      <c r="A2139" s="10" t="s">
        <v>2338</v>
      </c>
      <c r="B2139" s="16">
        <v>703.37</v>
      </c>
    </row>
    <row r="2140" spans="1:2">
      <c r="A2140" s="10" t="s">
        <v>2339</v>
      </c>
      <c r="B2140" s="16">
        <v>700.3</v>
      </c>
    </row>
    <row r="2141" spans="1:2">
      <c r="A2141" s="10" t="s">
        <v>2340</v>
      </c>
      <c r="B2141" s="16">
        <v>693.59</v>
      </c>
    </row>
    <row r="2142" spans="1:2">
      <c r="A2142" s="10" t="s">
        <v>2341</v>
      </c>
      <c r="B2142" s="16">
        <v>683.48</v>
      </c>
    </row>
    <row r="2143" spans="1:2">
      <c r="A2143" s="10" t="s">
        <v>2342</v>
      </c>
      <c r="B2143" s="16">
        <v>681.54</v>
      </c>
    </row>
    <row r="2144" spans="1:2">
      <c r="A2144" s="10" t="s">
        <v>2343</v>
      </c>
      <c r="B2144" s="16">
        <v>679.98</v>
      </c>
    </row>
    <row r="2145" spans="1:2">
      <c r="A2145" s="10" t="s">
        <v>2344</v>
      </c>
      <c r="B2145" s="16">
        <v>683.68</v>
      </c>
    </row>
    <row r="2146" spans="1:2">
      <c r="A2146" s="10" t="s">
        <v>2345</v>
      </c>
      <c r="B2146" s="16">
        <v>673.66</v>
      </c>
    </row>
    <row r="2147" spans="1:2">
      <c r="A2147" s="10" t="s">
        <v>2346</v>
      </c>
      <c r="B2147" s="16">
        <v>675.06</v>
      </c>
    </row>
    <row r="2148" spans="1:2">
      <c r="A2148" s="10" t="s">
        <v>2347</v>
      </c>
      <c r="B2148" s="16">
        <v>690.07</v>
      </c>
    </row>
    <row r="2149" spans="1:2">
      <c r="A2149" s="10" t="s">
        <v>2348</v>
      </c>
      <c r="B2149" s="16">
        <v>690.11</v>
      </c>
    </row>
    <row r="2150" spans="1:2">
      <c r="A2150" s="10" t="s">
        <v>2349</v>
      </c>
      <c r="B2150" s="16">
        <v>688.37</v>
      </c>
    </row>
    <row r="2151" spans="1:2">
      <c r="A2151" s="10" t="s">
        <v>2350</v>
      </c>
      <c r="B2151" s="16">
        <v>690.93</v>
      </c>
    </row>
    <row r="2152" spans="1:2">
      <c r="A2152" s="10" t="s">
        <v>2351</v>
      </c>
      <c r="B2152" s="16">
        <v>692.28</v>
      </c>
    </row>
    <row r="2153" spans="1:2">
      <c r="A2153" s="10" t="s">
        <v>2352</v>
      </c>
      <c r="B2153" s="16">
        <v>692.62</v>
      </c>
    </row>
    <row r="2154" spans="1:2">
      <c r="A2154" s="10" t="s">
        <v>2353</v>
      </c>
      <c r="B2154" s="16">
        <v>694.14</v>
      </c>
    </row>
    <row r="2155" spans="1:2">
      <c r="A2155" s="10" t="s">
        <v>2354</v>
      </c>
      <c r="B2155" s="16">
        <v>703.93</v>
      </c>
    </row>
    <row r="2156" spans="1:2">
      <c r="A2156" s="10" t="s">
        <v>2355</v>
      </c>
      <c r="B2156" s="16">
        <v>701.34</v>
      </c>
    </row>
    <row r="2157" spans="1:2">
      <c r="A2157" s="10" t="s">
        <v>2356</v>
      </c>
      <c r="B2157" s="16">
        <v>697.58</v>
      </c>
    </row>
    <row r="2158" spans="1:2">
      <c r="A2158" s="10" t="s">
        <v>2357</v>
      </c>
      <c r="B2158" s="16">
        <v>698.3</v>
      </c>
    </row>
    <row r="2159" spans="1:2">
      <c r="A2159" s="10" t="s">
        <v>2358</v>
      </c>
      <c r="B2159" s="16">
        <v>696.26</v>
      </c>
    </row>
    <row r="2160" spans="1:2">
      <c r="A2160" s="10" t="s">
        <v>2359</v>
      </c>
      <c r="B2160" s="16">
        <v>698.34</v>
      </c>
    </row>
    <row r="2161" spans="1:2">
      <c r="A2161" s="10" t="s">
        <v>2360</v>
      </c>
      <c r="B2161" s="16">
        <v>699.96</v>
      </c>
    </row>
    <row r="2162" spans="1:2">
      <c r="A2162" s="10" t="s">
        <v>2361</v>
      </c>
      <c r="B2162" s="16">
        <v>704.73</v>
      </c>
    </row>
    <row r="2163" spans="1:2">
      <c r="A2163" s="10" t="s">
        <v>2362</v>
      </c>
      <c r="B2163" s="16">
        <v>711.85</v>
      </c>
    </row>
    <row r="2164" spans="1:2">
      <c r="A2164" s="10" t="s">
        <v>2363</v>
      </c>
      <c r="B2164" s="16">
        <v>713.62</v>
      </c>
    </row>
    <row r="2165" spans="1:2">
      <c r="A2165" s="10" t="s">
        <v>2364</v>
      </c>
      <c r="B2165" s="16">
        <v>721.92</v>
      </c>
    </row>
    <row r="2166" spans="1:2">
      <c r="A2166" s="10" t="s">
        <v>2365</v>
      </c>
      <c r="B2166" s="16">
        <v>721.11</v>
      </c>
    </row>
    <row r="2167" spans="1:2">
      <c r="A2167" s="10" t="s">
        <v>2366</v>
      </c>
      <c r="B2167" s="16">
        <v>718.68</v>
      </c>
    </row>
    <row r="2168" spans="1:2">
      <c r="A2168" s="10" t="s">
        <v>2367</v>
      </c>
      <c r="B2168" s="16">
        <v>712.79</v>
      </c>
    </row>
    <row r="2169" spans="1:2">
      <c r="A2169" s="10" t="s">
        <v>2368</v>
      </c>
      <c r="B2169" s="16">
        <v>717.36</v>
      </c>
    </row>
    <row r="2170" spans="1:2">
      <c r="A2170" s="10" t="s">
        <v>2369</v>
      </c>
      <c r="B2170" s="16">
        <v>732.17</v>
      </c>
    </row>
    <row r="2171" spans="1:2">
      <c r="A2171" s="10" t="s">
        <v>2370</v>
      </c>
      <c r="B2171" s="16">
        <v>710.05</v>
      </c>
    </row>
    <row r="2172" spans="1:2">
      <c r="A2172" s="10" t="s">
        <v>2371</v>
      </c>
      <c r="B2172" s="16">
        <v>703.09</v>
      </c>
    </row>
    <row r="2173" spans="1:2">
      <c r="A2173" s="10" t="s">
        <v>2372</v>
      </c>
      <c r="B2173" s="16">
        <v>705.97</v>
      </c>
    </row>
    <row r="2174" spans="1:2">
      <c r="A2174" s="10" t="s">
        <v>2373</v>
      </c>
      <c r="B2174" s="16">
        <v>689.11</v>
      </c>
    </row>
    <row r="2175" spans="1:2">
      <c r="A2175" s="10" t="s">
        <v>2374</v>
      </c>
      <c r="B2175" s="16">
        <v>704.6</v>
      </c>
    </row>
    <row r="2176" spans="1:2">
      <c r="A2176" s="10" t="s">
        <v>2375</v>
      </c>
      <c r="B2176" s="16">
        <v>694.27</v>
      </c>
    </row>
    <row r="2177" spans="1:2">
      <c r="A2177" s="10" t="s">
        <v>2376</v>
      </c>
      <c r="B2177" s="16">
        <v>695.57</v>
      </c>
    </row>
    <row r="2178" spans="1:2">
      <c r="A2178" s="10" t="s">
        <v>2377</v>
      </c>
      <c r="B2178" s="16">
        <v>700.32</v>
      </c>
    </row>
    <row r="2179" spans="1:2">
      <c r="A2179" s="10" t="s">
        <v>2378</v>
      </c>
      <c r="B2179" s="16">
        <v>703.91</v>
      </c>
    </row>
    <row r="2180" spans="1:2">
      <c r="A2180" s="10" t="s">
        <v>2379</v>
      </c>
      <c r="B2180" s="16">
        <v>701.58</v>
      </c>
    </row>
    <row r="2181" spans="1:2">
      <c r="A2181" s="10" t="s">
        <v>2380</v>
      </c>
      <c r="B2181" s="16">
        <v>696.63</v>
      </c>
    </row>
    <row r="2182" spans="1:2">
      <c r="A2182" s="10" t="s">
        <v>2381</v>
      </c>
      <c r="B2182" s="16">
        <v>687.29</v>
      </c>
    </row>
    <row r="2183" spans="1:2">
      <c r="A2183" s="10" t="s">
        <v>2382</v>
      </c>
      <c r="B2183" s="16">
        <v>679.3</v>
      </c>
    </row>
    <row r="2184" spans="1:2">
      <c r="A2184" s="10" t="s">
        <v>2383</v>
      </c>
      <c r="B2184" s="16">
        <v>684.24</v>
      </c>
    </row>
    <row r="2185" spans="1:2">
      <c r="A2185" s="10" t="s">
        <v>2384</v>
      </c>
      <c r="B2185" s="16">
        <v>677.09</v>
      </c>
    </row>
    <row r="2186" spans="1:2">
      <c r="A2186" s="10" t="s">
        <v>2385</v>
      </c>
      <c r="B2186" s="16">
        <v>678.16</v>
      </c>
    </row>
    <row r="2187" spans="1:2">
      <c r="A2187" s="10" t="s">
        <v>2386</v>
      </c>
      <c r="B2187" s="16">
        <v>683.42</v>
      </c>
    </row>
    <row r="2188" spans="1:2">
      <c r="A2188" s="10" t="s">
        <v>2387</v>
      </c>
      <c r="B2188" s="16">
        <v>696.41</v>
      </c>
    </row>
    <row r="2189" spans="1:2">
      <c r="A2189" s="10" t="s">
        <v>2388</v>
      </c>
      <c r="B2189" s="16">
        <v>691.7</v>
      </c>
    </row>
    <row r="2190" spans="1:2">
      <c r="A2190" s="10" t="s">
        <v>2389</v>
      </c>
      <c r="B2190" s="16">
        <v>694.3</v>
      </c>
    </row>
    <row r="2191" spans="1:2">
      <c r="A2191" s="10" t="s">
        <v>2390</v>
      </c>
      <c r="B2191" s="16">
        <v>698.96</v>
      </c>
    </row>
    <row r="2192" spans="1:2">
      <c r="A2192" s="10" t="s">
        <v>2391</v>
      </c>
      <c r="B2192" s="16">
        <v>692.51</v>
      </c>
    </row>
    <row r="2193" spans="1:2">
      <c r="A2193" s="10" t="s">
        <v>2392</v>
      </c>
      <c r="B2193" s="16">
        <v>699.74</v>
      </c>
    </row>
    <row r="2194" spans="1:2">
      <c r="A2194" s="10" t="s">
        <v>2393</v>
      </c>
      <c r="B2194" s="16">
        <v>694.41</v>
      </c>
    </row>
    <row r="2195" spans="1:2">
      <c r="A2195" s="10" t="s">
        <v>2394</v>
      </c>
      <c r="B2195" s="16">
        <v>702.07</v>
      </c>
    </row>
    <row r="2196" spans="1:2">
      <c r="A2196" s="10" t="s">
        <v>2395</v>
      </c>
      <c r="B2196" s="16">
        <v>705.89</v>
      </c>
    </row>
    <row r="2197" spans="1:2">
      <c r="A2197" s="10" t="s">
        <v>2396</v>
      </c>
      <c r="B2197" s="16">
        <v>709.88</v>
      </c>
    </row>
    <row r="2198" spans="1:2">
      <c r="A2198" s="10" t="s">
        <v>2397</v>
      </c>
      <c r="B2198" s="16">
        <v>721.21</v>
      </c>
    </row>
    <row r="2199" spans="1:2">
      <c r="A2199" s="10" t="s">
        <v>2398</v>
      </c>
      <c r="B2199" s="16">
        <v>719.52</v>
      </c>
    </row>
    <row r="2200" spans="1:2">
      <c r="A2200" s="10" t="s">
        <v>2399</v>
      </c>
      <c r="B2200" s="16">
        <v>716.11</v>
      </c>
    </row>
    <row r="2201" spans="1:2">
      <c r="A2201" s="10" t="s">
        <v>2400</v>
      </c>
      <c r="B2201" s="16">
        <v>708.96</v>
      </c>
    </row>
    <row r="2202" spans="1:2">
      <c r="A2202" s="10" t="s">
        <v>2401</v>
      </c>
      <c r="B2202" s="16">
        <v>713.37</v>
      </c>
    </row>
    <row r="2203" spans="1:2">
      <c r="A2203" s="10" t="s">
        <v>2402</v>
      </c>
      <c r="B2203" s="16">
        <v>703.36</v>
      </c>
    </row>
    <row r="2204" spans="1:2">
      <c r="A2204" s="10" t="s">
        <v>2403</v>
      </c>
      <c r="B2204" s="16">
        <v>702.47</v>
      </c>
    </row>
    <row r="2205" spans="1:2">
      <c r="A2205" s="10" t="s">
        <v>2404</v>
      </c>
      <c r="B2205" s="16">
        <v>695.24</v>
      </c>
    </row>
    <row r="2206" spans="1:2">
      <c r="A2206" s="10" t="s">
        <v>2405</v>
      </c>
      <c r="B2206" s="16">
        <v>697.65</v>
      </c>
    </row>
    <row r="2207" spans="1:2">
      <c r="A2207" s="10" t="s">
        <v>2406</v>
      </c>
      <c r="B2207" s="16">
        <v>699.37</v>
      </c>
    </row>
    <row r="2208" spans="1:2">
      <c r="A2208" s="10" t="s">
        <v>2407</v>
      </c>
      <c r="B2208" s="16">
        <v>682.63</v>
      </c>
    </row>
    <row r="2209" spans="1:2">
      <c r="A2209" s="10" t="s">
        <v>2408</v>
      </c>
      <c r="B2209" s="16">
        <v>679.19</v>
      </c>
    </row>
    <row r="2210" spans="1:2">
      <c r="A2210" s="10" t="s">
        <v>2409</v>
      </c>
      <c r="B2210" s="16">
        <v>656.51</v>
      </c>
    </row>
    <row r="2211" spans="1:2">
      <c r="A2211" s="10" t="s">
        <v>2410</v>
      </c>
      <c r="B2211" s="16">
        <v>663.61</v>
      </c>
    </row>
    <row r="2212" spans="1:2">
      <c r="A2212" s="10" t="s">
        <v>2411</v>
      </c>
      <c r="B2212" s="16">
        <v>658.73</v>
      </c>
    </row>
    <row r="2213" spans="1:2">
      <c r="A2213" s="10" t="s">
        <v>2412</v>
      </c>
      <c r="B2213" s="16">
        <v>667.06</v>
      </c>
    </row>
    <row r="2214" spans="1:2">
      <c r="A2214" s="10" t="s">
        <v>2413</v>
      </c>
      <c r="B2214" s="16">
        <v>678.27</v>
      </c>
    </row>
    <row r="2215" spans="1:2">
      <c r="A2215" s="10" t="s">
        <v>2414</v>
      </c>
      <c r="B2215" s="16">
        <v>695.89</v>
      </c>
    </row>
    <row r="2216" spans="1:2">
      <c r="A2216" s="10" t="s">
        <v>2415</v>
      </c>
      <c r="B2216" s="16">
        <v>705.71</v>
      </c>
    </row>
    <row r="2217" spans="1:2">
      <c r="A2217" s="10" t="s">
        <v>2416</v>
      </c>
      <c r="B2217" s="16">
        <v>703.42</v>
      </c>
    </row>
    <row r="2218" spans="1:2">
      <c r="A2218" s="10" t="s">
        <v>2417</v>
      </c>
      <c r="B2218" s="16">
        <v>722.35</v>
      </c>
    </row>
    <row r="2219" spans="1:2">
      <c r="A2219" s="10" t="s">
        <v>2418</v>
      </c>
      <c r="B2219" s="16">
        <v>721.3</v>
      </c>
    </row>
    <row r="2220" spans="1:2">
      <c r="A2220" s="10" t="s">
        <v>2419</v>
      </c>
      <c r="B2220" s="16">
        <v>732.44</v>
      </c>
    </row>
    <row r="2221" spans="1:2">
      <c r="A2221" s="10" t="s">
        <v>2420</v>
      </c>
      <c r="B2221" s="16">
        <v>724.11</v>
      </c>
    </row>
    <row r="2222" spans="1:2">
      <c r="A2222" s="10" t="s">
        <v>2421</v>
      </c>
      <c r="B2222" s="16">
        <v>727.54</v>
      </c>
    </row>
    <row r="2223" spans="1:2">
      <c r="A2223" s="10" t="s">
        <v>2422</v>
      </c>
      <c r="B2223" s="16">
        <v>732.06</v>
      </c>
    </row>
    <row r="2224" spans="1:2">
      <c r="A2224" s="10" t="s">
        <v>2423</v>
      </c>
      <c r="B2224" s="16">
        <v>727.91</v>
      </c>
    </row>
    <row r="2225" spans="1:2">
      <c r="A2225" s="10" t="s">
        <v>2424</v>
      </c>
      <c r="B2225" s="16">
        <v>724.16</v>
      </c>
    </row>
    <row r="2226" spans="1:2">
      <c r="A2226" s="10" t="s">
        <v>2425</v>
      </c>
      <c r="B2226" s="16">
        <v>724.82</v>
      </c>
    </row>
    <row r="2227" spans="1:2">
      <c r="A2227" s="10" t="s">
        <v>2426</v>
      </c>
      <c r="B2227" s="16">
        <v>722.52</v>
      </c>
    </row>
    <row r="2228" spans="1:2">
      <c r="A2228" s="10" t="s">
        <v>2427</v>
      </c>
      <c r="B2228" s="16">
        <v>721.42</v>
      </c>
    </row>
    <row r="2229" spans="1:2">
      <c r="A2229" s="10" t="s">
        <v>2428</v>
      </c>
      <c r="B2229" s="16">
        <v>727.84</v>
      </c>
    </row>
    <row r="2230" spans="1:2">
      <c r="A2230" s="10" t="s">
        <v>2429</v>
      </c>
      <c r="B2230" s="16">
        <v>728.28</v>
      </c>
    </row>
    <row r="2231" spans="1:2">
      <c r="A2231" s="10" t="s">
        <v>2430</v>
      </c>
      <c r="B2231" s="16">
        <v>727.9</v>
      </c>
    </row>
    <row r="2232" spans="1:2">
      <c r="A2232" s="10" t="s">
        <v>2431</v>
      </c>
      <c r="B2232" s="16">
        <v>730.76</v>
      </c>
    </row>
    <row r="2233" spans="1:2">
      <c r="A2233" s="10" t="s">
        <v>2432</v>
      </c>
      <c r="B2233" s="16">
        <v>728.16</v>
      </c>
    </row>
    <row r="2234" spans="1:2">
      <c r="A2234" s="10" t="s">
        <v>2433</v>
      </c>
      <c r="B2234" s="16">
        <v>733.09</v>
      </c>
    </row>
    <row r="2235" spans="1:2">
      <c r="A2235" s="10" t="s">
        <v>2434</v>
      </c>
      <c r="B2235" s="16">
        <v>732.12</v>
      </c>
    </row>
    <row r="2236" spans="1:2">
      <c r="A2236" s="10" t="s">
        <v>2435</v>
      </c>
      <c r="B2236" s="16">
        <v>727.68</v>
      </c>
    </row>
    <row r="2237" spans="1:2">
      <c r="A2237" s="10" t="s">
        <v>2436</v>
      </c>
      <c r="B2237" s="16">
        <v>732.84</v>
      </c>
    </row>
    <row r="2238" spans="1:2">
      <c r="A2238" s="10" t="s">
        <v>2437</v>
      </c>
      <c r="B2238" s="16">
        <v>731.79</v>
      </c>
    </row>
    <row r="2239" spans="1:2">
      <c r="A2239" s="10" t="s">
        <v>2438</v>
      </c>
      <c r="B2239" s="16">
        <v>733.78</v>
      </c>
    </row>
    <row r="2240" spans="1:2">
      <c r="A2240" s="10" t="s">
        <v>2439</v>
      </c>
      <c r="B2240" s="16">
        <v>729.93</v>
      </c>
    </row>
    <row r="2241" spans="1:2">
      <c r="A2241" s="10" t="s">
        <v>2440</v>
      </c>
      <c r="B2241" s="16">
        <v>726.24</v>
      </c>
    </row>
    <row r="2242" spans="1:2">
      <c r="A2242" s="10" t="s">
        <v>2441</v>
      </c>
      <c r="B2242" s="16">
        <v>722.42</v>
      </c>
    </row>
    <row r="2243" spans="1:2">
      <c r="A2243" s="10" t="s">
        <v>2442</v>
      </c>
      <c r="B2243" s="16">
        <v>722.62</v>
      </c>
    </row>
    <row r="2244" spans="1:2">
      <c r="A2244" s="10" t="s">
        <v>2443</v>
      </c>
      <c r="B2244" s="16">
        <v>729.52</v>
      </c>
    </row>
    <row r="2245" spans="1:2">
      <c r="A2245" s="10" t="s">
        <v>2444</v>
      </c>
      <c r="B2245" s="16">
        <v>731.07</v>
      </c>
    </row>
    <row r="2246" spans="1:2">
      <c r="A2246" s="10" t="s">
        <v>2445</v>
      </c>
      <c r="B2246" s="16">
        <v>732.76</v>
      </c>
    </row>
    <row r="2247" spans="1:2">
      <c r="A2247" s="10" t="s">
        <v>2446</v>
      </c>
      <c r="B2247" s="16">
        <v>729.67</v>
      </c>
    </row>
    <row r="2248" spans="1:2">
      <c r="A2248" s="10" t="s">
        <v>2447</v>
      </c>
      <c r="B2248" s="16">
        <v>722.79</v>
      </c>
    </row>
    <row r="2249" spans="1:2">
      <c r="A2249" s="10" t="s">
        <v>2448</v>
      </c>
      <c r="B2249" s="16">
        <v>729.28</v>
      </c>
    </row>
    <row r="2250" spans="1:2">
      <c r="A2250" s="10" t="s">
        <v>2449</v>
      </c>
      <c r="B2250" s="16">
        <v>730.56</v>
      </c>
    </row>
    <row r="2251" spans="1:2">
      <c r="A2251" s="10" t="s">
        <v>2450</v>
      </c>
      <c r="B2251" s="16">
        <v>733.01</v>
      </c>
    </row>
    <row r="2252" spans="1:2">
      <c r="A2252" s="10" t="s">
        <v>2451</v>
      </c>
      <c r="B2252" s="16">
        <v>739.94</v>
      </c>
    </row>
    <row r="2253" spans="1:2">
      <c r="A2253" s="10" t="s">
        <v>2452</v>
      </c>
      <c r="B2253" s="16">
        <v>738.71</v>
      </c>
    </row>
    <row r="2254" spans="1:2">
      <c r="A2254" s="10" t="s">
        <v>2453</v>
      </c>
      <c r="B2254" s="16">
        <v>735.5</v>
      </c>
    </row>
    <row r="2255" spans="1:2">
      <c r="A2255" s="10" t="s">
        <v>2454</v>
      </c>
      <c r="B2255" s="16">
        <v>738.23</v>
      </c>
    </row>
    <row r="2256" spans="1:2">
      <c r="A2256" s="10" t="s">
        <v>2455</v>
      </c>
      <c r="B2256" s="16">
        <v>733.56</v>
      </c>
    </row>
    <row r="2257" spans="1:2">
      <c r="A2257" s="10" t="s">
        <v>2456</v>
      </c>
      <c r="B2257" s="16">
        <v>733.25</v>
      </c>
    </row>
    <row r="2258" spans="1:2">
      <c r="A2258" s="10" t="s">
        <v>2457</v>
      </c>
      <c r="B2258" s="16">
        <v>736.48</v>
      </c>
    </row>
    <row r="2259" spans="1:2">
      <c r="A2259" s="10" t="s">
        <v>2458</v>
      </c>
      <c r="B2259" s="16">
        <v>747.57</v>
      </c>
    </row>
    <row r="2260" spans="1:2">
      <c r="A2260" s="10" t="s">
        <v>2459</v>
      </c>
      <c r="B2260" s="16">
        <v>752.75</v>
      </c>
    </row>
    <row r="2261" spans="1:2">
      <c r="A2261" s="10" t="s">
        <v>2460</v>
      </c>
      <c r="B2261" s="16">
        <v>751.65</v>
      </c>
    </row>
    <row r="2262" spans="1:2">
      <c r="A2262" s="10" t="s">
        <v>2461</v>
      </c>
      <c r="B2262" s="16">
        <v>749.07</v>
      </c>
    </row>
    <row r="2263" spans="1:2">
      <c r="A2263" s="10" t="s">
        <v>2462</v>
      </c>
      <c r="B2263" s="16">
        <v>751.32</v>
      </c>
    </row>
    <row r="2264" spans="1:2">
      <c r="A2264" s="10" t="s">
        <v>2463</v>
      </c>
      <c r="B2264" s="16">
        <v>750.03</v>
      </c>
    </row>
    <row r="2265" spans="1:2">
      <c r="A2265" s="10" t="s">
        <v>2464</v>
      </c>
      <c r="B2265" s="16">
        <v>744.3</v>
      </c>
    </row>
    <row r="2266" spans="1:2">
      <c r="A2266" s="10" t="s">
        <v>2465</v>
      </c>
      <c r="B2266" s="16">
        <v>745.49</v>
      </c>
    </row>
    <row r="2267" spans="1:2">
      <c r="A2267" s="10" t="s">
        <v>2466</v>
      </c>
      <c r="B2267" s="16">
        <v>745.67</v>
      </c>
    </row>
    <row r="2268" spans="1:2">
      <c r="A2268" s="10" t="s">
        <v>2467</v>
      </c>
      <c r="B2268" s="16">
        <v>756.28</v>
      </c>
    </row>
    <row r="2269" spans="1:2">
      <c r="A2269" s="10" t="s">
        <v>2468</v>
      </c>
      <c r="B2269" s="16">
        <v>758.58</v>
      </c>
    </row>
    <row r="2270" spans="1:2">
      <c r="A2270" s="10" t="s">
        <v>2469</v>
      </c>
      <c r="B2270" s="16">
        <v>754.98</v>
      </c>
    </row>
    <row r="2271" spans="1:2">
      <c r="A2271" s="10" t="s">
        <v>2470</v>
      </c>
      <c r="B2271" s="16">
        <v>755.55</v>
      </c>
    </row>
    <row r="2272" spans="1:2">
      <c r="A2272" s="10" t="s">
        <v>2471</v>
      </c>
      <c r="B2272" s="16">
        <v>757.75</v>
      </c>
    </row>
    <row r="2273" spans="1:2">
      <c r="A2273" s="10" t="s">
        <v>2472</v>
      </c>
      <c r="B2273" s="16">
        <v>745.33</v>
      </c>
    </row>
    <row r="2274" spans="1:2">
      <c r="A2274" s="10" t="s">
        <v>2473</v>
      </c>
      <c r="B2274" s="16">
        <v>749.21</v>
      </c>
    </row>
    <row r="2275" spans="1:2">
      <c r="A2275" s="10" t="s">
        <v>2474</v>
      </c>
      <c r="B2275" s="16">
        <v>732.96</v>
      </c>
    </row>
    <row r="2276" spans="1:2">
      <c r="A2276" s="10" t="s">
        <v>2475</v>
      </c>
      <c r="B2276" s="16">
        <v>746.6</v>
      </c>
    </row>
    <row r="2277" spans="1:2">
      <c r="A2277" s="10" t="s">
        <v>2476</v>
      </c>
      <c r="B2277" s="16">
        <v>758.21</v>
      </c>
    </row>
    <row r="2278" spans="1:2">
      <c r="A2278" s="10" t="s">
        <v>2477</v>
      </c>
      <c r="B2278" s="16">
        <v>761.35</v>
      </c>
    </row>
    <row r="2279" spans="1:2">
      <c r="A2279" s="10" t="s">
        <v>2478</v>
      </c>
      <c r="B2279" s="16">
        <v>769.3</v>
      </c>
    </row>
    <row r="2280" spans="1:2">
      <c r="A2280" s="10" t="s">
        <v>2479</v>
      </c>
      <c r="B2280" s="16">
        <v>768.63</v>
      </c>
    </row>
    <row r="2281" spans="1:2">
      <c r="A2281" s="10" t="s">
        <v>2480</v>
      </c>
      <c r="B2281" s="16">
        <v>770.95</v>
      </c>
    </row>
    <row r="2282" spans="1:2">
      <c r="A2282" s="10" t="s">
        <v>2481</v>
      </c>
      <c r="B2282" s="16">
        <v>767.85</v>
      </c>
    </row>
    <row r="2283" spans="1:2">
      <c r="A2283" s="10" t="s">
        <v>2482</v>
      </c>
      <c r="B2283" s="16">
        <v>765</v>
      </c>
    </row>
    <row r="2284" spans="1:2">
      <c r="A2284" s="10" t="s">
        <v>2483</v>
      </c>
      <c r="B2284" s="16">
        <v>769.79</v>
      </c>
    </row>
    <row r="2285" spans="1:2">
      <c r="A2285" s="10" t="s">
        <v>2484</v>
      </c>
      <c r="B2285" s="16">
        <v>773.98</v>
      </c>
    </row>
    <row r="2286" spans="1:2">
      <c r="A2286" s="10" t="s">
        <v>2485</v>
      </c>
      <c r="B2286" s="16">
        <v>776.07</v>
      </c>
    </row>
    <row r="2287" spans="1:2">
      <c r="A2287" s="10" t="s">
        <v>2486</v>
      </c>
      <c r="B2287" s="16">
        <v>774.99</v>
      </c>
    </row>
    <row r="2288" spans="1:2">
      <c r="A2288" s="10" t="s">
        <v>2487</v>
      </c>
      <c r="B2288" s="16">
        <v>773.11</v>
      </c>
    </row>
    <row r="2289" spans="1:2">
      <c r="A2289" s="10" t="s">
        <v>2488</v>
      </c>
      <c r="B2289" s="16">
        <v>768.41</v>
      </c>
    </row>
    <row r="2290" spans="1:2">
      <c r="A2290" s="10" t="s">
        <v>2489</v>
      </c>
      <c r="B2290" s="16">
        <v>768.38</v>
      </c>
    </row>
    <row r="2291" spans="1:2">
      <c r="A2291" s="10" t="s">
        <v>2490</v>
      </c>
      <c r="B2291" s="16">
        <v>758.77</v>
      </c>
    </row>
    <row r="2292" spans="1:2">
      <c r="A2292" s="10" t="s">
        <v>2491</v>
      </c>
      <c r="B2292" s="16">
        <v>755.83</v>
      </c>
    </row>
    <row r="2293" spans="1:2">
      <c r="A2293" s="10" t="s">
        <v>2492</v>
      </c>
      <c r="B2293" s="16">
        <v>761.67</v>
      </c>
    </row>
    <row r="2294" spans="1:2">
      <c r="A2294" s="10" t="s">
        <v>2493</v>
      </c>
      <c r="B2294" s="16">
        <v>748.81</v>
      </c>
    </row>
    <row r="2295" spans="1:2">
      <c r="A2295" s="10" t="s">
        <v>2494</v>
      </c>
      <c r="B2295" s="16">
        <v>747.34</v>
      </c>
    </row>
    <row r="2296" spans="1:2">
      <c r="A2296" s="10" t="s">
        <v>2495</v>
      </c>
      <c r="B2296" s="16">
        <v>765.21</v>
      </c>
    </row>
    <row r="2297" spans="1:2">
      <c r="A2297" s="10" t="s">
        <v>2496</v>
      </c>
      <c r="B2297" s="16">
        <v>760.73</v>
      </c>
    </row>
    <row r="2298" spans="1:2">
      <c r="A2298" s="10" t="s">
        <v>2497</v>
      </c>
      <c r="B2298" s="16">
        <v>754.36</v>
      </c>
    </row>
    <row r="2299" spans="1:2">
      <c r="A2299" s="10" t="s">
        <v>2498</v>
      </c>
      <c r="B2299" s="16">
        <v>746.5</v>
      </c>
    </row>
    <row r="2300" spans="1:2">
      <c r="A2300" s="10" t="s">
        <v>2499</v>
      </c>
      <c r="B2300" s="16">
        <v>755.87</v>
      </c>
    </row>
    <row r="2301" spans="1:2">
      <c r="A2301" s="10" t="s">
        <v>2500</v>
      </c>
      <c r="B2301" s="16">
        <v>760.77</v>
      </c>
    </row>
    <row r="2302" spans="1:2">
      <c r="A2302" s="10" t="s">
        <v>2501</v>
      </c>
      <c r="B2302" s="16">
        <v>770.39</v>
      </c>
    </row>
    <row r="2303" spans="1:2">
      <c r="A2303" s="10" t="s">
        <v>2502</v>
      </c>
      <c r="B2303" s="16">
        <v>773.44</v>
      </c>
    </row>
    <row r="2304" spans="1:2">
      <c r="A2304" s="10" t="s">
        <v>2503</v>
      </c>
      <c r="B2304" s="16">
        <v>779.37</v>
      </c>
    </row>
    <row r="2305" spans="1:2">
      <c r="A2305" s="10" t="s">
        <v>2504</v>
      </c>
      <c r="B2305" s="16">
        <v>777.84</v>
      </c>
    </row>
    <row r="2306" spans="1:2">
      <c r="A2306" s="10" t="s">
        <v>2505</v>
      </c>
      <c r="B2306" s="16">
        <v>781.3</v>
      </c>
    </row>
    <row r="2307" spans="1:2">
      <c r="A2307" s="10" t="s">
        <v>2506</v>
      </c>
      <c r="B2307" s="16">
        <v>786.43</v>
      </c>
    </row>
    <row r="2308" spans="1:2">
      <c r="A2308" s="10" t="s">
        <v>2507</v>
      </c>
      <c r="B2308" s="16">
        <v>785.05</v>
      </c>
    </row>
    <row r="2309" spans="1:2">
      <c r="A2309" s="10" t="s">
        <v>2508</v>
      </c>
      <c r="B2309" s="16">
        <v>779.43</v>
      </c>
    </row>
    <row r="2310" spans="1:2">
      <c r="A2310" s="10" t="s">
        <v>2509</v>
      </c>
      <c r="B2310" s="16">
        <v>775.68</v>
      </c>
    </row>
    <row r="2311" spans="1:2">
      <c r="A2311" s="10" t="s">
        <v>2510</v>
      </c>
      <c r="B2311" s="16">
        <v>779.49</v>
      </c>
    </row>
    <row r="2312" spans="1:2">
      <c r="A2312" s="10" t="s">
        <v>2511</v>
      </c>
      <c r="B2312" s="16">
        <v>779.3</v>
      </c>
    </row>
    <row r="2313" spans="1:2">
      <c r="A2313" s="10" t="s">
        <v>2512</v>
      </c>
      <c r="B2313" s="16">
        <v>778.4</v>
      </c>
    </row>
    <row r="2314" spans="1:2">
      <c r="A2314" s="10" t="s">
        <v>2513</v>
      </c>
      <c r="B2314" s="16">
        <v>782.16</v>
      </c>
    </row>
    <row r="2315" spans="1:2">
      <c r="A2315" s="10" t="s">
        <v>2514</v>
      </c>
      <c r="B2315" s="16">
        <v>793.14</v>
      </c>
    </row>
    <row r="2316" spans="1:2">
      <c r="A2316" s="10" t="s">
        <v>2515</v>
      </c>
      <c r="B2316" s="16">
        <v>794.77</v>
      </c>
    </row>
    <row r="2317" spans="1:2">
      <c r="A2317" s="10" t="s">
        <v>2516</v>
      </c>
      <c r="B2317" s="16">
        <v>796.61</v>
      </c>
    </row>
    <row r="2318" spans="1:2">
      <c r="A2318" s="10" t="s">
        <v>2517</v>
      </c>
      <c r="B2318" s="16">
        <v>797.7</v>
      </c>
    </row>
    <row r="2319" spans="1:2">
      <c r="A2319" s="10" t="s">
        <v>2518</v>
      </c>
      <c r="B2319" s="16">
        <v>805.51</v>
      </c>
    </row>
    <row r="2320" spans="1:2">
      <c r="A2320" s="10" t="s">
        <v>2519</v>
      </c>
      <c r="B2320" s="16">
        <v>810.7</v>
      </c>
    </row>
    <row r="2321" spans="1:2">
      <c r="A2321" s="10" t="s">
        <v>2520</v>
      </c>
      <c r="B2321" s="16">
        <v>809.92</v>
      </c>
    </row>
    <row r="2322" spans="1:2">
      <c r="A2322" s="10" t="s">
        <v>2521</v>
      </c>
      <c r="B2322" s="16">
        <v>815.77</v>
      </c>
    </row>
    <row r="2323" spans="1:2">
      <c r="A2323" s="10" t="s">
        <v>2522</v>
      </c>
      <c r="B2323" s="16">
        <v>821.48</v>
      </c>
    </row>
    <row r="2324" spans="1:2">
      <c r="A2324" s="10" t="s">
        <v>2523</v>
      </c>
      <c r="B2324" s="16">
        <v>817.65</v>
      </c>
    </row>
    <row r="2325" spans="1:2">
      <c r="A2325" s="10" t="s">
        <v>2524</v>
      </c>
      <c r="B2325" s="16">
        <v>820.29</v>
      </c>
    </row>
    <row r="2326" spans="1:2">
      <c r="A2326" s="10" t="s">
        <v>2525</v>
      </c>
      <c r="B2326" s="16">
        <v>815.88</v>
      </c>
    </row>
    <row r="2327" spans="1:2">
      <c r="A2327" s="10" t="s">
        <v>2526</v>
      </c>
      <c r="B2327" s="16">
        <v>823.47</v>
      </c>
    </row>
    <row r="2328" spans="1:2">
      <c r="A2328" s="10" t="s">
        <v>2527</v>
      </c>
      <c r="B2328" s="16">
        <v>828.28</v>
      </c>
    </row>
    <row r="2329" spans="1:2">
      <c r="A2329" s="10" t="s">
        <v>2528</v>
      </c>
      <c r="B2329" s="16">
        <v>823.84</v>
      </c>
    </row>
    <row r="2330" spans="1:2">
      <c r="A2330" s="10" t="s">
        <v>2529</v>
      </c>
      <c r="B2330" s="16">
        <v>812.94</v>
      </c>
    </row>
    <row r="2331" spans="1:2">
      <c r="A2331" s="10" t="s">
        <v>2530</v>
      </c>
      <c r="B2331" s="16">
        <v>820.66</v>
      </c>
    </row>
    <row r="2332" spans="1:2">
      <c r="A2332" s="10" t="s">
        <v>2531</v>
      </c>
      <c r="B2332" s="16">
        <v>820.02</v>
      </c>
    </row>
    <row r="2333" spans="1:2">
      <c r="A2333" s="10" t="s">
        <v>2532</v>
      </c>
      <c r="B2333" s="16">
        <v>824.41</v>
      </c>
    </row>
    <row r="2334" spans="1:2">
      <c r="A2334" s="10" t="s">
        <v>2533</v>
      </c>
      <c r="B2334" s="16">
        <v>823.6</v>
      </c>
    </row>
    <row r="2335" spans="1:2">
      <c r="A2335" s="10" t="s">
        <v>2534</v>
      </c>
      <c r="B2335" s="16">
        <v>823.4</v>
      </c>
    </row>
    <row r="2336" spans="1:2">
      <c r="A2336" s="10" t="s">
        <v>2535</v>
      </c>
      <c r="B2336" s="16">
        <v>821.26</v>
      </c>
    </row>
    <row r="2337" spans="1:2">
      <c r="A2337" s="10" t="s">
        <v>2536</v>
      </c>
      <c r="B2337" s="16">
        <v>821.25</v>
      </c>
    </row>
    <row r="2338" spans="1:2">
      <c r="A2338" s="10" t="s">
        <v>2537</v>
      </c>
      <c r="B2338" s="16">
        <v>818.68</v>
      </c>
    </row>
    <row r="2339" spans="1:2">
      <c r="A2339" s="10" t="s">
        <v>2538</v>
      </c>
      <c r="B2339" s="16">
        <v>820.95</v>
      </c>
    </row>
    <row r="2340" spans="1:2">
      <c r="A2340" s="10" t="s">
        <v>2539</v>
      </c>
      <c r="B2340" s="16">
        <v>810.76</v>
      </c>
    </row>
    <row r="2341" spans="1:2">
      <c r="A2341" s="10" t="s">
        <v>2540</v>
      </c>
      <c r="B2341" s="16">
        <v>820.55</v>
      </c>
    </row>
    <row r="2342" spans="1:2">
      <c r="A2342" s="10" t="s">
        <v>2541</v>
      </c>
      <c r="B2342" s="16">
        <v>823.24</v>
      </c>
    </row>
    <row r="2343" spans="1:2">
      <c r="A2343" s="10" t="s">
        <v>2542</v>
      </c>
      <c r="B2343" s="16">
        <v>826.7</v>
      </c>
    </row>
    <row r="2344" spans="1:2">
      <c r="A2344" s="10" t="s">
        <v>2543</v>
      </c>
      <c r="B2344" s="16">
        <v>819.22</v>
      </c>
    </row>
    <row r="2345" spans="1:2">
      <c r="A2345" s="10" t="s">
        <v>2544</v>
      </c>
      <c r="B2345" s="16">
        <v>808.56</v>
      </c>
    </row>
    <row r="2346" spans="1:2">
      <c r="A2346" s="10" t="s">
        <v>2545</v>
      </c>
      <c r="B2346" s="16">
        <v>800.99</v>
      </c>
    </row>
    <row r="2347" spans="1:2">
      <c r="A2347" s="10" t="s">
        <v>2546</v>
      </c>
      <c r="B2347" s="16">
        <v>808.97</v>
      </c>
    </row>
    <row r="2348" spans="1:2">
      <c r="A2348" s="10" t="s">
        <v>2547</v>
      </c>
      <c r="B2348" s="16">
        <v>818.94</v>
      </c>
    </row>
    <row r="2349" spans="1:2">
      <c r="A2349" s="10" t="s">
        <v>2548</v>
      </c>
      <c r="B2349" s="16">
        <v>815.52</v>
      </c>
    </row>
    <row r="2350" spans="1:2">
      <c r="A2350" s="10" t="s">
        <v>2549</v>
      </c>
      <c r="B2350" s="16">
        <v>809.04</v>
      </c>
    </row>
    <row r="2351" spans="1:2">
      <c r="A2351" s="10" t="s">
        <v>2550</v>
      </c>
      <c r="B2351" s="16">
        <v>803.08</v>
      </c>
    </row>
    <row r="2352" spans="1:2">
      <c r="A2352" s="10" t="s">
        <v>2551</v>
      </c>
      <c r="B2352" s="16">
        <v>813.91</v>
      </c>
    </row>
    <row r="2353" spans="1:2">
      <c r="A2353" s="10" t="s">
        <v>2552</v>
      </c>
      <c r="B2353" s="16">
        <v>816.28</v>
      </c>
    </row>
    <row r="2354" spans="1:2">
      <c r="A2354" s="10" t="s">
        <v>2553</v>
      </c>
      <c r="B2354" s="16">
        <v>821.18</v>
      </c>
    </row>
    <row r="2355" spans="1:2">
      <c r="A2355" s="10" t="s">
        <v>2554</v>
      </c>
      <c r="B2355" s="16">
        <v>820.11</v>
      </c>
    </row>
    <row r="2356" spans="1:2">
      <c r="A2356" s="10" t="s">
        <v>2555</v>
      </c>
      <c r="B2356" s="16">
        <v>820.12</v>
      </c>
    </row>
    <row r="2357" spans="1:2">
      <c r="A2357" s="10" t="s">
        <v>2556</v>
      </c>
      <c r="B2357" s="16">
        <v>819.57</v>
      </c>
    </row>
    <row r="2358" spans="1:2">
      <c r="A2358" s="10" t="s">
        <v>2557</v>
      </c>
      <c r="B2358" s="16">
        <v>824.98</v>
      </c>
    </row>
    <row r="2359" spans="1:2">
      <c r="A2359" s="10" t="s">
        <v>2558</v>
      </c>
      <c r="B2359" s="16">
        <v>820.27</v>
      </c>
    </row>
    <row r="2360" spans="1:2">
      <c r="A2360" s="10" t="s">
        <v>2559</v>
      </c>
      <c r="B2360" s="16">
        <v>819.42</v>
      </c>
    </row>
    <row r="2361" spans="1:2">
      <c r="A2361" s="10" t="s">
        <v>2560</v>
      </c>
      <c r="B2361" s="16">
        <v>823.51</v>
      </c>
    </row>
    <row r="2362" spans="1:2">
      <c r="A2362" s="10" t="s">
        <v>2561</v>
      </c>
      <c r="B2362" s="16">
        <v>823.65</v>
      </c>
    </row>
    <row r="2363" spans="1:2">
      <c r="A2363" s="10" t="s">
        <v>2562</v>
      </c>
      <c r="B2363" s="16">
        <v>828.98</v>
      </c>
    </row>
    <row r="2364" spans="1:2">
      <c r="A2364" s="10" t="s">
        <v>2563</v>
      </c>
      <c r="B2364" s="16">
        <v>828.58</v>
      </c>
    </row>
    <row r="2365" spans="1:2">
      <c r="A2365" s="10" t="s">
        <v>2564</v>
      </c>
      <c r="B2365" s="16">
        <v>827.58</v>
      </c>
    </row>
    <row r="2366" spans="1:2">
      <c r="A2366" s="10" t="s">
        <v>2565</v>
      </c>
      <c r="B2366" s="16">
        <v>827.44</v>
      </c>
    </row>
    <row r="2367" spans="1:2">
      <c r="A2367" s="10" t="s">
        <v>2566</v>
      </c>
      <c r="B2367" s="16">
        <v>830.53</v>
      </c>
    </row>
    <row r="2368" spans="1:2">
      <c r="A2368" s="10" t="s">
        <v>2567</v>
      </c>
      <c r="B2368" s="16">
        <v>836.48</v>
      </c>
    </row>
    <row r="2369" spans="1:2">
      <c r="A2369" s="10" t="s">
        <v>2568</v>
      </c>
      <c r="B2369" s="16">
        <v>838.68</v>
      </c>
    </row>
    <row r="2370" spans="1:2">
      <c r="A2370" s="10" t="s">
        <v>2569</v>
      </c>
      <c r="B2370" s="16">
        <v>837.77</v>
      </c>
    </row>
    <row r="2371" spans="1:2">
      <c r="A2371" s="10" t="s">
        <v>2570</v>
      </c>
      <c r="B2371" s="16">
        <v>836.02</v>
      </c>
    </row>
    <row r="2372" spans="1:2">
      <c r="A2372" s="10" t="s">
        <v>2571</v>
      </c>
      <c r="B2372" s="16">
        <v>845.51</v>
      </c>
    </row>
    <row r="2373" spans="1:2">
      <c r="A2373" s="10" t="s">
        <v>2572</v>
      </c>
      <c r="B2373" s="16">
        <v>836.21</v>
      </c>
    </row>
    <row r="2374" spans="1:2">
      <c r="A2374" s="10" t="s">
        <v>2573</v>
      </c>
      <c r="B2374" s="16">
        <v>841.52</v>
      </c>
    </row>
    <row r="2375" spans="1:2">
      <c r="A2375" s="10" t="s">
        <v>2574</v>
      </c>
      <c r="B2375" s="16">
        <v>845.87</v>
      </c>
    </row>
    <row r="2376" spans="1:2">
      <c r="A2376" s="10" t="s">
        <v>2575</v>
      </c>
      <c r="B2376" s="16">
        <v>838.47</v>
      </c>
    </row>
    <row r="2377" spans="1:2">
      <c r="A2377" s="10" t="s">
        <v>2576</v>
      </c>
      <c r="B2377" s="16">
        <v>846.46</v>
      </c>
    </row>
    <row r="2378" spans="1:2">
      <c r="A2378" s="10" t="s">
        <v>2577</v>
      </c>
      <c r="B2378" s="16">
        <v>847.47</v>
      </c>
    </row>
    <row r="2379" spans="1:2">
      <c r="A2379" s="10" t="s">
        <v>2578</v>
      </c>
      <c r="B2379" s="16">
        <v>849.43</v>
      </c>
    </row>
    <row r="2380" spans="1:2">
      <c r="A2380" s="10" t="s">
        <v>2579</v>
      </c>
      <c r="B2380" s="16">
        <v>854.07</v>
      </c>
    </row>
    <row r="2381" spans="1:2">
      <c r="A2381" s="10" t="s">
        <v>2580</v>
      </c>
      <c r="B2381" s="16">
        <v>851.63</v>
      </c>
    </row>
    <row r="2382" spans="1:2">
      <c r="A2382" s="10" t="s">
        <v>2581</v>
      </c>
      <c r="B2382" s="16">
        <v>854.94</v>
      </c>
    </row>
    <row r="2383" spans="1:2">
      <c r="A2383" s="10" t="s">
        <v>2582</v>
      </c>
      <c r="B2383" s="16">
        <v>861.53</v>
      </c>
    </row>
    <row r="2384" spans="1:2">
      <c r="A2384" s="10" t="s">
        <v>2583</v>
      </c>
      <c r="B2384" s="16">
        <v>861.41</v>
      </c>
    </row>
    <row r="2385" spans="1:2">
      <c r="A2385" s="10" t="s">
        <v>2584</v>
      </c>
      <c r="B2385" s="16">
        <v>860.12</v>
      </c>
    </row>
    <row r="2386" spans="1:2">
      <c r="A2386" s="10" t="s">
        <v>2585</v>
      </c>
      <c r="B2386" s="16">
        <v>866.88</v>
      </c>
    </row>
    <row r="2387" spans="1:2">
      <c r="A2387" s="10" t="s">
        <v>2586</v>
      </c>
      <c r="B2387" s="16">
        <v>851.85</v>
      </c>
    </row>
    <row r="2388" spans="1:2">
      <c r="A2388" s="10" t="s">
        <v>2587</v>
      </c>
      <c r="B2388" s="16">
        <v>862.94</v>
      </c>
    </row>
    <row r="2389" spans="1:2">
      <c r="A2389" s="10" t="s">
        <v>2588</v>
      </c>
      <c r="B2389" s="16">
        <v>866.62</v>
      </c>
    </row>
    <row r="2390" spans="1:2">
      <c r="A2390" s="10" t="s">
        <v>2589</v>
      </c>
      <c r="B2390" s="16">
        <v>870.11</v>
      </c>
    </row>
    <row r="2391" spans="1:2">
      <c r="A2391" s="10" t="s">
        <v>2590</v>
      </c>
      <c r="B2391" s="16">
        <v>873.16</v>
      </c>
    </row>
    <row r="2392" spans="1:2">
      <c r="A2392" s="10" t="s">
        <v>2591</v>
      </c>
      <c r="B2392" s="16">
        <v>867.46</v>
      </c>
    </row>
    <row r="2393" spans="1:2">
      <c r="A2393" s="10" t="s">
        <v>2592</v>
      </c>
      <c r="B2393" s="16">
        <v>862.11</v>
      </c>
    </row>
    <row r="2394" spans="1:2">
      <c r="A2394" s="10" t="s">
        <v>2593</v>
      </c>
      <c r="B2394" s="16">
        <v>845.73</v>
      </c>
    </row>
    <row r="2395" spans="1:2">
      <c r="A2395" s="10" t="s">
        <v>2594</v>
      </c>
      <c r="B2395" s="16">
        <v>856.32</v>
      </c>
    </row>
    <row r="2396" spans="1:2">
      <c r="A2396" s="10" t="s">
        <v>2595</v>
      </c>
      <c r="B2396" s="16">
        <v>864.97</v>
      </c>
    </row>
    <row r="2397" spans="1:2">
      <c r="A2397" s="10" t="s">
        <v>2596</v>
      </c>
      <c r="B2397" s="16">
        <v>870.7</v>
      </c>
    </row>
    <row r="2398" spans="1:2">
      <c r="A2398" s="10" t="s">
        <v>2597</v>
      </c>
      <c r="B2398" s="16">
        <v>881.65</v>
      </c>
    </row>
    <row r="2399" spans="1:2">
      <c r="A2399" s="10" t="s">
        <v>2598</v>
      </c>
      <c r="B2399" s="16">
        <v>879.33</v>
      </c>
    </row>
    <row r="2400" spans="1:2">
      <c r="A2400" s="10" t="s">
        <v>2599</v>
      </c>
      <c r="B2400" s="16">
        <v>871.46</v>
      </c>
    </row>
    <row r="2401" spans="1:2">
      <c r="A2401" s="10" t="s">
        <v>2600</v>
      </c>
      <c r="B2401" s="16">
        <v>874.65</v>
      </c>
    </row>
    <row r="2402" spans="1:2">
      <c r="A2402" s="10" t="s">
        <v>2601</v>
      </c>
      <c r="B2402" s="16">
        <v>874.95</v>
      </c>
    </row>
    <row r="2403" spans="1:2">
      <c r="A2403" s="10" t="s">
        <v>2602</v>
      </c>
      <c r="B2403" s="16">
        <v>873.41</v>
      </c>
    </row>
    <row r="2404" spans="1:2">
      <c r="A2404" s="10" t="s">
        <v>2603</v>
      </c>
      <c r="B2404" s="16">
        <v>874.46</v>
      </c>
    </row>
    <row r="2405" spans="1:2">
      <c r="A2405" s="10" t="s">
        <v>2604</v>
      </c>
      <c r="B2405" s="16">
        <v>880.39</v>
      </c>
    </row>
    <row r="2406" spans="1:2">
      <c r="A2406" s="10" t="s">
        <v>2605</v>
      </c>
      <c r="B2406" s="16">
        <v>882.89</v>
      </c>
    </row>
    <row r="2407" spans="1:2">
      <c r="A2407" s="10" t="s">
        <v>2606</v>
      </c>
      <c r="B2407" s="16">
        <v>886.84</v>
      </c>
    </row>
    <row r="2408" spans="1:2">
      <c r="A2408" s="10" t="s">
        <v>2607</v>
      </c>
      <c r="B2408" s="16">
        <v>891.34</v>
      </c>
    </row>
    <row r="2409" spans="1:2">
      <c r="A2409" s="10" t="s">
        <v>2608</v>
      </c>
      <c r="B2409" s="16">
        <v>891.76</v>
      </c>
    </row>
    <row r="2410" spans="1:2">
      <c r="A2410" s="10" t="s">
        <v>2609</v>
      </c>
      <c r="B2410" s="16">
        <v>893.17</v>
      </c>
    </row>
    <row r="2411" spans="1:2">
      <c r="A2411" s="10" t="s">
        <v>2610</v>
      </c>
      <c r="B2411" s="16">
        <v>894.07</v>
      </c>
    </row>
    <row r="2412" spans="1:2">
      <c r="A2412" s="10" t="s">
        <v>2611</v>
      </c>
      <c r="B2412" s="16">
        <v>899.29</v>
      </c>
    </row>
    <row r="2413" spans="1:2">
      <c r="A2413" s="10" t="s">
        <v>2612</v>
      </c>
      <c r="B2413" s="16">
        <v>899.05</v>
      </c>
    </row>
    <row r="2414" spans="1:2">
      <c r="A2414" s="10" t="s">
        <v>2613</v>
      </c>
      <c r="B2414" s="16">
        <v>899.77</v>
      </c>
    </row>
    <row r="2415" spans="1:2">
      <c r="A2415" s="10" t="s">
        <v>2614</v>
      </c>
      <c r="B2415" s="16">
        <v>899.45</v>
      </c>
    </row>
    <row r="2416" spans="1:2">
      <c r="A2416" s="10" t="s">
        <v>2615</v>
      </c>
      <c r="B2416" s="16">
        <v>892.77</v>
      </c>
    </row>
    <row r="2417" spans="1:2">
      <c r="A2417" s="10" t="s">
        <v>2616</v>
      </c>
      <c r="B2417" s="16">
        <v>890.96</v>
      </c>
    </row>
    <row r="2418" spans="1:2">
      <c r="A2418" s="10" t="s">
        <v>2617</v>
      </c>
      <c r="B2418" s="16">
        <v>898.42</v>
      </c>
    </row>
    <row r="2419" spans="1:2">
      <c r="A2419" s="10" t="s">
        <v>2618</v>
      </c>
      <c r="B2419" s="16">
        <v>902.48</v>
      </c>
    </row>
    <row r="2420" spans="1:2">
      <c r="A2420" s="10" t="s">
        <v>2619</v>
      </c>
      <c r="B2420" s="16">
        <v>899.5</v>
      </c>
    </row>
    <row r="2421" spans="1:2">
      <c r="A2421" s="10" t="s">
        <v>2620</v>
      </c>
      <c r="B2421" s="16">
        <v>900.04</v>
      </c>
    </row>
    <row r="2422" spans="1:2">
      <c r="A2422" s="10" t="s">
        <v>2621</v>
      </c>
      <c r="B2422" s="16">
        <v>895.91</v>
      </c>
    </row>
    <row r="2423" spans="1:2">
      <c r="A2423" s="10" t="s">
        <v>2622</v>
      </c>
      <c r="B2423" s="16">
        <v>899.5</v>
      </c>
    </row>
    <row r="2424" spans="1:2">
      <c r="A2424" s="10" t="s">
        <v>2623</v>
      </c>
      <c r="B2424" s="16">
        <v>902.76</v>
      </c>
    </row>
    <row r="2425" spans="1:2">
      <c r="A2425" s="10" t="s">
        <v>2624</v>
      </c>
      <c r="B2425" s="16">
        <v>899.55</v>
      </c>
    </row>
    <row r="2426" spans="1:2">
      <c r="A2426" s="10" t="s">
        <v>2625</v>
      </c>
      <c r="B2426" s="16">
        <v>900.33</v>
      </c>
    </row>
    <row r="2427" spans="1:2">
      <c r="A2427" s="10" t="s">
        <v>2626</v>
      </c>
      <c r="B2427" s="16">
        <v>901.47</v>
      </c>
    </row>
    <row r="2428" spans="1:2">
      <c r="A2428" s="10" t="s">
        <v>2627</v>
      </c>
      <c r="B2428" s="16">
        <v>899.15</v>
      </c>
    </row>
    <row r="2429" spans="1:2">
      <c r="A2429" s="10" t="s">
        <v>2628</v>
      </c>
      <c r="B2429" s="16">
        <v>903.95</v>
      </c>
    </row>
    <row r="2430" spans="1:2">
      <c r="A2430" s="10" t="s">
        <v>2629</v>
      </c>
      <c r="B2430" s="16">
        <v>901.56</v>
      </c>
    </row>
    <row r="2431" spans="1:2">
      <c r="A2431" s="10" t="s">
        <v>2630</v>
      </c>
      <c r="B2431" s="16">
        <v>896.82</v>
      </c>
    </row>
    <row r="2432" spans="1:2">
      <c r="A2432" s="10" t="s">
        <v>2631</v>
      </c>
      <c r="B2432" s="16">
        <v>894.13</v>
      </c>
    </row>
    <row r="2433" spans="1:2">
      <c r="A2433" s="10" t="s">
        <v>2632</v>
      </c>
      <c r="B2433" s="16">
        <v>887.98</v>
      </c>
    </row>
    <row r="2434" spans="1:2">
      <c r="A2434" s="10" t="s">
        <v>2633</v>
      </c>
      <c r="B2434" s="16">
        <v>890.85</v>
      </c>
    </row>
    <row r="2435" spans="1:2">
      <c r="A2435" s="10" t="s">
        <v>2634</v>
      </c>
      <c r="B2435" s="16">
        <v>889.09</v>
      </c>
    </row>
    <row r="2436" spans="1:2">
      <c r="A2436" s="10" t="s">
        <v>2635</v>
      </c>
      <c r="B2436" s="16">
        <v>887.96</v>
      </c>
    </row>
    <row r="2437" spans="1:2">
      <c r="A2437" s="10" t="s">
        <v>2636</v>
      </c>
      <c r="B2437" s="16">
        <v>891.72</v>
      </c>
    </row>
    <row r="2438" spans="1:2">
      <c r="A2438" s="10" t="s">
        <v>2637</v>
      </c>
      <c r="B2438" s="16">
        <v>883.79</v>
      </c>
    </row>
    <row r="2439" spans="1:2">
      <c r="A2439" s="10" t="s">
        <v>2638</v>
      </c>
      <c r="B2439" s="16">
        <v>871.4</v>
      </c>
    </row>
    <row r="2440" spans="1:2">
      <c r="A2440" s="10" t="s">
        <v>2639</v>
      </c>
      <c r="B2440" s="16">
        <v>875.84</v>
      </c>
    </row>
    <row r="2441" spans="1:2">
      <c r="A2441" s="10" t="s">
        <v>2640</v>
      </c>
      <c r="B2441" s="16">
        <v>885.12</v>
      </c>
    </row>
    <row r="2442" spans="1:2">
      <c r="A2442" s="10" t="s">
        <v>2641</v>
      </c>
      <c r="B2442" s="16">
        <v>895.49</v>
      </c>
    </row>
    <row r="2443" spans="1:2">
      <c r="A2443" s="10" t="s">
        <v>2642</v>
      </c>
      <c r="B2443" s="16">
        <v>893.46</v>
      </c>
    </row>
    <row r="2444" spans="1:2">
      <c r="A2444" s="10" t="s">
        <v>2643</v>
      </c>
      <c r="B2444" s="16">
        <v>890.25</v>
      </c>
    </row>
    <row r="2445" spans="1:2">
      <c r="A2445" s="10" t="s">
        <v>2644</v>
      </c>
      <c r="B2445" s="16">
        <v>869.17</v>
      </c>
    </row>
    <row r="2446" spans="1:2">
      <c r="A2446" s="10" t="s">
        <v>2645</v>
      </c>
      <c r="B2446" s="16">
        <v>873.6</v>
      </c>
    </row>
    <row r="2447" spans="1:2">
      <c r="A2447" s="10" t="s">
        <v>2646</v>
      </c>
      <c r="B2447" s="16">
        <v>866.87</v>
      </c>
    </row>
    <row r="2448" spans="1:2">
      <c r="A2448" s="10" t="s">
        <v>2647</v>
      </c>
      <c r="B2448" s="16">
        <v>870.65</v>
      </c>
    </row>
    <row r="2449" spans="1:2">
      <c r="A2449" s="10" t="s">
        <v>2648</v>
      </c>
      <c r="B2449" s="16">
        <v>857.79</v>
      </c>
    </row>
    <row r="2450" spans="1:2">
      <c r="A2450" s="10" t="s">
        <v>2649</v>
      </c>
      <c r="B2450" s="16">
        <v>871.77</v>
      </c>
    </row>
    <row r="2451" spans="1:2">
      <c r="A2451" s="10" t="s">
        <v>2650</v>
      </c>
      <c r="B2451" s="16">
        <v>871.39</v>
      </c>
    </row>
    <row r="2452" spans="1:2">
      <c r="A2452" s="10" t="s">
        <v>2651</v>
      </c>
      <c r="B2452" s="16">
        <v>883.3</v>
      </c>
    </row>
    <row r="2453" spans="1:2">
      <c r="A2453" s="10" t="s">
        <v>2652</v>
      </c>
      <c r="B2453" s="16">
        <v>878.76</v>
      </c>
    </row>
    <row r="2454" spans="1:2">
      <c r="A2454" s="10" t="s">
        <v>2653</v>
      </c>
      <c r="B2454" s="16">
        <v>873.99</v>
      </c>
    </row>
    <row r="2455" spans="1:2">
      <c r="A2455" s="10" t="s">
        <v>2654</v>
      </c>
      <c r="B2455" s="16">
        <v>871.62</v>
      </c>
    </row>
    <row r="2456" spans="1:2">
      <c r="A2456" s="10" t="s">
        <v>2655</v>
      </c>
      <c r="B2456" s="16">
        <v>873.88</v>
      </c>
    </row>
    <row r="2457" spans="1:2">
      <c r="A2457" s="10" t="s">
        <v>2656</v>
      </c>
      <c r="B2457" s="16">
        <v>889.3</v>
      </c>
    </row>
    <row r="2458" spans="1:2">
      <c r="A2458" s="10" t="s">
        <v>2657</v>
      </c>
      <c r="B2458" s="16">
        <v>896</v>
      </c>
    </row>
    <row r="2459" spans="1:2">
      <c r="A2459" s="10" t="s">
        <v>2658</v>
      </c>
      <c r="B2459" s="16">
        <v>895.41</v>
      </c>
    </row>
    <row r="2460" spans="1:2">
      <c r="A2460" s="10" t="s">
        <v>2659</v>
      </c>
      <c r="B2460" s="16">
        <v>900.19</v>
      </c>
    </row>
    <row r="2461" spans="1:2">
      <c r="A2461" s="10" t="s">
        <v>2660</v>
      </c>
      <c r="B2461" s="16">
        <v>901.02</v>
      </c>
    </row>
    <row r="2462" spans="1:2">
      <c r="A2462" s="10" t="s">
        <v>2661</v>
      </c>
      <c r="B2462" s="16">
        <v>900.68</v>
      </c>
    </row>
    <row r="2463" spans="1:2">
      <c r="A2463" s="10" t="s">
        <v>2662</v>
      </c>
      <c r="B2463" s="16">
        <v>904.59</v>
      </c>
    </row>
    <row r="2464" spans="1:2">
      <c r="A2464" s="10" t="s">
        <v>2663</v>
      </c>
      <c r="B2464" s="16">
        <v>907.19</v>
      </c>
    </row>
    <row r="2465" spans="1:2">
      <c r="A2465" s="10" t="s">
        <v>2664</v>
      </c>
      <c r="B2465" s="16">
        <v>913.04</v>
      </c>
    </row>
    <row r="2466" spans="1:2">
      <c r="A2466" s="10" t="s">
        <v>2665</v>
      </c>
      <c r="B2466" s="16">
        <v>911.5</v>
      </c>
    </row>
    <row r="2467" spans="1:2">
      <c r="A2467" s="10" t="s">
        <v>2666</v>
      </c>
      <c r="B2467" s="16">
        <v>914.13</v>
      </c>
    </row>
    <row r="2468" spans="1:2">
      <c r="A2468" s="10" t="s">
        <v>2667</v>
      </c>
      <c r="B2468" s="16">
        <v>921.82</v>
      </c>
    </row>
    <row r="2469" spans="1:2">
      <c r="A2469" s="10" t="s">
        <v>2668</v>
      </c>
      <c r="B2469" s="16">
        <v>923.17</v>
      </c>
    </row>
    <row r="2470" spans="1:2">
      <c r="A2470" s="10" t="s">
        <v>2669</v>
      </c>
      <c r="B2470" s="16">
        <v>929.37</v>
      </c>
    </row>
    <row r="2471" spans="1:2">
      <c r="A2471" s="10" t="s">
        <v>2670</v>
      </c>
      <c r="B2471" s="16">
        <v>933.28</v>
      </c>
    </row>
    <row r="2472" spans="1:2">
      <c r="A2472" s="10" t="s">
        <v>2671</v>
      </c>
      <c r="B2472" s="16">
        <v>940.89</v>
      </c>
    </row>
    <row r="2473" spans="1:2">
      <c r="A2473" s="10" t="s">
        <v>2672</v>
      </c>
      <c r="B2473" s="16">
        <v>942.94</v>
      </c>
    </row>
    <row r="2474" spans="1:2">
      <c r="A2474" s="10" t="s">
        <v>2673</v>
      </c>
      <c r="B2474" s="16">
        <v>943.59</v>
      </c>
    </row>
    <row r="2475" spans="1:2">
      <c r="A2475" s="10" t="s">
        <v>2674</v>
      </c>
      <c r="B2475" s="16">
        <v>940.26</v>
      </c>
    </row>
    <row r="2476" spans="1:2">
      <c r="A2476" s="10" t="s">
        <v>2675</v>
      </c>
      <c r="B2476" s="16">
        <v>938.52</v>
      </c>
    </row>
    <row r="2477" spans="1:2">
      <c r="A2477" s="10" t="s">
        <v>2676</v>
      </c>
      <c r="B2477" s="16">
        <v>942.6</v>
      </c>
    </row>
    <row r="2478" spans="1:2">
      <c r="A2478" s="10" t="s">
        <v>2677</v>
      </c>
      <c r="B2478" s="16">
        <v>949.2</v>
      </c>
    </row>
    <row r="2479" spans="1:2">
      <c r="A2479" s="10" t="s">
        <v>2678</v>
      </c>
      <c r="B2479" s="16">
        <v>950.37</v>
      </c>
    </row>
    <row r="2480" spans="1:2">
      <c r="A2480" s="10" t="s">
        <v>2679</v>
      </c>
      <c r="B2480" s="16">
        <v>958.18</v>
      </c>
    </row>
    <row r="2481" spans="1:2">
      <c r="A2481" s="10" t="s">
        <v>2680</v>
      </c>
      <c r="B2481" s="16">
        <v>959.83</v>
      </c>
    </row>
    <row r="2482" spans="1:2">
      <c r="A2482" s="10" t="s">
        <v>2681</v>
      </c>
      <c r="B2482" s="16">
        <v>960.86</v>
      </c>
    </row>
    <row r="2483" spans="1:2">
      <c r="A2483" s="10" t="s">
        <v>2682</v>
      </c>
      <c r="B2483" s="16">
        <v>961.03</v>
      </c>
    </row>
    <row r="2484" spans="1:2">
      <c r="A2484" s="10" t="s">
        <v>2683</v>
      </c>
      <c r="B2484" s="16">
        <v>960.75</v>
      </c>
    </row>
    <row r="2485" spans="1:2">
      <c r="A2485" s="10" t="s">
        <v>2684</v>
      </c>
      <c r="B2485" s="16">
        <v>953.91</v>
      </c>
    </row>
    <row r="2486" spans="1:2">
      <c r="A2486" s="10" t="s">
        <v>2685</v>
      </c>
      <c r="B2486" s="16">
        <v>959.01</v>
      </c>
    </row>
    <row r="2487" spans="1:2">
      <c r="A2487" s="10" t="s">
        <v>2686</v>
      </c>
      <c r="B2487" s="16">
        <v>959.47</v>
      </c>
    </row>
    <row r="2488" spans="1:2">
      <c r="A2488" s="10" t="s">
        <v>2687</v>
      </c>
      <c r="B2488" s="16">
        <v>924.59</v>
      </c>
    </row>
    <row r="2489" spans="1:2">
      <c r="A2489" s="10" t="s">
        <v>2688</v>
      </c>
      <c r="B2489" s="16">
        <v>936.76</v>
      </c>
    </row>
    <row r="2490" spans="1:2">
      <c r="A2490" s="10" t="s">
        <v>2689</v>
      </c>
      <c r="B2490" s="16">
        <v>928</v>
      </c>
    </row>
    <row r="2491" spans="1:2">
      <c r="A2491" s="10" t="s">
        <v>2690</v>
      </c>
      <c r="B2491" s="16">
        <v>931.95</v>
      </c>
    </row>
    <row r="2492" spans="1:2">
      <c r="A2492" s="10" t="s">
        <v>2691</v>
      </c>
      <c r="B2492" s="16">
        <v>929.17</v>
      </c>
    </row>
    <row r="2493" spans="1:2">
      <c r="A2493" s="10" t="s">
        <v>2692</v>
      </c>
      <c r="B2493" s="16">
        <v>923.5</v>
      </c>
    </row>
    <row r="2494" spans="1:2">
      <c r="A2494" s="10" t="s">
        <v>2693</v>
      </c>
      <c r="B2494" s="16">
        <v>932.52</v>
      </c>
    </row>
    <row r="2495" spans="1:2">
      <c r="A2495" s="10" t="s">
        <v>2694</v>
      </c>
      <c r="B2495" s="16">
        <v>959.02</v>
      </c>
    </row>
    <row r="2496" spans="1:2">
      <c r="A2496" s="10" t="s">
        <v>2695</v>
      </c>
      <c r="B2496" s="16">
        <v>952.41</v>
      </c>
    </row>
    <row r="2497" spans="1:2">
      <c r="A2497" s="10" t="s">
        <v>2696</v>
      </c>
      <c r="B2497" s="16">
        <v>950.51</v>
      </c>
    </row>
    <row r="2498" spans="1:2">
      <c r="A2498" s="10" t="s">
        <v>2697</v>
      </c>
      <c r="B2498" s="16">
        <v>955.97</v>
      </c>
    </row>
    <row r="2499" spans="1:2">
      <c r="A2499" s="10" t="s">
        <v>2698</v>
      </c>
      <c r="B2499" s="16">
        <v>950.42</v>
      </c>
    </row>
    <row r="2500" spans="1:2">
      <c r="A2500" s="10" t="s">
        <v>2699</v>
      </c>
      <c r="B2500" s="16">
        <v>941.43</v>
      </c>
    </row>
    <row r="2501" spans="1:2">
      <c r="A2501" s="10" t="s">
        <v>2700</v>
      </c>
      <c r="B2501" s="16">
        <v>955.66</v>
      </c>
    </row>
    <row r="2502" spans="1:2">
      <c r="A2502" s="10" t="s">
        <v>2701</v>
      </c>
      <c r="B2502" s="16">
        <v>949.29</v>
      </c>
    </row>
    <row r="2503" spans="1:2">
      <c r="A2503" s="10" t="s">
        <v>2702</v>
      </c>
      <c r="B2503" s="16">
        <v>939.6</v>
      </c>
    </row>
    <row r="2504" spans="1:2">
      <c r="A2504" s="10" t="s">
        <v>2703</v>
      </c>
      <c r="B2504" s="16">
        <v>928.38</v>
      </c>
    </row>
    <row r="2505" spans="1:2">
      <c r="A2505" s="10" t="s">
        <v>2704</v>
      </c>
      <c r="B2505" s="16">
        <v>945.08</v>
      </c>
    </row>
    <row r="2506" spans="1:2">
      <c r="A2506" s="10" t="s">
        <v>2705</v>
      </c>
      <c r="B2506" s="16">
        <v>951.39</v>
      </c>
    </row>
    <row r="2507" spans="1:2">
      <c r="A2507" s="10" t="s">
        <v>2706</v>
      </c>
      <c r="B2507" s="16">
        <v>958.69</v>
      </c>
    </row>
    <row r="2508" spans="1:2">
      <c r="A2508" s="10" t="s">
        <v>2707</v>
      </c>
      <c r="B2508" s="16">
        <v>957.05</v>
      </c>
    </row>
    <row r="2509" spans="1:2">
      <c r="A2509" s="10" t="s">
        <v>2708</v>
      </c>
      <c r="B2509" s="16">
        <v>969.11</v>
      </c>
    </row>
    <row r="2510" spans="1:2">
      <c r="A2510" s="10" t="s">
        <v>2709</v>
      </c>
      <c r="B2510" s="16">
        <v>971.44</v>
      </c>
    </row>
    <row r="2511" spans="1:2">
      <c r="A2511" s="10" t="s">
        <v>2710</v>
      </c>
      <c r="B2511" s="16">
        <v>966.53</v>
      </c>
    </row>
    <row r="2512" spans="1:2">
      <c r="A2512" s="10" t="s">
        <v>2711</v>
      </c>
      <c r="B2512" s="16">
        <v>966.88</v>
      </c>
    </row>
    <row r="2513" spans="1:2">
      <c r="A2513" s="10" t="s">
        <v>2712</v>
      </c>
      <c r="B2513" s="16">
        <v>962.04</v>
      </c>
    </row>
    <row r="2514" spans="1:2">
      <c r="A2514" s="10" t="s">
        <v>2713</v>
      </c>
      <c r="B2514" s="16">
        <v>972.32</v>
      </c>
    </row>
    <row r="2515" spans="1:2">
      <c r="A2515" s="10" t="s">
        <v>2714</v>
      </c>
      <c r="B2515" s="16">
        <v>970.09</v>
      </c>
    </row>
    <row r="2516" spans="1:2">
      <c r="A2516" s="10" t="s">
        <v>2715</v>
      </c>
      <c r="B2516" s="16">
        <v>959.02</v>
      </c>
    </row>
    <row r="2517" spans="1:2">
      <c r="A2517" s="10" t="s">
        <v>2716</v>
      </c>
      <c r="B2517" s="16">
        <v>952.66</v>
      </c>
    </row>
    <row r="2518" spans="1:2">
      <c r="A2518" s="10" t="s">
        <v>2717</v>
      </c>
      <c r="B2518" s="16">
        <v>947.67</v>
      </c>
    </row>
    <row r="2519" spans="1:2">
      <c r="A2519" s="10" t="s">
        <v>2718</v>
      </c>
      <c r="B2519" s="16">
        <v>941.08</v>
      </c>
    </row>
    <row r="2520" spans="1:2">
      <c r="A2520" s="10" t="s">
        <v>2719</v>
      </c>
      <c r="B2520" s="16">
        <v>947.55</v>
      </c>
    </row>
    <row r="2521" spans="1:2">
      <c r="A2521" s="10" t="s">
        <v>2720</v>
      </c>
      <c r="B2521" s="16">
        <v>948.07</v>
      </c>
    </row>
    <row r="2522" spans="1:2">
      <c r="A2522" s="10" t="s">
        <v>2721</v>
      </c>
      <c r="B2522" s="16">
        <v>937.63</v>
      </c>
    </row>
    <row r="2523" spans="1:2">
      <c r="A2523" s="10" t="s">
        <v>2722</v>
      </c>
      <c r="B2523" s="16">
        <v>933.82</v>
      </c>
    </row>
    <row r="2524" spans="1:2">
      <c r="A2524" s="10" t="s">
        <v>2723</v>
      </c>
      <c r="B2524" s="16">
        <v>937.85</v>
      </c>
    </row>
    <row r="2525" spans="1:2">
      <c r="A2525" s="10" t="s">
        <v>2724</v>
      </c>
      <c r="B2525" s="16">
        <v>925.89</v>
      </c>
    </row>
    <row r="2526" spans="1:2">
      <c r="A2526" s="10" t="s">
        <v>2725</v>
      </c>
      <c r="B2526" s="16">
        <v>919.28</v>
      </c>
    </row>
    <row r="2527" spans="1:2">
      <c r="A2527" s="10" t="s">
        <v>2726</v>
      </c>
      <c r="B2527" s="16">
        <v>916.84</v>
      </c>
    </row>
    <row r="2528" spans="1:2">
      <c r="A2528" s="10" t="s">
        <v>2727</v>
      </c>
      <c r="B2528" s="16">
        <v>901.62</v>
      </c>
    </row>
    <row r="2529" spans="1:2">
      <c r="A2529" s="10" t="s">
        <v>2728</v>
      </c>
      <c r="B2529" s="16">
        <v>886.46</v>
      </c>
    </row>
    <row r="2530" spans="1:2">
      <c r="A2530" s="10" t="s">
        <v>2729</v>
      </c>
      <c r="B2530" s="16">
        <v>884.83</v>
      </c>
    </row>
    <row r="2531" spans="1:2">
      <c r="A2531" s="10" t="s">
        <v>2730</v>
      </c>
      <c r="B2531" s="16">
        <v>893.31</v>
      </c>
    </row>
    <row r="2532" spans="1:2">
      <c r="A2532" s="10" t="s">
        <v>2731</v>
      </c>
      <c r="B2532" s="16">
        <v>899.05</v>
      </c>
    </row>
    <row r="2533" spans="1:2">
      <c r="A2533" s="10" t="s">
        <v>2732</v>
      </c>
      <c r="B2533" s="16">
        <v>909.63</v>
      </c>
    </row>
    <row r="2534" spans="1:2">
      <c r="A2534" s="10" t="s">
        <v>2733</v>
      </c>
      <c r="B2534" s="16">
        <v>920.82</v>
      </c>
    </row>
    <row r="2535" spans="1:2">
      <c r="A2535" s="10" t="s">
        <v>2734</v>
      </c>
      <c r="B2535" s="16">
        <v>924.43</v>
      </c>
    </row>
    <row r="2536" spans="1:2">
      <c r="A2536" s="10" t="s">
        <v>2735</v>
      </c>
      <c r="B2536" s="16">
        <v>926.99</v>
      </c>
    </row>
    <row r="2537" spans="1:2">
      <c r="A2537" s="10" t="s">
        <v>2736</v>
      </c>
      <c r="B2537" s="16">
        <v>904.05</v>
      </c>
    </row>
    <row r="2538" spans="1:2">
      <c r="A2538" s="10" t="s">
        <v>2737</v>
      </c>
      <c r="B2538" s="16">
        <v>897.58</v>
      </c>
    </row>
    <row r="2539" spans="1:2">
      <c r="A2539" s="10" t="s">
        <v>2738</v>
      </c>
      <c r="B2539" s="16">
        <v>897.67</v>
      </c>
    </row>
    <row r="2540" spans="1:2">
      <c r="A2540" s="10" t="s">
        <v>2739</v>
      </c>
      <c r="B2540" s="16">
        <v>905.24</v>
      </c>
    </row>
    <row r="2541" spans="1:2">
      <c r="A2541" s="10" t="s">
        <v>2740</v>
      </c>
      <c r="B2541" s="16">
        <v>918.96</v>
      </c>
    </row>
    <row r="2542" spans="1:2">
      <c r="A2542" s="10" t="s">
        <v>2741</v>
      </c>
      <c r="B2542" s="16">
        <v>905.84</v>
      </c>
    </row>
    <row r="2543" spans="1:2">
      <c r="A2543" s="10" t="s">
        <v>2742</v>
      </c>
      <c r="B2543" s="16">
        <v>893.78</v>
      </c>
    </row>
    <row r="2544" spans="1:2">
      <c r="A2544" s="10" t="s">
        <v>2743</v>
      </c>
      <c r="B2544" s="16">
        <v>886.57</v>
      </c>
    </row>
    <row r="2545" spans="1:2">
      <c r="A2545" s="10" t="s">
        <v>2744</v>
      </c>
      <c r="B2545" s="16">
        <v>901.26</v>
      </c>
    </row>
    <row r="2546" spans="1:2">
      <c r="A2546" s="10" t="s">
        <v>2745</v>
      </c>
      <c r="B2546" s="16">
        <v>898.9</v>
      </c>
    </row>
    <row r="2547" spans="1:2">
      <c r="A2547" s="10" t="s">
        <v>2746</v>
      </c>
      <c r="B2547" s="16">
        <v>884.04</v>
      </c>
    </row>
    <row r="2548" spans="1:2">
      <c r="A2548" s="10" t="s">
        <v>2747</v>
      </c>
      <c r="B2548" s="16">
        <v>876.35</v>
      </c>
    </row>
    <row r="2549" spans="1:2">
      <c r="A2549" s="10" t="s">
        <v>2748</v>
      </c>
      <c r="B2549" s="16">
        <v>868.02</v>
      </c>
    </row>
    <row r="2550" spans="1:2">
      <c r="A2550" s="10" t="s">
        <v>2749</v>
      </c>
      <c r="B2550" s="16">
        <v>863.95</v>
      </c>
    </row>
    <row r="2551" spans="1:2">
      <c r="A2551" s="10" t="s">
        <v>2750</v>
      </c>
      <c r="B2551" s="16">
        <v>853.96</v>
      </c>
    </row>
    <row r="2552" spans="1:2">
      <c r="A2552" s="10" t="s">
        <v>2751</v>
      </c>
      <c r="B2552" s="16">
        <v>856.04</v>
      </c>
    </row>
    <row r="2553" spans="1:2">
      <c r="A2553" s="10" t="s">
        <v>2752</v>
      </c>
      <c r="B2553" s="16">
        <v>874.22</v>
      </c>
    </row>
    <row r="2554" spans="1:2">
      <c r="A2554" s="10" t="s">
        <v>2753</v>
      </c>
      <c r="B2554" s="16">
        <v>867.85</v>
      </c>
    </row>
    <row r="2555" spans="1:2">
      <c r="A2555" s="10" t="s">
        <v>2754</v>
      </c>
      <c r="B2555" s="16">
        <v>848.36</v>
      </c>
    </row>
    <row r="2556" spans="1:2">
      <c r="A2556" s="10" t="s">
        <v>2755</v>
      </c>
      <c r="B2556" s="16">
        <v>863.87</v>
      </c>
    </row>
    <row r="2557" spans="1:2">
      <c r="A2557" s="10" t="s">
        <v>2756</v>
      </c>
      <c r="B2557" s="16">
        <v>854.77</v>
      </c>
    </row>
    <row r="2558" spans="1:2">
      <c r="A2558" s="10" t="s">
        <v>2757</v>
      </c>
      <c r="B2558" s="16">
        <v>836.48</v>
      </c>
    </row>
    <row r="2559" spans="1:2">
      <c r="A2559" s="10" t="s">
        <v>2758</v>
      </c>
      <c r="B2559" s="16">
        <v>819.92</v>
      </c>
    </row>
    <row r="2560" spans="1:2">
      <c r="A2560" s="10" t="s">
        <v>2759</v>
      </c>
      <c r="B2560" s="16">
        <v>815</v>
      </c>
    </row>
    <row r="2561" spans="1:2">
      <c r="A2561" s="10" t="s">
        <v>2760</v>
      </c>
      <c r="B2561" s="16">
        <v>848.96</v>
      </c>
    </row>
    <row r="2562" spans="1:2">
      <c r="A2562" s="10" t="s">
        <v>2761</v>
      </c>
      <c r="B2562" s="16">
        <v>833.81</v>
      </c>
    </row>
    <row r="2563" spans="1:2">
      <c r="A2563" s="10" t="s">
        <v>2762</v>
      </c>
      <c r="B2563" s="16">
        <v>832.57</v>
      </c>
    </row>
    <row r="2564" spans="1:2">
      <c r="A2564" s="10" t="s">
        <v>2763</v>
      </c>
      <c r="B2564" s="16">
        <v>835.24</v>
      </c>
    </row>
    <row r="2565" spans="1:2">
      <c r="A2565" s="10" t="s">
        <v>2764</v>
      </c>
      <c r="B2565" s="16">
        <v>848.97</v>
      </c>
    </row>
    <row r="2566" spans="1:2">
      <c r="A2566" s="10" t="s">
        <v>2765</v>
      </c>
      <c r="B2566" s="16">
        <v>874.46</v>
      </c>
    </row>
    <row r="2567" spans="1:2">
      <c r="A2567" s="10" t="s">
        <v>2766</v>
      </c>
      <c r="B2567" s="16">
        <v>873.06</v>
      </c>
    </row>
    <row r="2568" spans="1:2">
      <c r="A2568" s="10" t="s">
        <v>2767</v>
      </c>
      <c r="B2568" s="16">
        <v>884.24</v>
      </c>
    </row>
    <row r="2569" spans="1:2">
      <c r="A2569" s="10" t="s">
        <v>2768</v>
      </c>
      <c r="B2569" s="16">
        <v>881.07</v>
      </c>
    </row>
    <row r="2570" spans="1:2">
      <c r="A2570" s="10" t="s">
        <v>2769</v>
      </c>
      <c r="B2570" s="16">
        <v>891.53</v>
      </c>
    </row>
    <row r="2571" spans="1:2">
      <c r="A2571" s="10" t="s">
        <v>2770</v>
      </c>
      <c r="B2571" s="16">
        <v>879.3</v>
      </c>
    </row>
    <row r="2572" spans="1:2">
      <c r="A2572" s="10" t="s">
        <v>2771</v>
      </c>
      <c r="B2572" s="16">
        <v>887.11</v>
      </c>
    </row>
    <row r="2573" spans="1:2">
      <c r="A2573" s="10" t="s">
        <v>2772</v>
      </c>
      <c r="B2573" s="16">
        <v>889.19</v>
      </c>
    </row>
    <row r="2574" spans="1:2">
      <c r="A2574" s="10" t="s">
        <v>2773</v>
      </c>
      <c r="B2574" s="16">
        <v>896.85</v>
      </c>
    </row>
    <row r="2575" spans="1:2">
      <c r="A2575" s="10" t="s">
        <v>2774</v>
      </c>
      <c r="B2575" s="16">
        <v>908.74</v>
      </c>
    </row>
    <row r="2576" spans="1:2">
      <c r="A2576" s="10" t="s">
        <v>2775</v>
      </c>
      <c r="B2576" s="16">
        <v>897.44</v>
      </c>
    </row>
    <row r="2577" spans="1:2">
      <c r="A2577" s="10" t="s">
        <v>2776</v>
      </c>
      <c r="B2577" s="16">
        <v>885.63</v>
      </c>
    </row>
    <row r="2578" spans="1:2">
      <c r="A2578" s="10" t="s">
        <v>2777</v>
      </c>
      <c r="B2578" s="16">
        <v>891.53</v>
      </c>
    </row>
    <row r="2579" spans="1:2">
      <c r="A2579" s="10" t="s">
        <v>2778</v>
      </c>
      <c r="B2579" s="16">
        <v>900.31</v>
      </c>
    </row>
    <row r="2580" spans="1:2">
      <c r="A2580" s="10" t="s">
        <v>2779</v>
      </c>
      <c r="B2580" s="16">
        <v>893.53</v>
      </c>
    </row>
    <row r="2581" spans="1:2">
      <c r="A2581" s="10" t="s">
        <v>2780</v>
      </c>
      <c r="B2581" s="16">
        <v>879.37</v>
      </c>
    </row>
    <row r="2582" spans="1:2">
      <c r="A2582" s="10" t="s">
        <v>2781</v>
      </c>
      <c r="B2582" s="16">
        <v>880.04</v>
      </c>
    </row>
    <row r="2583" spans="1:2">
      <c r="A2583" s="10" t="s">
        <v>2782</v>
      </c>
      <c r="B2583" s="16">
        <v>885.08</v>
      </c>
    </row>
    <row r="2584" spans="1:2">
      <c r="A2584" s="10" t="s">
        <v>2783</v>
      </c>
      <c r="B2584" s="16">
        <v>870.81</v>
      </c>
    </row>
    <row r="2585" spans="1:2">
      <c r="A2585" s="10" t="s">
        <v>2784</v>
      </c>
      <c r="B2585" s="16">
        <v>867.1</v>
      </c>
    </row>
    <row r="2586" spans="1:2">
      <c r="A2586" s="10" t="s">
        <v>2785</v>
      </c>
      <c r="B2586" s="16">
        <v>872.3</v>
      </c>
    </row>
    <row r="2587" spans="1:2">
      <c r="A2587" s="10" t="s">
        <v>2786</v>
      </c>
      <c r="B2587" s="16">
        <v>869.22</v>
      </c>
    </row>
    <row r="2588" spans="1:2">
      <c r="A2588" s="10" t="s">
        <v>2787</v>
      </c>
      <c r="B2588" s="16">
        <v>874.14</v>
      </c>
    </row>
    <row r="2589" spans="1:2">
      <c r="A2589" s="10" t="s">
        <v>2788</v>
      </c>
      <c r="B2589" s="16">
        <v>879.71</v>
      </c>
    </row>
    <row r="2590" spans="1:2">
      <c r="A2590" s="10" t="s">
        <v>2789</v>
      </c>
      <c r="B2590" s="16">
        <v>877.35</v>
      </c>
    </row>
    <row r="2591" spans="1:2">
      <c r="A2591" s="10" t="s">
        <v>2790</v>
      </c>
      <c r="B2591" s="16">
        <v>858.34</v>
      </c>
    </row>
    <row r="2592" spans="1:2">
      <c r="A2592" s="10" t="s">
        <v>2791</v>
      </c>
      <c r="B2592" s="16">
        <v>858.26</v>
      </c>
    </row>
    <row r="2593" spans="1:2">
      <c r="A2593" s="10" t="s">
        <v>2792</v>
      </c>
      <c r="B2593" s="16">
        <v>842.49</v>
      </c>
    </row>
    <row r="2594" spans="1:2">
      <c r="A2594" s="10" t="s">
        <v>2793</v>
      </c>
      <c r="B2594" s="16">
        <v>853.43</v>
      </c>
    </row>
    <row r="2595" spans="1:2">
      <c r="A2595" s="10" t="s">
        <v>2794</v>
      </c>
      <c r="B2595" s="16">
        <v>870.84</v>
      </c>
    </row>
    <row r="2596" spans="1:2">
      <c r="A2596" s="10" t="s">
        <v>2795</v>
      </c>
      <c r="B2596" s="16">
        <v>854</v>
      </c>
    </row>
    <row r="2597" spans="1:2">
      <c r="A2597" s="10" t="s">
        <v>2796</v>
      </c>
      <c r="B2597" s="16">
        <v>852.16</v>
      </c>
    </row>
    <row r="2598" spans="1:2">
      <c r="A2598" s="10" t="s">
        <v>2797</v>
      </c>
      <c r="B2598" s="16">
        <v>855.76</v>
      </c>
    </row>
    <row r="2599" spans="1:2">
      <c r="A2599" s="10" t="s">
        <v>2798</v>
      </c>
      <c r="B2599" s="16">
        <v>865.97</v>
      </c>
    </row>
    <row r="2600" spans="1:2">
      <c r="A2600" s="10" t="s">
        <v>2799</v>
      </c>
      <c r="B2600" s="16">
        <v>846.6</v>
      </c>
    </row>
    <row r="2601" spans="1:2">
      <c r="A2601" s="10" t="s">
        <v>2800</v>
      </c>
      <c r="B2601" s="16">
        <v>835.58</v>
      </c>
    </row>
    <row r="2602" spans="1:2">
      <c r="A2602" s="10" t="s">
        <v>2801</v>
      </c>
      <c r="B2602" s="16">
        <v>813.3</v>
      </c>
    </row>
    <row r="2603" spans="1:2">
      <c r="A2603" s="10" t="s">
        <v>2802</v>
      </c>
      <c r="B2603" s="16">
        <v>819.12</v>
      </c>
    </row>
    <row r="2604" spans="1:2">
      <c r="A2604" s="10" t="s">
        <v>2803</v>
      </c>
      <c r="B2604" s="16">
        <v>818.55</v>
      </c>
    </row>
    <row r="2605" spans="1:2">
      <c r="A2605" s="10" t="s">
        <v>2804</v>
      </c>
      <c r="B2605" s="16">
        <v>817.88</v>
      </c>
    </row>
    <row r="2606" spans="1:2">
      <c r="A2606" s="10" t="s">
        <v>2805</v>
      </c>
      <c r="B2606" s="16">
        <v>837.42</v>
      </c>
    </row>
    <row r="2607" spans="1:2">
      <c r="A2607" s="10" t="s">
        <v>2806</v>
      </c>
      <c r="B2607" s="16">
        <v>832.44</v>
      </c>
    </row>
    <row r="2608" spans="1:2">
      <c r="A2608" s="10" t="s">
        <v>2807</v>
      </c>
      <c r="B2608" s="16">
        <v>842.83</v>
      </c>
    </row>
    <row r="2609" spans="1:2">
      <c r="A2609" s="10" t="s">
        <v>2808</v>
      </c>
      <c r="B2609" s="16">
        <v>821.25</v>
      </c>
    </row>
    <row r="2610" spans="1:2">
      <c r="A2610" s="10" t="s">
        <v>2809</v>
      </c>
      <c r="B2610" s="16">
        <v>810.31</v>
      </c>
    </row>
    <row r="2611" spans="1:2">
      <c r="A2611" s="10" t="s">
        <v>2810</v>
      </c>
      <c r="B2611" s="16">
        <v>815.37</v>
      </c>
    </row>
    <row r="2612" spans="1:2">
      <c r="A2612" s="10" t="s">
        <v>2811</v>
      </c>
      <c r="B2612" s="16">
        <v>827.98</v>
      </c>
    </row>
    <row r="2613" spans="1:2">
      <c r="A2613" s="10" t="s">
        <v>2812</v>
      </c>
      <c r="B2613" s="16">
        <v>818.73</v>
      </c>
    </row>
    <row r="2614" spans="1:2">
      <c r="A2614" s="10" t="s">
        <v>2813</v>
      </c>
      <c r="B2614" s="16">
        <v>825.9</v>
      </c>
    </row>
    <row r="2615" spans="1:2">
      <c r="A2615" s="10" t="s">
        <v>2814</v>
      </c>
      <c r="B2615" s="16">
        <v>835.54</v>
      </c>
    </row>
    <row r="2616" spans="1:2">
      <c r="A2616" s="10" t="s">
        <v>2815</v>
      </c>
      <c r="B2616" s="16">
        <v>853.5</v>
      </c>
    </row>
    <row r="2617" spans="1:2">
      <c r="A2617" s="10" t="s">
        <v>2816</v>
      </c>
      <c r="B2617" s="16">
        <v>853.6</v>
      </c>
    </row>
    <row r="2618" spans="1:2">
      <c r="A2618" s="10" t="s">
        <v>2817</v>
      </c>
      <c r="B2618" s="16">
        <v>847.2</v>
      </c>
    </row>
    <row r="2619" spans="1:2">
      <c r="A2619" s="10" t="s">
        <v>2818</v>
      </c>
      <c r="B2619" s="16">
        <v>843</v>
      </c>
    </row>
    <row r="2620" spans="1:2">
      <c r="A2620" s="10" t="s">
        <v>2819</v>
      </c>
      <c r="B2620" s="16">
        <v>851.93</v>
      </c>
    </row>
    <row r="2621" spans="1:2">
      <c r="A2621" s="10" t="s">
        <v>2820</v>
      </c>
      <c r="B2621" s="16">
        <v>841.37</v>
      </c>
    </row>
    <row r="2622" spans="1:2">
      <c r="A2622" s="10" t="s">
        <v>2821</v>
      </c>
      <c r="B2622" s="16">
        <v>846.57</v>
      </c>
    </row>
    <row r="2623" spans="1:2">
      <c r="A2623" s="10" t="s">
        <v>2822</v>
      </c>
      <c r="B2623" s="16">
        <v>849.28</v>
      </c>
    </row>
    <row r="2624" spans="1:2">
      <c r="A2624" s="10" t="s">
        <v>2823</v>
      </c>
      <c r="B2624" s="16">
        <v>840.13</v>
      </c>
    </row>
    <row r="2625" spans="1:2">
      <c r="A2625" s="10" t="s">
        <v>2824</v>
      </c>
      <c r="B2625" s="16">
        <v>826.5</v>
      </c>
    </row>
    <row r="2626" spans="1:2">
      <c r="A2626" s="10" t="s">
        <v>2825</v>
      </c>
      <c r="B2626" s="16">
        <v>803.31</v>
      </c>
    </row>
    <row r="2627" spans="1:2">
      <c r="A2627" s="10" t="s">
        <v>2826</v>
      </c>
      <c r="B2627" s="16">
        <v>781.4</v>
      </c>
    </row>
    <row r="2628" spans="1:2">
      <c r="A2628" s="10" t="s">
        <v>2827</v>
      </c>
      <c r="B2628" s="16">
        <v>778.57</v>
      </c>
    </row>
    <row r="2629" spans="1:2">
      <c r="A2629" s="10" t="s">
        <v>2828</v>
      </c>
      <c r="B2629" s="16">
        <v>792.18</v>
      </c>
    </row>
    <row r="2630" spans="1:2">
      <c r="A2630" s="10" t="s">
        <v>2829</v>
      </c>
      <c r="B2630" s="16">
        <v>765.85</v>
      </c>
    </row>
    <row r="2631" spans="1:2">
      <c r="A2631" s="10" t="s">
        <v>2830</v>
      </c>
      <c r="B2631" s="16">
        <v>770.84</v>
      </c>
    </row>
    <row r="2632" spans="1:2">
      <c r="A2632" s="10" t="s">
        <v>2831</v>
      </c>
      <c r="B2632" s="16">
        <v>770.87</v>
      </c>
    </row>
    <row r="2633" spans="1:2">
      <c r="A2633" s="10" t="s">
        <v>2832</v>
      </c>
      <c r="B2633" s="16">
        <v>783.81</v>
      </c>
    </row>
    <row r="2634" spans="1:2">
      <c r="A2634" s="10" t="s">
        <v>2833</v>
      </c>
      <c r="B2634" s="16">
        <v>781.24</v>
      </c>
    </row>
    <row r="2635" spans="1:2">
      <c r="A2635" s="10" t="s">
        <v>2834</v>
      </c>
      <c r="B2635" s="16">
        <v>785.79</v>
      </c>
    </row>
    <row r="2636" spans="1:2">
      <c r="A2636" s="10" t="s">
        <v>2835</v>
      </c>
      <c r="B2636" s="16">
        <v>806.19</v>
      </c>
    </row>
    <row r="2637" spans="1:2">
      <c r="A2637" s="10" t="s">
        <v>2836</v>
      </c>
      <c r="B2637" s="16">
        <v>802.49</v>
      </c>
    </row>
    <row r="2638" spans="1:2">
      <c r="A2638" s="10" t="s">
        <v>2837</v>
      </c>
      <c r="B2638" s="16">
        <v>795.43</v>
      </c>
    </row>
    <row r="2639" spans="1:2">
      <c r="A2639" s="10" t="s">
        <v>2838</v>
      </c>
      <c r="B2639" s="16">
        <v>795.06</v>
      </c>
    </row>
    <row r="2640" spans="1:2">
      <c r="A2640" s="10" t="s">
        <v>2839</v>
      </c>
      <c r="B2640" s="16">
        <v>785.02</v>
      </c>
    </row>
    <row r="2641" spans="1:2">
      <c r="A2641" s="10" t="s">
        <v>2840</v>
      </c>
      <c r="B2641" s="16">
        <v>789.51</v>
      </c>
    </row>
    <row r="2642" spans="1:2">
      <c r="A2642" s="10" t="s">
        <v>2841</v>
      </c>
      <c r="B2642" s="16">
        <v>787.34</v>
      </c>
    </row>
    <row r="2643" spans="1:2">
      <c r="A2643" s="10" t="s">
        <v>2842</v>
      </c>
      <c r="B2643" s="16">
        <v>788.56</v>
      </c>
    </row>
    <row r="2644" spans="1:2">
      <c r="A2644" s="10" t="s">
        <v>2843</v>
      </c>
      <c r="B2644" s="16">
        <v>799.25</v>
      </c>
    </row>
    <row r="2645" spans="1:2">
      <c r="A2645" s="10" t="s">
        <v>2844</v>
      </c>
      <c r="B2645" s="16">
        <v>812.77</v>
      </c>
    </row>
    <row r="2646" spans="1:2">
      <c r="A2646" s="10" t="s">
        <v>2845</v>
      </c>
      <c r="B2646" s="16">
        <v>814.37</v>
      </c>
    </row>
    <row r="2647" spans="1:2">
      <c r="A2647" s="10" t="s">
        <v>2846</v>
      </c>
      <c r="B2647" s="16">
        <v>810.95</v>
      </c>
    </row>
    <row r="2648" spans="1:2">
      <c r="A2648" s="10" t="s">
        <v>2847</v>
      </c>
      <c r="B2648" s="16">
        <v>808.86</v>
      </c>
    </row>
    <row r="2649" spans="1:2">
      <c r="A2649" s="10" t="s">
        <v>2848</v>
      </c>
      <c r="B2649" s="16">
        <v>800.69</v>
      </c>
    </row>
    <row r="2650" spans="1:2">
      <c r="A2650" s="10" t="s">
        <v>2849</v>
      </c>
      <c r="B2650" s="16">
        <v>801.25</v>
      </c>
    </row>
    <row r="2651" spans="1:2">
      <c r="A2651" s="10" t="s">
        <v>2850</v>
      </c>
      <c r="B2651" s="16">
        <v>814.06</v>
      </c>
    </row>
    <row r="2652" spans="1:2">
      <c r="A2652" s="10" t="s">
        <v>2851</v>
      </c>
      <c r="B2652" s="16">
        <v>806.04</v>
      </c>
    </row>
    <row r="2653" spans="1:2">
      <c r="A2653" s="10" t="s">
        <v>2852</v>
      </c>
      <c r="B2653" s="16">
        <v>821.74</v>
      </c>
    </row>
    <row r="2654" spans="1:2">
      <c r="A2654" s="10" t="s">
        <v>2853</v>
      </c>
      <c r="B2654" s="16">
        <v>824.8</v>
      </c>
    </row>
    <row r="2655" spans="1:2">
      <c r="A2655" s="10" t="s">
        <v>2854</v>
      </c>
      <c r="B2655" s="16">
        <v>832.7</v>
      </c>
    </row>
    <row r="2656" spans="1:2">
      <c r="A2656" s="10" t="s">
        <v>2855</v>
      </c>
      <c r="B2656" s="16">
        <v>826.27</v>
      </c>
    </row>
    <row r="2657" spans="1:2">
      <c r="A2657" s="10" t="s">
        <v>2856</v>
      </c>
      <c r="B2657" s="16">
        <v>826.33</v>
      </c>
    </row>
    <row r="2658" spans="1:2">
      <c r="A2658" s="10" t="s">
        <v>2857</v>
      </c>
      <c r="B2658" s="16">
        <v>823.78</v>
      </c>
    </row>
    <row r="2659" spans="1:2">
      <c r="A2659" s="10" t="s">
        <v>2858</v>
      </c>
      <c r="B2659" s="16">
        <v>839.62</v>
      </c>
    </row>
    <row r="2660" spans="1:2">
      <c r="A2660" s="10" t="s">
        <v>2859</v>
      </c>
      <c r="B2660" s="16">
        <v>848.56</v>
      </c>
    </row>
    <row r="2661" spans="1:2">
      <c r="A2661" s="10" t="s">
        <v>2860</v>
      </c>
      <c r="B2661" s="16">
        <v>857.39</v>
      </c>
    </row>
    <row r="2662" spans="1:2">
      <c r="A2662" s="10" t="s">
        <v>2861</v>
      </c>
      <c r="B2662" s="16">
        <v>851.63</v>
      </c>
    </row>
    <row r="2663" spans="1:2">
      <c r="A2663" s="10" t="s">
        <v>2862</v>
      </c>
      <c r="B2663" s="16">
        <v>848.32</v>
      </c>
    </row>
    <row r="2664" spans="1:2">
      <c r="A2664" s="10" t="s">
        <v>2863</v>
      </c>
      <c r="B2664" s="16">
        <v>865.45</v>
      </c>
    </row>
    <row r="2665" spans="1:2">
      <c r="A2665" s="10" t="s">
        <v>2864</v>
      </c>
      <c r="B2665" s="16">
        <v>864.94</v>
      </c>
    </row>
    <row r="2666" spans="1:2">
      <c r="A2666" s="10" t="s">
        <v>2865</v>
      </c>
      <c r="B2666" s="16">
        <v>864.45</v>
      </c>
    </row>
    <row r="2667" spans="1:2">
      <c r="A2667" s="10" t="s">
        <v>2866</v>
      </c>
      <c r="B2667" s="16">
        <v>860.86</v>
      </c>
    </row>
    <row r="2668" spans="1:2">
      <c r="A2668" s="10" t="s">
        <v>2867</v>
      </c>
      <c r="B2668" s="16">
        <v>854.46</v>
      </c>
    </row>
    <row r="2669" spans="1:2">
      <c r="A2669" s="10" t="s">
        <v>2868</v>
      </c>
      <c r="B2669" s="16">
        <v>860.76</v>
      </c>
    </row>
    <row r="2670" spans="1:2">
      <c r="A2670" s="10" t="s">
        <v>2869</v>
      </c>
      <c r="B2670" s="16">
        <v>859.52</v>
      </c>
    </row>
    <row r="2671" spans="1:2">
      <c r="A2671" s="10" t="s">
        <v>2870</v>
      </c>
      <c r="B2671" s="16">
        <v>874.43</v>
      </c>
    </row>
    <row r="2672" spans="1:2">
      <c r="A2672" s="10" t="s">
        <v>2871</v>
      </c>
      <c r="B2672" s="16">
        <v>880.05</v>
      </c>
    </row>
    <row r="2673" spans="1:2">
      <c r="A2673" s="10" t="s">
        <v>2872</v>
      </c>
      <c r="B2673" s="16">
        <v>882.42</v>
      </c>
    </row>
    <row r="2674" spans="1:2">
      <c r="A2674" s="10" t="s">
        <v>2873</v>
      </c>
      <c r="B2674" s="16">
        <v>874.52</v>
      </c>
    </row>
    <row r="2675" spans="1:2">
      <c r="A2675" s="10" t="s">
        <v>2874</v>
      </c>
      <c r="B2675" s="16">
        <v>878.13</v>
      </c>
    </row>
    <row r="2676" spans="1:2">
      <c r="A2676" s="10" t="s">
        <v>2875</v>
      </c>
      <c r="B2676" s="16">
        <v>871.74</v>
      </c>
    </row>
    <row r="2677" spans="1:2">
      <c r="A2677" s="10" t="s">
        <v>2876</v>
      </c>
      <c r="B2677" s="16">
        <v>857.14</v>
      </c>
    </row>
    <row r="2678" spans="1:2">
      <c r="A2678" s="10" t="s">
        <v>2877</v>
      </c>
      <c r="B2678" s="16">
        <v>851.79</v>
      </c>
    </row>
    <row r="2679" spans="1:2">
      <c r="A2679" s="10" t="s">
        <v>2878</v>
      </c>
      <c r="B2679" s="16">
        <v>852.33</v>
      </c>
    </row>
    <row r="2680" spans="1:2">
      <c r="A2680" s="10" t="s">
        <v>2879</v>
      </c>
      <c r="B2680" s="16">
        <v>859.18</v>
      </c>
    </row>
    <row r="2681" spans="1:2">
      <c r="A2681" s="10" t="s">
        <v>2880</v>
      </c>
      <c r="B2681" s="16">
        <v>833.37</v>
      </c>
    </row>
    <row r="2682" spans="1:2">
      <c r="A2682" s="10" t="s">
        <v>2881</v>
      </c>
      <c r="B2682" s="16">
        <v>825.75</v>
      </c>
    </row>
    <row r="2683" spans="1:2">
      <c r="A2683" s="10" t="s">
        <v>2882</v>
      </c>
      <c r="B2683" s="16">
        <v>820.87</v>
      </c>
    </row>
    <row r="2684" spans="1:2">
      <c r="A2684" s="10" t="s">
        <v>2883</v>
      </c>
      <c r="B2684" s="16">
        <v>810.98</v>
      </c>
    </row>
    <row r="2685" spans="1:2">
      <c r="A2685" s="10" t="s">
        <v>2884</v>
      </c>
      <c r="B2685" s="16">
        <v>811.75</v>
      </c>
    </row>
    <row r="2686" spans="1:2">
      <c r="A2686" s="10" t="s">
        <v>2885</v>
      </c>
      <c r="B2686" s="16">
        <v>810.35</v>
      </c>
    </row>
    <row r="2687" spans="1:2">
      <c r="A2687" s="10" t="s">
        <v>2886</v>
      </c>
      <c r="B2687" s="16">
        <v>808.92</v>
      </c>
    </row>
    <row r="2688" spans="1:2">
      <c r="A2688" s="10" t="s">
        <v>2887</v>
      </c>
      <c r="B2688" s="16">
        <v>808.84</v>
      </c>
    </row>
    <row r="2689" spans="1:2">
      <c r="A2689" s="10" t="s">
        <v>2888</v>
      </c>
      <c r="B2689" s="16">
        <v>813.68</v>
      </c>
    </row>
    <row r="2690" spans="1:2">
      <c r="A2690" s="10" t="s">
        <v>2889</v>
      </c>
      <c r="B2690" s="16">
        <v>818.8</v>
      </c>
    </row>
    <row r="2691" spans="1:2">
      <c r="A2691" s="10" t="s">
        <v>2890</v>
      </c>
      <c r="B2691" s="16">
        <v>828.24</v>
      </c>
    </row>
    <row r="2692" spans="1:2">
      <c r="A2692" s="10" t="s">
        <v>2891</v>
      </c>
      <c r="B2692" s="16">
        <v>837.33</v>
      </c>
    </row>
    <row r="2693" spans="1:2">
      <c r="A2693" s="10" t="s">
        <v>2892</v>
      </c>
      <c r="B2693" s="16">
        <v>814.89</v>
      </c>
    </row>
    <row r="2694" spans="1:2">
      <c r="A2694" s="10" t="s">
        <v>2893</v>
      </c>
      <c r="B2694" s="16">
        <v>813.49</v>
      </c>
    </row>
    <row r="2695" spans="1:2">
      <c r="A2695" s="10" t="s">
        <v>2894</v>
      </c>
      <c r="B2695" s="16">
        <v>806.27</v>
      </c>
    </row>
    <row r="2696" spans="1:2">
      <c r="A2696" s="10" t="s">
        <v>2895</v>
      </c>
      <c r="B2696" s="16">
        <v>798.38</v>
      </c>
    </row>
    <row r="2697" spans="1:2">
      <c r="A2697" s="10" t="s">
        <v>2896</v>
      </c>
      <c r="B2697" s="16">
        <v>800.67</v>
      </c>
    </row>
    <row r="2698" spans="1:2">
      <c r="A2698" s="10" t="s">
        <v>2897</v>
      </c>
      <c r="B2698" s="16">
        <v>795.02</v>
      </c>
    </row>
    <row r="2699" spans="1:2">
      <c r="A2699" s="10" t="s">
        <v>2898</v>
      </c>
      <c r="B2699" s="16">
        <v>795.28</v>
      </c>
    </row>
    <row r="2700" spans="1:2">
      <c r="A2700" s="10" t="s">
        <v>2899</v>
      </c>
      <c r="B2700" s="16">
        <v>789.71</v>
      </c>
    </row>
    <row r="2701" spans="1:2">
      <c r="A2701" s="10" t="s">
        <v>2900</v>
      </c>
      <c r="B2701" s="16">
        <v>782.23</v>
      </c>
    </row>
    <row r="2702" spans="1:2">
      <c r="A2702" s="10" t="s">
        <v>2901</v>
      </c>
      <c r="B2702" s="16">
        <v>779.23</v>
      </c>
    </row>
    <row r="2703" spans="1:2">
      <c r="A2703" s="10" t="s">
        <v>2902</v>
      </c>
      <c r="B2703" s="16">
        <v>777.1</v>
      </c>
    </row>
    <row r="2704" spans="1:2">
      <c r="A2704" s="10" t="s">
        <v>2903</v>
      </c>
      <c r="B2704" s="16">
        <v>780.98</v>
      </c>
    </row>
    <row r="2705" spans="1:2">
      <c r="A2705" s="10" t="s">
        <v>2904</v>
      </c>
      <c r="B2705" s="16">
        <v>758.9</v>
      </c>
    </row>
    <row r="2706" spans="1:2">
      <c r="A2706" s="10" t="s">
        <v>2905</v>
      </c>
      <c r="B2706" s="16">
        <v>754.45</v>
      </c>
    </row>
    <row r="2707" spans="1:2">
      <c r="A2707" s="10" t="s">
        <v>2906</v>
      </c>
      <c r="B2707" s="16">
        <v>767.71</v>
      </c>
    </row>
    <row r="2708" spans="1:2">
      <c r="A2708" s="10" t="s">
        <v>2907</v>
      </c>
      <c r="B2708" s="16">
        <v>787.54</v>
      </c>
    </row>
    <row r="2709" spans="1:2">
      <c r="A2709" s="10" t="s">
        <v>2908</v>
      </c>
      <c r="B2709" s="16">
        <v>787.99</v>
      </c>
    </row>
    <row r="2710" spans="1:2">
      <c r="A2710" s="10" t="s">
        <v>2909</v>
      </c>
      <c r="B2710" s="16">
        <v>781.27</v>
      </c>
    </row>
    <row r="2711" spans="1:2">
      <c r="A2711" s="10" t="s">
        <v>2910</v>
      </c>
      <c r="B2711" s="16">
        <v>762.62</v>
      </c>
    </row>
    <row r="2712" spans="1:2">
      <c r="A2712" s="10" t="s">
        <v>2911</v>
      </c>
      <c r="B2712" s="16">
        <v>760.29</v>
      </c>
    </row>
    <row r="2713" spans="1:2">
      <c r="A2713" s="10" t="s">
        <v>2912</v>
      </c>
      <c r="B2713" s="16">
        <v>753.53</v>
      </c>
    </row>
    <row r="2714" spans="1:2">
      <c r="A2714" s="10" t="s">
        <v>2913</v>
      </c>
      <c r="B2714" s="16">
        <v>750.73</v>
      </c>
    </row>
    <row r="2715" spans="1:2">
      <c r="A2715" s="10" t="s">
        <v>2914</v>
      </c>
      <c r="B2715" s="16">
        <v>765.76</v>
      </c>
    </row>
    <row r="2716" spans="1:2">
      <c r="A2716" s="10" t="s">
        <v>2915</v>
      </c>
      <c r="B2716" s="16">
        <v>757.45</v>
      </c>
    </row>
    <row r="2717" spans="1:2">
      <c r="A2717" s="10" t="s">
        <v>2916</v>
      </c>
      <c r="B2717" s="16">
        <v>771.17</v>
      </c>
    </row>
    <row r="2718" spans="1:2">
      <c r="A2718" s="10" t="s">
        <v>2917</v>
      </c>
      <c r="B2718" s="16">
        <v>776.66</v>
      </c>
    </row>
    <row r="2719" spans="1:2">
      <c r="A2719" s="10" t="s">
        <v>2918</v>
      </c>
      <c r="B2719" s="16">
        <v>777.43</v>
      </c>
    </row>
    <row r="2720" spans="1:2">
      <c r="A2720" s="10" t="s">
        <v>2919</v>
      </c>
      <c r="B2720" s="16">
        <v>775.8</v>
      </c>
    </row>
    <row r="2721" spans="1:2">
      <c r="A2721" s="10" t="s">
        <v>2920</v>
      </c>
      <c r="B2721" s="16">
        <v>787.43</v>
      </c>
    </row>
    <row r="2722" spans="1:2">
      <c r="A2722" s="10" t="s">
        <v>2921</v>
      </c>
      <c r="B2722" s="16">
        <v>795.96</v>
      </c>
    </row>
    <row r="2723" spans="1:2">
      <c r="A2723" s="10" t="s">
        <v>2922</v>
      </c>
      <c r="B2723" s="16">
        <v>804.33</v>
      </c>
    </row>
    <row r="2724" spans="1:2">
      <c r="A2724" s="10" t="s">
        <v>2923</v>
      </c>
      <c r="B2724" s="16">
        <v>796.32</v>
      </c>
    </row>
    <row r="2725" spans="1:2">
      <c r="A2725" s="10" t="s">
        <v>2924</v>
      </c>
      <c r="B2725" s="16">
        <v>793.28</v>
      </c>
    </row>
    <row r="2726" spans="1:2">
      <c r="A2726" s="10" t="s">
        <v>2925</v>
      </c>
      <c r="B2726" s="16">
        <v>812.62</v>
      </c>
    </row>
    <row r="2727" spans="1:2">
      <c r="A2727" s="10" t="s">
        <v>2926</v>
      </c>
      <c r="B2727" s="16">
        <v>811.25</v>
      </c>
    </row>
    <row r="2728" spans="1:2">
      <c r="A2728" s="10" t="s">
        <v>2927</v>
      </c>
      <c r="B2728" s="16">
        <v>810.78</v>
      </c>
    </row>
    <row r="2729" spans="1:2">
      <c r="A2729" s="10" t="s">
        <v>2928</v>
      </c>
      <c r="B2729" s="16">
        <v>797.78</v>
      </c>
    </row>
    <row r="2730" spans="1:2">
      <c r="A2730" s="10" t="s">
        <v>2929</v>
      </c>
      <c r="B2730" s="16">
        <v>791.83</v>
      </c>
    </row>
    <row r="2731" spans="1:2">
      <c r="A2731" s="10" t="s">
        <v>2930</v>
      </c>
      <c r="B2731" s="16">
        <v>799.85</v>
      </c>
    </row>
    <row r="2732" spans="1:2">
      <c r="A2732" s="10" t="s">
        <v>2931</v>
      </c>
      <c r="B2732" s="16">
        <v>802.37</v>
      </c>
    </row>
    <row r="2733" spans="1:2">
      <c r="A2733" s="10" t="s">
        <v>2932</v>
      </c>
      <c r="B2733" s="16">
        <v>807.14</v>
      </c>
    </row>
    <row r="2734" spans="1:2">
      <c r="A2734" s="10" t="s">
        <v>2933</v>
      </c>
      <c r="B2734" s="16">
        <v>799.27</v>
      </c>
    </row>
    <row r="2735" spans="1:2">
      <c r="A2735" s="10" t="s">
        <v>2934</v>
      </c>
      <c r="B2735" s="16">
        <v>830.72</v>
      </c>
    </row>
    <row r="2736" spans="1:2">
      <c r="A2736" s="10" t="s">
        <v>2935</v>
      </c>
      <c r="B2736" s="16">
        <v>828.33</v>
      </c>
    </row>
    <row r="2737" spans="1:2">
      <c r="A2737" s="10" t="s">
        <v>2936</v>
      </c>
      <c r="B2737" s="16">
        <v>827.92</v>
      </c>
    </row>
    <row r="2738" spans="1:2">
      <c r="A2738" s="10" t="s">
        <v>2937</v>
      </c>
      <c r="B2738" s="16">
        <v>831.73</v>
      </c>
    </row>
    <row r="2739" spans="1:2">
      <c r="A2739" s="10" t="s">
        <v>2938</v>
      </c>
      <c r="B2739" s="16">
        <v>823.5</v>
      </c>
    </row>
    <row r="2740" spans="1:2">
      <c r="A2740" s="10" t="s">
        <v>2939</v>
      </c>
      <c r="B2740" s="16">
        <v>826.63</v>
      </c>
    </row>
    <row r="2741" spans="1:2">
      <c r="A2741" s="10" t="s">
        <v>2940</v>
      </c>
      <c r="B2741" s="16">
        <v>831.29</v>
      </c>
    </row>
    <row r="2742" spans="1:2">
      <c r="A2742" s="10" t="s">
        <v>2941</v>
      </c>
      <c r="B2742" s="16">
        <v>834.16</v>
      </c>
    </row>
    <row r="2743" spans="1:2">
      <c r="A2743" s="10" t="s">
        <v>2942</v>
      </c>
      <c r="B2743" s="16">
        <v>840.01</v>
      </c>
    </row>
    <row r="2744" spans="1:2">
      <c r="A2744" s="10" t="s">
        <v>2943</v>
      </c>
      <c r="B2744" s="16">
        <v>840.81</v>
      </c>
    </row>
    <row r="2745" spans="1:2">
      <c r="A2745" s="10" t="s">
        <v>2944</v>
      </c>
      <c r="B2745" s="16">
        <v>840.76</v>
      </c>
    </row>
    <row r="2746" spans="1:2">
      <c r="A2746" s="10" t="s">
        <v>2945</v>
      </c>
      <c r="B2746" s="16">
        <v>839.27</v>
      </c>
    </row>
    <row r="2747" spans="1:2">
      <c r="A2747" s="10" t="s">
        <v>2946</v>
      </c>
      <c r="B2747" s="16">
        <v>828.28</v>
      </c>
    </row>
    <row r="2748" spans="1:2">
      <c r="A2748" s="10" t="s">
        <v>2947</v>
      </c>
      <c r="B2748" s="16">
        <v>825.71</v>
      </c>
    </row>
    <row r="2749" spans="1:2">
      <c r="A2749" s="10" t="s">
        <v>2948</v>
      </c>
      <c r="B2749" s="16">
        <v>846.95</v>
      </c>
    </row>
    <row r="2750" spans="1:2">
      <c r="A2750" s="10" t="s">
        <v>2949</v>
      </c>
      <c r="B2750" s="16">
        <v>841.73</v>
      </c>
    </row>
    <row r="2751" spans="1:2">
      <c r="A2751" s="10" t="s">
        <v>2950</v>
      </c>
      <c r="B2751" s="16">
        <v>840.3</v>
      </c>
    </row>
    <row r="2752" spans="1:2">
      <c r="A2752" s="10" t="s">
        <v>2951</v>
      </c>
      <c r="B2752" s="16">
        <v>828.51</v>
      </c>
    </row>
    <row r="2753" spans="1:2">
      <c r="A2753" s="10" t="s">
        <v>2952</v>
      </c>
      <c r="B2753" s="16">
        <v>820.2</v>
      </c>
    </row>
    <row r="2754" spans="1:2">
      <c r="A2754" s="10" t="s">
        <v>2953</v>
      </c>
      <c r="B2754" s="16">
        <v>818.31</v>
      </c>
    </row>
    <row r="2755" spans="1:2">
      <c r="A2755" s="10" t="s">
        <v>2954</v>
      </c>
      <c r="B2755" s="16">
        <v>820.62</v>
      </c>
    </row>
    <row r="2756" spans="1:2">
      <c r="A2756" s="10" t="s">
        <v>2955</v>
      </c>
      <c r="B2756" s="16">
        <v>820.57</v>
      </c>
    </row>
    <row r="2757" spans="1:2">
      <c r="A2757" s="10" t="s">
        <v>2956</v>
      </c>
      <c r="B2757" s="16">
        <v>826.62</v>
      </c>
    </row>
    <row r="2758" spans="1:2">
      <c r="A2758" s="10" t="s">
        <v>2957</v>
      </c>
      <c r="B2758" s="16">
        <v>831.52</v>
      </c>
    </row>
    <row r="2759" spans="1:2">
      <c r="A2759" s="10" t="s">
        <v>2958</v>
      </c>
      <c r="B2759" s="16">
        <v>827.46</v>
      </c>
    </row>
    <row r="2760" spans="1:2">
      <c r="A2760" s="10" t="s">
        <v>2959</v>
      </c>
      <c r="B2760" s="16">
        <v>801.04</v>
      </c>
    </row>
    <row r="2761" spans="1:2">
      <c r="A2761" s="10" t="s">
        <v>2960</v>
      </c>
      <c r="B2761" s="16">
        <v>793.14</v>
      </c>
    </row>
    <row r="2762" spans="1:2">
      <c r="A2762" s="10" t="s">
        <v>2961</v>
      </c>
      <c r="B2762" s="16">
        <v>790.68</v>
      </c>
    </row>
    <row r="2763" spans="1:2">
      <c r="A2763" s="10" t="s">
        <v>2962</v>
      </c>
      <c r="B2763" s="16">
        <v>788.27</v>
      </c>
    </row>
    <row r="2764" spans="1:2">
      <c r="A2764" s="10" t="s">
        <v>2963</v>
      </c>
      <c r="B2764" s="16">
        <v>801.95</v>
      </c>
    </row>
    <row r="2765" spans="1:2">
      <c r="A2765" s="10" t="s">
        <v>2964</v>
      </c>
      <c r="B2765" s="16">
        <v>790.36</v>
      </c>
    </row>
    <row r="2766" spans="1:2">
      <c r="A2766" s="10" t="s">
        <v>2965</v>
      </c>
      <c r="B2766" s="16">
        <v>790.11</v>
      </c>
    </row>
    <row r="2767" spans="1:2">
      <c r="A2767" s="10" t="s">
        <v>2966</v>
      </c>
      <c r="B2767" s="16">
        <v>785.9</v>
      </c>
    </row>
    <row r="2768" spans="1:2">
      <c r="A2768" s="10" t="s">
        <v>2967</v>
      </c>
      <c r="B2768" s="16">
        <v>779.73</v>
      </c>
    </row>
    <row r="2769" spans="1:2">
      <c r="A2769" s="10" t="s">
        <v>2968</v>
      </c>
      <c r="B2769" s="16">
        <v>789.55</v>
      </c>
    </row>
    <row r="2770" spans="1:2">
      <c r="A2770" s="10" t="s">
        <v>2969</v>
      </c>
      <c r="B2770" s="16">
        <v>783.29</v>
      </c>
    </row>
    <row r="2771" spans="1:2">
      <c r="A2771" s="10" t="s">
        <v>2970</v>
      </c>
      <c r="B2771" s="16">
        <v>787.86</v>
      </c>
    </row>
    <row r="2772" spans="1:2">
      <c r="A2772" s="10" t="s">
        <v>2971</v>
      </c>
      <c r="B2772" s="16">
        <v>793.08</v>
      </c>
    </row>
    <row r="2773" spans="1:2">
      <c r="A2773" s="10" t="s">
        <v>2972</v>
      </c>
      <c r="B2773" s="16">
        <v>801.46</v>
      </c>
    </row>
    <row r="2774" spans="1:2">
      <c r="A2774" s="10" t="s">
        <v>2973</v>
      </c>
      <c r="B2774" s="16">
        <v>797.15</v>
      </c>
    </row>
    <row r="2775" spans="1:2">
      <c r="A2775" s="10" t="s">
        <v>2974</v>
      </c>
      <c r="B2775" s="16">
        <v>808.19</v>
      </c>
    </row>
    <row r="2776" spans="1:2">
      <c r="A2776" s="10" t="s">
        <v>2975</v>
      </c>
      <c r="B2776" s="16">
        <v>807.76</v>
      </c>
    </row>
    <row r="2777" spans="1:2">
      <c r="A2777" s="10" t="s">
        <v>2976</v>
      </c>
      <c r="B2777" s="16">
        <v>810.03</v>
      </c>
    </row>
    <row r="2778" spans="1:2">
      <c r="A2778" s="10" t="s">
        <v>2977</v>
      </c>
      <c r="B2778" s="16">
        <v>817.78</v>
      </c>
    </row>
    <row r="2779" spans="1:2">
      <c r="A2779" s="10" t="s">
        <v>2978</v>
      </c>
      <c r="B2779" s="16">
        <v>819.73</v>
      </c>
    </row>
    <row r="2780" spans="1:2">
      <c r="A2780" s="10" t="s">
        <v>2979</v>
      </c>
      <c r="B2780" s="16">
        <v>823.3</v>
      </c>
    </row>
    <row r="2781" spans="1:2">
      <c r="A2781" s="10" t="s">
        <v>2980</v>
      </c>
      <c r="B2781" s="16">
        <v>823.88</v>
      </c>
    </row>
    <row r="2782" spans="1:2">
      <c r="A2782" s="10" t="s">
        <v>2981</v>
      </c>
      <c r="B2782" s="16">
        <v>825.14</v>
      </c>
    </row>
    <row r="2783" spans="1:2">
      <c r="A2783" s="10" t="s">
        <v>2982</v>
      </c>
      <c r="B2783" s="16">
        <v>817.14</v>
      </c>
    </row>
    <row r="2784" spans="1:2">
      <c r="A2784" s="10" t="s">
        <v>2983</v>
      </c>
      <c r="B2784" s="16">
        <v>808.54</v>
      </c>
    </row>
    <row r="2785" spans="1:2">
      <c r="A2785" s="10" t="s">
        <v>2984</v>
      </c>
      <c r="B2785" s="16">
        <v>816.9</v>
      </c>
    </row>
    <row r="2786" spans="1:2">
      <c r="A2786" s="10" t="s">
        <v>2985</v>
      </c>
      <c r="B2786" s="16">
        <v>824.86</v>
      </c>
    </row>
    <row r="2787" spans="1:2">
      <c r="A2787" s="10" t="s">
        <v>2986</v>
      </c>
      <c r="B2787" s="16">
        <v>824.67</v>
      </c>
    </row>
    <row r="2788" spans="1:2">
      <c r="A2788" s="10" t="s">
        <v>2987</v>
      </c>
      <c r="B2788" s="16">
        <v>822.93</v>
      </c>
    </row>
    <row r="2789" spans="1:2">
      <c r="A2789" s="10" t="s">
        <v>2988</v>
      </c>
      <c r="B2789" s="16">
        <v>832.13</v>
      </c>
    </row>
    <row r="2790" spans="1:2">
      <c r="A2790" s="10" t="s">
        <v>2989</v>
      </c>
      <c r="B2790" s="16">
        <v>834.64</v>
      </c>
    </row>
    <row r="2791" spans="1:2">
      <c r="A2791" s="10" t="s">
        <v>2990</v>
      </c>
      <c r="B2791" s="16">
        <v>825.44</v>
      </c>
    </row>
    <row r="2792" spans="1:2">
      <c r="A2792" s="10" t="s">
        <v>2991</v>
      </c>
      <c r="B2792" s="16">
        <v>832.61</v>
      </c>
    </row>
    <row r="2793" spans="1:2">
      <c r="A2793" s="10" t="s">
        <v>2992</v>
      </c>
      <c r="B2793" s="16">
        <v>837.41</v>
      </c>
    </row>
    <row r="2794" spans="1:2">
      <c r="A2794" s="10" t="s">
        <v>2993</v>
      </c>
      <c r="B2794" s="16">
        <v>850.56</v>
      </c>
    </row>
    <row r="2795" spans="1:2">
      <c r="A2795" s="10" t="s">
        <v>2994</v>
      </c>
      <c r="B2795" s="16">
        <v>852.04</v>
      </c>
    </row>
    <row r="2796" spans="1:2">
      <c r="A2796" s="10" t="s">
        <v>2995</v>
      </c>
      <c r="B2796" s="16">
        <v>849.21</v>
      </c>
    </row>
    <row r="2797" spans="1:2">
      <c r="A2797" s="10" t="s">
        <v>2996</v>
      </c>
      <c r="B2797" s="16">
        <v>859.2</v>
      </c>
    </row>
    <row r="2798" spans="1:2">
      <c r="A2798" s="10" t="s">
        <v>2997</v>
      </c>
      <c r="B2798" s="16">
        <v>855.25</v>
      </c>
    </row>
    <row r="2799" spans="1:2">
      <c r="A2799" s="10" t="s">
        <v>2998</v>
      </c>
      <c r="B2799" s="16">
        <v>852.42</v>
      </c>
    </row>
    <row r="2800" spans="1:2">
      <c r="A2800" s="10" t="s">
        <v>2999</v>
      </c>
      <c r="B2800" s="16">
        <v>851.34</v>
      </c>
    </row>
    <row r="2801" spans="1:2">
      <c r="A2801" s="10" t="s">
        <v>3000</v>
      </c>
      <c r="B2801" s="16">
        <v>859.99</v>
      </c>
    </row>
    <row r="2802" spans="1:2">
      <c r="A2802" s="10" t="s">
        <v>3001</v>
      </c>
      <c r="B2802" s="16">
        <v>860.09</v>
      </c>
    </row>
    <row r="2803" spans="1:2">
      <c r="A2803" s="10" t="s">
        <v>3002</v>
      </c>
      <c r="B2803" s="16">
        <v>864.41</v>
      </c>
    </row>
    <row r="2804" spans="1:2">
      <c r="A2804" s="10" t="s">
        <v>3003</v>
      </c>
      <c r="B2804" s="16">
        <v>859.49</v>
      </c>
    </row>
    <row r="2805" spans="1:2">
      <c r="A2805" s="10" t="s">
        <v>3004</v>
      </c>
      <c r="B2805" s="16">
        <v>855.8</v>
      </c>
    </row>
    <row r="2806" spans="1:2">
      <c r="A2806" s="10" t="s">
        <v>3005</v>
      </c>
      <c r="B2806" s="16">
        <v>853.58</v>
      </c>
    </row>
    <row r="2807" spans="1:2">
      <c r="A2807" s="10" t="s">
        <v>3006</v>
      </c>
      <c r="B2807" s="16">
        <v>842.06</v>
      </c>
    </row>
    <row r="2808" spans="1:2">
      <c r="A2808" s="10" t="s">
        <v>3007</v>
      </c>
      <c r="B2808" s="16">
        <v>842.23</v>
      </c>
    </row>
    <row r="2809" spans="1:2">
      <c r="A2809" s="10" t="s">
        <v>3008</v>
      </c>
      <c r="B2809" s="16">
        <v>850.62</v>
      </c>
    </row>
    <row r="2810" spans="1:2">
      <c r="A2810" s="10" t="s">
        <v>3009</v>
      </c>
      <c r="B2810" s="16">
        <v>842.25</v>
      </c>
    </row>
    <row r="2811" spans="1:2">
      <c r="A2811" s="10" t="s">
        <v>3010</v>
      </c>
      <c r="B2811" s="16">
        <v>846.75</v>
      </c>
    </row>
    <row r="2812" spans="1:2">
      <c r="A2812" s="10" t="s">
        <v>3011</v>
      </c>
      <c r="B2812" s="16">
        <v>844.3</v>
      </c>
    </row>
    <row r="2813" spans="1:2">
      <c r="A2813" s="10" t="s">
        <v>3012</v>
      </c>
      <c r="B2813" s="16">
        <v>834.3</v>
      </c>
    </row>
    <row r="2814" spans="1:2">
      <c r="A2814" s="10" t="s">
        <v>3013</v>
      </c>
      <c r="B2814" s="16">
        <v>842.85</v>
      </c>
    </row>
    <row r="2815" spans="1:2">
      <c r="A2815" s="10" t="s">
        <v>3014</v>
      </c>
      <c r="B2815" s="16">
        <v>856.18</v>
      </c>
    </row>
    <row r="2816" spans="1:2">
      <c r="A2816" s="10" t="s">
        <v>3015</v>
      </c>
      <c r="B2816" s="16">
        <v>856.55</v>
      </c>
    </row>
    <row r="2817" spans="1:2">
      <c r="A2817" s="10" t="s">
        <v>3016</v>
      </c>
      <c r="B2817" s="16">
        <v>849.97</v>
      </c>
    </row>
    <row r="2818" spans="1:2">
      <c r="A2818" s="10" t="s">
        <v>3017</v>
      </c>
      <c r="B2818" s="16">
        <v>853.97</v>
      </c>
    </row>
    <row r="2819" spans="1:2">
      <c r="A2819" s="10" t="s">
        <v>3018</v>
      </c>
      <c r="B2819" s="16">
        <v>845.1</v>
      </c>
    </row>
    <row r="2820" spans="1:2">
      <c r="A2820" s="10" t="s">
        <v>3019</v>
      </c>
      <c r="B2820" s="16">
        <v>828.12</v>
      </c>
    </row>
    <row r="2821" spans="1:2">
      <c r="A2821" s="10" t="s">
        <v>3020</v>
      </c>
      <c r="B2821" s="16">
        <v>815.36</v>
      </c>
    </row>
    <row r="2822" spans="1:2">
      <c r="A2822" s="10" t="s">
        <v>3021</v>
      </c>
      <c r="B2822" s="16">
        <v>831.08</v>
      </c>
    </row>
    <row r="2823" spans="1:2">
      <c r="A2823" s="10" t="s">
        <v>3022</v>
      </c>
      <c r="B2823" s="16">
        <v>825.59</v>
      </c>
    </row>
    <row r="2824" spans="1:2">
      <c r="A2824" s="10" t="s">
        <v>3023</v>
      </c>
      <c r="B2824" s="16">
        <v>838.9</v>
      </c>
    </row>
    <row r="2825" spans="1:2">
      <c r="A2825" s="10" t="s">
        <v>3024</v>
      </c>
      <c r="B2825" s="16">
        <v>830.23</v>
      </c>
    </row>
    <row r="2826" spans="1:2">
      <c r="A2826" s="10" t="s">
        <v>3025</v>
      </c>
      <c r="B2826" s="16">
        <v>833.31</v>
      </c>
    </row>
    <row r="2827" spans="1:2">
      <c r="A2827" s="10" t="s">
        <v>3026</v>
      </c>
      <c r="B2827" s="16">
        <v>841.57</v>
      </c>
    </row>
    <row r="2828" spans="1:2">
      <c r="A2828" s="10" t="s">
        <v>3027</v>
      </c>
      <c r="B2828" s="16">
        <v>835.82</v>
      </c>
    </row>
    <row r="2829" spans="1:2">
      <c r="A2829" s="10" t="s">
        <v>3028</v>
      </c>
      <c r="B2829" s="16">
        <v>836.15</v>
      </c>
    </row>
    <row r="2830" spans="1:2">
      <c r="A2830" s="10" t="s">
        <v>3029</v>
      </c>
      <c r="B2830" s="16">
        <v>836.64</v>
      </c>
    </row>
    <row r="2831" spans="1:2">
      <c r="A2831" s="10" t="s">
        <v>3030</v>
      </c>
      <c r="B2831" s="16">
        <v>839.42</v>
      </c>
    </row>
    <row r="2832" spans="1:2">
      <c r="A2832" s="10" t="s">
        <v>3031</v>
      </c>
      <c r="B2832" s="16">
        <v>834.12</v>
      </c>
    </row>
    <row r="2833" spans="1:2">
      <c r="A2833" s="10" t="s">
        <v>3032</v>
      </c>
      <c r="B2833" s="16">
        <v>846.76</v>
      </c>
    </row>
    <row r="2834" spans="1:2">
      <c r="A2834" s="10" t="s">
        <v>3033</v>
      </c>
      <c r="B2834" s="16">
        <v>852.06</v>
      </c>
    </row>
    <row r="2835" spans="1:2">
      <c r="A2835" s="10" t="s">
        <v>3034</v>
      </c>
      <c r="B2835" s="16">
        <v>861.79</v>
      </c>
    </row>
    <row r="2836" spans="1:2">
      <c r="A2836" s="10" t="s">
        <v>3035</v>
      </c>
      <c r="B2836" s="16">
        <v>861.32</v>
      </c>
    </row>
    <row r="2837" spans="1:2">
      <c r="A2837" s="10" t="s">
        <v>3036</v>
      </c>
      <c r="B2837" s="16">
        <v>856.32</v>
      </c>
    </row>
    <row r="2838" spans="1:2">
      <c r="A2838" s="10" t="s">
        <v>3037</v>
      </c>
      <c r="B2838" s="16">
        <v>855.81</v>
      </c>
    </row>
    <row r="2839" spans="1:2">
      <c r="A2839" s="10" t="s">
        <v>3038</v>
      </c>
      <c r="B2839" s="16">
        <v>859.79</v>
      </c>
    </row>
    <row r="2840" spans="1:2">
      <c r="A2840" s="10" t="s">
        <v>3039</v>
      </c>
      <c r="B2840" s="16">
        <v>857.47</v>
      </c>
    </row>
    <row r="2841" spans="1:2">
      <c r="A2841" s="10" t="s">
        <v>3040</v>
      </c>
      <c r="B2841" s="16">
        <v>853.71</v>
      </c>
    </row>
    <row r="2842" spans="1:2">
      <c r="A2842" s="10" t="s">
        <v>3041</v>
      </c>
      <c r="B2842" s="16">
        <v>859.34</v>
      </c>
    </row>
    <row r="2843" spans="1:2">
      <c r="A2843" s="10" t="s">
        <v>3042</v>
      </c>
      <c r="B2843" s="16">
        <v>863.26</v>
      </c>
    </row>
    <row r="2844" spans="1:2">
      <c r="A2844" s="10" t="s">
        <v>3043</v>
      </c>
      <c r="B2844" s="16">
        <v>864.81</v>
      </c>
    </row>
    <row r="2845" spans="1:2">
      <c r="A2845" s="10" t="s">
        <v>3044</v>
      </c>
      <c r="B2845" s="16">
        <v>866.58</v>
      </c>
    </row>
    <row r="2846" spans="1:2">
      <c r="A2846" s="10" t="s">
        <v>3045</v>
      </c>
      <c r="B2846" s="16">
        <v>865.87</v>
      </c>
    </row>
    <row r="2847" spans="1:2">
      <c r="A2847" s="10" t="s">
        <v>3046</v>
      </c>
      <c r="B2847" s="16">
        <v>860.07</v>
      </c>
    </row>
    <row r="2848" spans="1:2">
      <c r="A2848" s="10" t="s">
        <v>3047</v>
      </c>
      <c r="B2848" s="16">
        <v>861.81</v>
      </c>
    </row>
    <row r="2849" spans="1:2">
      <c r="A2849" s="10" t="s">
        <v>3048</v>
      </c>
      <c r="B2849" s="16">
        <v>857.91</v>
      </c>
    </row>
    <row r="2850" spans="1:2">
      <c r="A2850" s="10" t="s">
        <v>3049</v>
      </c>
      <c r="B2850" s="16">
        <v>850.48</v>
      </c>
    </row>
    <row r="2851" spans="1:2">
      <c r="A2851" s="10" t="s">
        <v>3050</v>
      </c>
      <c r="B2851" s="16">
        <v>847.6</v>
      </c>
    </row>
    <row r="2852" spans="1:2">
      <c r="A2852" s="10" t="s">
        <v>3051</v>
      </c>
      <c r="B2852" s="16">
        <v>859.09</v>
      </c>
    </row>
    <row r="2853" spans="1:2">
      <c r="A2853" s="10" t="s">
        <v>3052</v>
      </c>
      <c r="B2853" s="16">
        <v>862.31</v>
      </c>
    </row>
    <row r="2854" spans="1:2">
      <c r="A2854" s="10" t="s">
        <v>3053</v>
      </c>
      <c r="B2854" s="16">
        <v>865.58</v>
      </c>
    </row>
    <row r="2855" spans="1:2">
      <c r="A2855" s="10" t="s">
        <v>3054</v>
      </c>
      <c r="B2855" s="16">
        <v>856.54</v>
      </c>
    </row>
    <row r="2856" spans="1:2">
      <c r="A2856" s="10" t="s">
        <v>3055</v>
      </c>
      <c r="B2856" s="16">
        <v>850.86</v>
      </c>
    </row>
    <row r="2857" spans="1:2">
      <c r="A2857" s="10" t="s">
        <v>3056</v>
      </c>
      <c r="B2857" s="16">
        <v>846.98</v>
      </c>
    </row>
    <row r="2858" spans="1:2">
      <c r="A2858" s="10" t="s">
        <v>3057</v>
      </c>
      <c r="B2858" s="16">
        <v>863.35</v>
      </c>
    </row>
    <row r="2859" spans="1:2">
      <c r="A2859" s="10" t="s">
        <v>3058</v>
      </c>
      <c r="B2859" s="16">
        <v>863.97</v>
      </c>
    </row>
    <row r="2860" spans="1:2">
      <c r="A2860" s="10" t="s">
        <v>3059</v>
      </c>
      <c r="B2860" s="16">
        <v>861.49</v>
      </c>
    </row>
    <row r="2861" spans="1:2">
      <c r="A2861" s="10" t="s">
        <v>3060</v>
      </c>
      <c r="B2861" s="16">
        <v>862.99</v>
      </c>
    </row>
    <row r="2862" spans="1:2">
      <c r="A2862" s="10" t="s">
        <v>3061</v>
      </c>
      <c r="B2862" s="16">
        <v>863.26</v>
      </c>
    </row>
    <row r="2863" spans="1:2">
      <c r="A2863" s="10" t="s">
        <v>3062</v>
      </c>
      <c r="B2863" s="16">
        <v>866.02</v>
      </c>
    </row>
    <row r="2864" spans="1:2">
      <c r="A2864" s="10" t="s">
        <v>3063</v>
      </c>
      <c r="B2864" s="16">
        <v>866.51</v>
      </c>
    </row>
    <row r="2865" spans="1:2">
      <c r="A2865" s="10" t="s">
        <v>3064</v>
      </c>
      <c r="B2865" s="16">
        <v>864.93</v>
      </c>
    </row>
    <row r="2866" spans="1:2">
      <c r="A2866" s="10" t="s">
        <v>3065</v>
      </c>
      <c r="B2866" s="16">
        <v>872.4</v>
      </c>
    </row>
    <row r="2867" spans="1:2">
      <c r="A2867" s="10" t="s">
        <v>3066</v>
      </c>
      <c r="B2867" s="16">
        <v>885.18</v>
      </c>
    </row>
    <row r="2868" spans="1:2">
      <c r="A2868" s="10" t="s">
        <v>3067</v>
      </c>
      <c r="B2868" s="16">
        <v>886.67</v>
      </c>
    </row>
    <row r="2869" spans="1:2">
      <c r="A2869" s="10" t="s">
        <v>3068</v>
      </c>
      <c r="B2869" s="16">
        <v>886.11</v>
      </c>
    </row>
    <row r="2870" spans="1:2">
      <c r="A2870" s="10" t="s">
        <v>3069</v>
      </c>
      <c r="B2870" s="16">
        <v>878.97</v>
      </c>
    </row>
    <row r="2871" spans="1:2">
      <c r="A2871" s="10" t="s">
        <v>3070</v>
      </c>
      <c r="B2871" s="16">
        <v>868.65</v>
      </c>
    </row>
    <row r="2872" spans="1:2">
      <c r="A2872" s="10" t="s">
        <v>3071</v>
      </c>
      <c r="B2872" s="16">
        <v>882.01</v>
      </c>
    </row>
    <row r="2873" spans="1:2">
      <c r="A2873" s="10" t="s">
        <v>3072</v>
      </c>
      <c r="B2873" s="16">
        <v>895.99</v>
      </c>
    </row>
    <row r="2874" spans="1:2">
      <c r="A2874" s="10" t="s">
        <v>3073</v>
      </c>
      <c r="B2874" s="16">
        <v>893.79</v>
      </c>
    </row>
    <row r="2875" spans="1:2">
      <c r="A2875" s="10" t="s">
        <v>3074</v>
      </c>
      <c r="B2875" s="16">
        <v>892.43</v>
      </c>
    </row>
    <row r="2876" spans="1:2">
      <c r="A2876" s="10" t="s">
        <v>3075</v>
      </c>
      <c r="B2876" s="16">
        <v>887.34</v>
      </c>
    </row>
    <row r="2877" spans="1:2">
      <c r="A2877" s="10" t="s">
        <v>3076</v>
      </c>
      <c r="B2877" s="16">
        <v>894.09</v>
      </c>
    </row>
    <row r="2878" spans="1:2">
      <c r="A2878" s="10" t="s">
        <v>3077</v>
      </c>
      <c r="B2878" s="16">
        <v>902.95</v>
      </c>
    </row>
    <row r="2879" spans="1:2">
      <c r="A2879" s="10" t="s">
        <v>3078</v>
      </c>
      <c r="B2879" s="16">
        <v>899.59</v>
      </c>
    </row>
    <row r="2880" spans="1:2">
      <c r="A2880" s="10" t="s">
        <v>3079</v>
      </c>
      <c r="B2880" s="16">
        <v>900.92</v>
      </c>
    </row>
    <row r="2881" spans="1:2">
      <c r="A2881" s="10" t="s">
        <v>3080</v>
      </c>
      <c r="B2881" s="16">
        <v>894.27</v>
      </c>
    </row>
    <row r="2882" spans="1:2">
      <c r="A2882" s="10" t="s">
        <v>3081</v>
      </c>
      <c r="B2882" s="16">
        <v>895.78</v>
      </c>
    </row>
    <row r="2883" spans="1:2">
      <c r="A2883" s="10" t="s">
        <v>3082</v>
      </c>
      <c r="B2883" s="16">
        <v>897.71</v>
      </c>
    </row>
    <row r="2884" spans="1:2">
      <c r="A2884" s="10" t="s">
        <v>3083</v>
      </c>
      <c r="B2884" s="16">
        <v>905.9</v>
      </c>
    </row>
    <row r="2885" spans="1:2">
      <c r="A2885" s="10" t="s">
        <v>3084</v>
      </c>
      <c r="B2885" s="16">
        <v>908.55</v>
      </c>
    </row>
    <row r="2886" spans="1:2">
      <c r="A2886" s="10" t="s">
        <v>3085</v>
      </c>
      <c r="B2886" s="16">
        <v>910.58</v>
      </c>
    </row>
    <row r="2887" spans="1:2">
      <c r="A2887" s="10" t="s">
        <v>3086</v>
      </c>
      <c r="B2887" s="16">
        <v>912.52</v>
      </c>
    </row>
    <row r="2888" spans="1:2">
      <c r="A2888" s="10" t="s">
        <v>3087</v>
      </c>
      <c r="B2888" s="16">
        <v>910.65</v>
      </c>
    </row>
    <row r="2889" spans="1:2">
      <c r="A2889" s="10" t="s">
        <v>3088</v>
      </c>
      <c r="B2889" s="16">
        <v>908.08</v>
      </c>
    </row>
    <row r="2890" spans="1:2">
      <c r="A2890" s="10" t="s">
        <v>3089</v>
      </c>
      <c r="B2890" s="16">
        <v>905.76</v>
      </c>
    </row>
    <row r="2891" spans="1:2">
      <c r="A2891" s="10" t="s">
        <v>3090</v>
      </c>
      <c r="B2891" s="16">
        <v>896.76</v>
      </c>
    </row>
    <row r="2892" spans="1:2">
      <c r="A2892" s="10" t="s">
        <v>3091</v>
      </c>
      <c r="B2892" s="16">
        <v>897.31</v>
      </c>
    </row>
    <row r="2893" spans="1:2">
      <c r="A2893" s="10" t="s">
        <v>3092</v>
      </c>
      <c r="B2893" s="16">
        <v>894.47</v>
      </c>
    </row>
    <row r="2894" spans="1:2">
      <c r="A2894" s="10" t="s">
        <v>3093</v>
      </c>
      <c r="B2894" s="16">
        <v>889.76</v>
      </c>
    </row>
    <row r="2895" spans="1:2">
      <c r="A2895" s="10" t="s">
        <v>3094</v>
      </c>
      <c r="B2895" s="16">
        <v>896.06</v>
      </c>
    </row>
    <row r="2896" spans="1:2">
      <c r="A2896" s="10" t="s">
        <v>3095</v>
      </c>
      <c r="B2896" s="16">
        <v>902.15</v>
      </c>
    </row>
    <row r="2897" spans="1:2">
      <c r="A2897" s="10" t="s">
        <v>3096</v>
      </c>
      <c r="B2897" s="16">
        <v>906.64</v>
      </c>
    </row>
    <row r="2898" spans="1:2">
      <c r="A2898" s="10" t="s">
        <v>3097</v>
      </c>
      <c r="B2898" s="16">
        <v>916.86</v>
      </c>
    </row>
    <row r="2899" spans="1:2">
      <c r="A2899" s="10" t="s">
        <v>3098</v>
      </c>
      <c r="B2899" s="16">
        <v>915.84</v>
      </c>
    </row>
    <row r="2900" spans="1:2">
      <c r="A2900" s="10" t="s">
        <v>3099</v>
      </c>
      <c r="B2900" s="16">
        <v>914.98</v>
      </c>
    </row>
    <row r="2901" spans="1:2">
      <c r="A2901" s="10" t="s">
        <v>3100</v>
      </c>
      <c r="B2901" s="16">
        <v>910.96</v>
      </c>
    </row>
    <row r="2902" spans="1:2">
      <c r="A2902" s="10" t="s">
        <v>3101</v>
      </c>
      <c r="B2902" s="16">
        <v>898.36</v>
      </c>
    </row>
    <row r="2903" spans="1:2">
      <c r="A2903" s="10" t="s">
        <v>3102</v>
      </c>
      <c r="B2903" s="16">
        <v>892.19</v>
      </c>
    </row>
    <row r="2904" spans="1:2">
      <c r="A2904" s="10" t="s">
        <v>3103</v>
      </c>
      <c r="B2904" s="16">
        <v>891.7</v>
      </c>
    </row>
    <row r="2905" spans="1:2">
      <c r="A2905" s="10" t="s">
        <v>3104</v>
      </c>
      <c r="B2905" s="16">
        <v>894.68</v>
      </c>
    </row>
    <row r="2906" spans="1:2">
      <c r="A2906" s="10" t="s">
        <v>3105</v>
      </c>
      <c r="B2906" s="16">
        <v>899.95</v>
      </c>
    </row>
    <row r="2907" spans="1:2">
      <c r="A2907" s="10" t="s">
        <v>3106</v>
      </c>
      <c r="B2907" s="16">
        <v>904.41</v>
      </c>
    </row>
    <row r="2908" spans="1:2">
      <c r="A2908" s="10" t="s">
        <v>3107</v>
      </c>
      <c r="B2908" s="16">
        <v>904.67</v>
      </c>
    </row>
    <row r="2909" spans="1:2">
      <c r="A2909" s="10" t="s">
        <v>3108</v>
      </c>
      <c r="B2909" s="16">
        <v>904.75</v>
      </c>
    </row>
    <row r="2910" spans="1:2">
      <c r="A2910" s="10" t="s">
        <v>3109</v>
      </c>
      <c r="B2910" s="16">
        <v>911.09</v>
      </c>
    </row>
    <row r="2911" spans="1:2">
      <c r="A2911" s="10" t="s">
        <v>3110</v>
      </c>
      <c r="B2911" s="16">
        <v>912.33</v>
      </c>
    </row>
    <row r="2912" spans="1:2">
      <c r="A2912" s="10" t="s">
        <v>3111</v>
      </c>
      <c r="B2912" s="16">
        <v>910.32</v>
      </c>
    </row>
    <row r="2913" spans="1:2">
      <c r="A2913" s="10" t="s">
        <v>3112</v>
      </c>
      <c r="B2913" s="16">
        <v>912.88</v>
      </c>
    </row>
    <row r="2914" spans="1:2">
      <c r="A2914" s="10" t="s">
        <v>3113</v>
      </c>
      <c r="B2914" s="16">
        <v>915.25</v>
      </c>
    </row>
    <row r="2915" spans="1:2">
      <c r="A2915" s="10" t="s">
        <v>3114</v>
      </c>
      <c r="B2915" s="16">
        <v>921.93</v>
      </c>
    </row>
    <row r="2916" spans="1:2">
      <c r="A2916" s="10" t="s">
        <v>3115</v>
      </c>
      <c r="B2916" s="16">
        <v>913.92</v>
      </c>
    </row>
    <row r="2917" spans="1:2">
      <c r="A2917" s="10" t="s">
        <v>3116</v>
      </c>
      <c r="B2917" s="16">
        <v>922.91</v>
      </c>
    </row>
    <row r="2918" spans="1:2">
      <c r="A2918" s="10" t="s">
        <v>3117</v>
      </c>
      <c r="B2918" s="16">
        <v>926.54</v>
      </c>
    </row>
    <row r="2919" spans="1:2">
      <c r="A2919" s="10" t="s">
        <v>3118</v>
      </c>
      <c r="B2919" s="16">
        <v>925.96</v>
      </c>
    </row>
    <row r="2920" spans="1:2">
      <c r="A2920" s="10" t="s">
        <v>3119</v>
      </c>
      <c r="B2920" s="16">
        <v>923.02</v>
      </c>
    </row>
    <row r="2921" spans="1:2">
      <c r="A2921" s="10" t="s">
        <v>3120</v>
      </c>
      <c r="B2921" s="16">
        <v>910.33</v>
      </c>
    </row>
    <row r="2922" spans="1:2">
      <c r="A2922" s="10" t="s">
        <v>3121</v>
      </c>
      <c r="B2922" s="16">
        <v>904.13</v>
      </c>
    </row>
    <row r="2923" spans="1:2">
      <c r="A2923" s="10" t="s">
        <v>3122</v>
      </c>
      <c r="B2923" s="16">
        <v>896.8</v>
      </c>
    </row>
    <row r="2924" spans="1:2">
      <c r="A2924" s="10" t="s">
        <v>3123</v>
      </c>
      <c r="B2924" s="16">
        <v>900.73</v>
      </c>
    </row>
    <row r="2925" spans="1:2">
      <c r="A2925" s="10" t="s">
        <v>3124</v>
      </c>
      <c r="B2925" s="16">
        <v>894.16</v>
      </c>
    </row>
    <row r="2926" spans="1:2">
      <c r="A2926" s="10" t="s">
        <v>3125</v>
      </c>
      <c r="B2926" s="16">
        <v>889.56</v>
      </c>
    </row>
    <row r="2927" spans="1:2">
      <c r="A2927" s="10" t="s">
        <v>3126</v>
      </c>
      <c r="B2927" s="16">
        <v>894.45</v>
      </c>
    </row>
    <row r="2928" spans="1:2">
      <c r="A2928" s="10" t="s">
        <v>3127</v>
      </c>
      <c r="B2928" s="16">
        <v>890.01</v>
      </c>
    </row>
    <row r="2929" spans="1:2">
      <c r="A2929" s="10" t="s">
        <v>3128</v>
      </c>
      <c r="B2929" s="16">
        <v>899.7</v>
      </c>
    </row>
    <row r="2930" spans="1:2">
      <c r="A2930" s="10" t="s">
        <v>3129</v>
      </c>
      <c r="B2930" s="16">
        <v>889.89</v>
      </c>
    </row>
    <row r="2931" spans="1:2">
      <c r="A2931" s="10" t="s">
        <v>3130</v>
      </c>
      <c r="B2931" s="16">
        <v>887.71</v>
      </c>
    </row>
    <row r="2932" spans="1:2">
      <c r="A2932" s="10" t="s">
        <v>3131</v>
      </c>
      <c r="B2932" s="16">
        <v>881.36</v>
      </c>
    </row>
    <row r="2933" spans="1:2">
      <c r="A2933" s="10" t="s">
        <v>3132</v>
      </c>
      <c r="B2933" s="16">
        <v>881.3</v>
      </c>
    </row>
    <row r="2934" spans="1:2">
      <c r="A2934" s="10" t="s">
        <v>3133</v>
      </c>
      <c r="B2934" s="16">
        <v>887.47</v>
      </c>
    </row>
    <row r="2935" spans="1:2">
      <c r="A2935" s="10" t="s">
        <v>3134</v>
      </c>
      <c r="B2935" s="16">
        <v>891.39</v>
      </c>
    </row>
    <row r="2936" spans="1:2">
      <c r="A2936" s="10" t="s">
        <v>3135</v>
      </c>
      <c r="B2936" s="16">
        <v>899.87</v>
      </c>
    </row>
    <row r="2937" spans="1:2">
      <c r="A2937" s="10" t="s">
        <v>3136</v>
      </c>
      <c r="B2937" s="16">
        <v>888.63</v>
      </c>
    </row>
    <row r="2938" spans="1:2">
      <c r="A2938" s="10" t="s">
        <v>3137</v>
      </c>
      <c r="B2938" s="16">
        <v>894.91</v>
      </c>
    </row>
    <row r="2939" spans="1:2">
      <c r="A2939" s="10" t="s">
        <v>3138</v>
      </c>
      <c r="B2939" s="16">
        <v>901.21</v>
      </c>
    </row>
    <row r="2940" spans="1:2">
      <c r="A2940" s="10" t="s">
        <v>3139</v>
      </c>
      <c r="B2940" s="16">
        <v>912.04</v>
      </c>
    </row>
    <row r="2941" spans="1:2">
      <c r="A2941" s="10" t="s">
        <v>3140</v>
      </c>
      <c r="B2941" s="16">
        <v>909.36</v>
      </c>
    </row>
    <row r="2942" spans="1:2">
      <c r="A2942" s="10" t="s">
        <v>3141</v>
      </c>
      <c r="B2942" s="16">
        <v>910.31</v>
      </c>
    </row>
    <row r="2943" spans="1:2">
      <c r="A2943" s="10" t="s">
        <v>3142</v>
      </c>
      <c r="B2943" s="16">
        <v>912.04</v>
      </c>
    </row>
    <row r="2944" spans="1:2">
      <c r="A2944" s="10" t="s">
        <v>3143</v>
      </c>
      <c r="B2944" s="16">
        <v>914.87</v>
      </c>
    </row>
    <row r="2945" spans="1:2">
      <c r="A2945" s="10" t="s">
        <v>3144</v>
      </c>
      <c r="B2945" s="16">
        <v>906.47</v>
      </c>
    </row>
    <row r="2946" spans="1:2">
      <c r="A2946" s="10" t="s">
        <v>3145</v>
      </c>
      <c r="B2946" s="16">
        <v>899.84</v>
      </c>
    </row>
    <row r="2947" spans="1:2">
      <c r="A2947" s="10" t="s">
        <v>3146</v>
      </c>
      <c r="B2947" s="16">
        <v>900.6</v>
      </c>
    </row>
    <row r="2948" spans="1:2">
      <c r="A2948" s="10" t="s">
        <v>3147</v>
      </c>
      <c r="B2948" s="16">
        <v>902.7</v>
      </c>
    </row>
    <row r="2949" spans="1:2">
      <c r="A2949" s="10" t="s">
        <v>3148</v>
      </c>
      <c r="B2949" s="16">
        <v>898.36</v>
      </c>
    </row>
    <row r="2950" spans="1:2">
      <c r="A2950" s="10" t="s">
        <v>3149</v>
      </c>
      <c r="B2950" s="16">
        <v>897.52</v>
      </c>
    </row>
    <row r="2951" spans="1:2">
      <c r="A2951" s="10" t="s">
        <v>3150</v>
      </c>
      <c r="B2951" s="16">
        <v>909.56</v>
      </c>
    </row>
    <row r="2952" spans="1:2">
      <c r="A2952" s="10" t="s">
        <v>3151</v>
      </c>
      <c r="B2952" s="16">
        <v>902.29</v>
      </c>
    </row>
    <row r="2953" spans="1:2">
      <c r="A2953" s="10" t="s">
        <v>3152</v>
      </c>
      <c r="B2953" s="16">
        <v>897.71</v>
      </c>
    </row>
    <row r="2954" spans="1:2">
      <c r="A2954" s="10" t="s">
        <v>3153</v>
      </c>
      <c r="B2954" s="16">
        <v>896.52</v>
      </c>
    </row>
    <row r="2955" spans="1:2">
      <c r="A2955" s="10" t="s">
        <v>3154</v>
      </c>
      <c r="B2955" s="16">
        <v>893.03</v>
      </c>
    </row>
    <row r="2956" spans="1:2">
      <c r="A2956" s="10" t="s">
        <v>3155</v>
      </c>
      <c r="B2956" s="16">
        <v>884.41</v>
      </c>
    </row>
    <row r="2957" spans="1:2">
      <c r="A2957" s="10" t="s">
        <v>3156</v>
      </c>
      <c r="B2957" s="16">
        <v>882.04</v>
      </c>
    </row>
    <row r="2958" spans="1:2">
      <c r="A2958" s="10" t="s">
        <v>3157</v>
      </c>
      <c r="B2958" s="16">
        <v>884.2</v>
      </c>
    </row>
    <row r="2959" spans="1:2">
      <c r="A2959" s="10" t="s">
        <v>3158</v>
      </c>
      <c r="B2959" s="16">
        <v>872.66</v>
      </c>
    </row>
    <row r="2960" spans="1:2">
      <c r="A2960" s="10" t="s">
        <v>3159</v>
      </c>
      <c r="B2960" s="16">
        <v>873.94</v>
      </c>
    </row>
    <row r="2961" spans="1:2">
      <c r="A2961" s="10" t="s">
        <v>3160</v>
      </c>
      <c r="B2961" s="16">
        <v>877.08</v>
      </c>
    </row>
    <row r="2962" spans="1:2">
      <c r="A2962" s="10" t="s">
        <v>3161</v>
      </c>
      <c r="B2962" s="16">
        <v>877.84</v>
      </c>
    </row>
    <row r="2963" spans="1:2">
      <c r="A2963" s="10" t="s">
        <v>3162</v>
      </c>
      <c r="B2963" s="16">
        <v>881.83</v>
      </c>
    </row>
    <row r="2964" spans="1:2">
      <c r="A2964" s="10" t="s">
        <v>3163</v>
      </c>
      <c r="B2964" s="16">
        <v>871.26</v>
      </c>
    </row>
    <row r="2965" spans="1:2">
      <c r="A2965" s="10" t="s">
        <v>3164</v>
      </c>
      <c r="B2965" s="16">
        <v>876.56</v>
      </c>
    </row>
    <row r="2966" spans="1:2">
      <c r="A2966" s="10" t="s">
        <v>3165</v>
      </c>
      <c r="B2966" s="16">
        <v>875.71</v>
      </c>
    </row>
    <row r="2967" spans="1:2">
      <c r="A2967" s="10" t="s">
        <v>3166</v>
      </c>
      <c r="B2967" s="16">
        <v>886.38</v>
      </c>
    </row>
    <row r="2968" spans="1:2">
      <c r="A2968" s="10" t="s">
        <v>3167</v>
      </c>
      <c r="B2968" s="16">
        <v>883.66</v>
      </c>
    </row>
    <row r="2969" spans="1:2">
      <c r="A2969" s="10" t="s">
        <v>3168</v>
      </c>
      <c r="B2969" s="16">
        <v>891.11</v>
      </c>
    </row>
    <row r="2970" spans="1:2">
      <c r="A2970" s="10" t="s">
        <v>3169</v>
      </c>
      <c r="B2970" s="16">
        <v>892.07</v>
      </c>
    </row>
    <row r="2971" spans="1:2">
      <c r="A2971" s="10" t="s">
        <v>3170</v>
      </c>
      <c r="B2971" s="16">
        <v>894.8</v>
      </c>
    </row>
    <row r="2972" spans="1:2">
      <c r="A2972" s="10" t="s">
        <v>3171</v>
      </c>
      <c r="B2972" s="16">
        <v>885.7</v>
      </c>
    </row>
    <row r="2973" spans="1:2">
      <c r="A2973" s="10" t="s">
        <v>3172</v>
      </c>
      <c r="B2973" s="16">
        <v>888.09</v>
      </c>
    </row>
    <row r="2974" spans="1:2">
      <c r="A2974" s="10" t="s">
        <v>3173</v>
      </c>
      <c r="B2974" s="16">
        <v>883.76</v>
      </c>
    </row>
    <row r="2975" spans="1:2">
      <c r="A2975" s="10" t="s">
        <v>3174</v>
      </c>
      <c r="B2975" s="16">
        <v>872.87</v>
      </c>
    </row>
    <row r="2976" spans="1:2">
      <c r="A2976" s="10" t="s">
        <v>3175</v>
      </c>
      <c r="B2976" s="16">
        <v>866.51</v>
      </c>
    </row>
    <row r="2977" spans="1:2">
      <c r="A2977" s="10" t="s">
        <v>3176</v>
      </c>
      <c r="B2977" s="16">
        <v>852.32</v>
      </c>
    </row>
    <row r="2978" spans="1:2">
      <c r="A2978" s="10" t="s">
        <v>3177</v>
      </c>
      <c r="B2978" s="16">
        <v>851.48</v>
      </c>
    </row>
    <row r="2979" spans="1:2">
      <c r="A2979" s="10" t="s">
        <v>3178</v>
      </c>
      <c r="B2979" s="16">
        <v>857.81</v>
      </c>
    </row>
    <row r="2980" spans="1:2">
      <c r="A2980" s="10" t="s">
        <v>3179</v>
      </c>
      <c r="B2980" s="16">
        <v>855.98</v>
      </c>
    </row>
    <row r="2981" spans="1:2">
      <c r="A2981" s="10" t="s">
        <v>3180</v>
      </c>
      <c r="B2981" s="16">
        <v>848.35</v>
      </c>
    </row>
    <row r="2982" spans="1:2">
      <c r="A2982" s="10" t="s">
        <v>3181</v>
      </c>
      <c r="B2982" s="16">
        <v>840.34</v>
      </c>
    </row>
    <row r="2983" spans="1:2">
      <c r="A2983" s="10" t="s">
        <v>3182</v>
      </c>
      <c r="B2983" s="16">
        <v>843.89</v>
      </c>
    </row>
    <row r="2984" spans="1:2">
      <c r="A2984" s="10" t="s">
        <v>3183</v>
      </c>
      <c r="B2984" s="16">
        <v>852.53</v>
      </c>
    </row>
    <row r="2985" spans="1:2">
      <c r="A2985" s="10" t="s">
        <v>3184</v>
      </c>
      <c r="B2985" s="16">
        <v>864.38</v>
      </c>
    </row>
    <row r="2986" spans="1:2">
      <c r="A2986" s="10" t="s">
        <v>3185</v>
      </c>
      <c r="B2986" s="16">
        <v>876.32</v>
      </c>
    </row>
    <row r="2987" spans="1:2">
      <c r="A2987" s="10" t="s">
        <v>3186</v>
      </c>
      <c r="B2987" s="16">
        <v>876.79</v>
      </c>
    </row>
    <row r="2988" spans="1:2">
      <c r="A2988" s="10" t="s">
        <v>3187</v>
      </c>
      <c r="B2988" s="16">
        <v>876.32</v>
      </c>
    </row>
    <row r="2989" spans="1:2">
      <c r="A2989" s="10" t="s">
        <v>3188</v>
      </c>
      <c r="B2989" s="16">
        <v>882.9</v>
      </c>
    </row>
    <row r="2990" spans="1:2">
      <c r="A2990" s="10" t="s">
        <v>3189</v>
      </c>
      <c r="B2990" s="16">
        <v>886.16</v>
      </c>
    </row>
    <row r="2991" spans="1:2">
      <c r="A2991" s="10" t="s">
        <v>3190</v>
      </c>
      <c r="B2991" s="16">
        <v>885.65</v>
      </c>
    </row>
    <row r="2992" spans="1:2">
      <c r="A2992" s="10" t="s">
        <v>3191</v>
      </c>
      <c r="B2992" s="16">
        <v>895.14</v>
      </c>
    </row>
    <row r="2993" spans="1:2">
      <c r="A2993" s="10" t="s">
        <v>3192</v>
      </c>
      <c r="B2993" s="16">
        <v>895.23</v>
      </c>
    </row>
    <row r="2994" spans="1:2">
      <c r="A2994" s="10" t="s">
        <v>3193</v>
      </c>
      <c r="B2994" s="16">
        <v>902.76</v>
      </c>
    </row>
    <row r="2995" spans="1:2">
      <c r="A2995" s="10" t="s">
        <v>3194</v>
      </c>
      <c r="B2995" s="16">
        <v>904.61</v>
      </c>
    </row>
    <row r="2996" spans="1:2">
      <c r="A2996" s="10" t="s">
        <v>3195</v>
      </c>
      <c r="B2996" s="16">
        <v>906.18</v>
      </c>
    </row>
    <row r="2997" spans="1:2">
      <c r="A2997" s="10" t="s">
        <v>3196</v>
      </c>
      <c r="B2997" s="16">
        <v>908.32</v>
      </c>
    </row>
    <row r="2998" spans="1:2">
      <c r="A2998" s="10" t="s">
        <v>3197</v>
      </c>
      <c r="B2998" s="16">
        <v>912.03</v>
      </c>
    </row>
    <row r="2999" spans="1:2">
      <c r="A2999" s="10" t="s">
        <v>3198</v>
      </c>
      <c r="B2999" s="16">
        <v>909.66</v>
      </c>
    </row>
    <row r="3000" spans="1:2">
      <c r="A3000" s="10" t="s">
        <v>3199</v>
      </c>
      <c r="B3000" s="16">
        <v>915.88</v>
      </c>
    </row>
    <row r="3001" spans="1:2">
      <c r="A3001" s="10" t="s">
        <v>3200</v>
      </c>
      <c r="B3001" s="16">
        <v>913.78</v>
      </c>
    </row>
    <row r="3002" spans="1:2">
      <c r="A3002" s="10" t="s">
        <v>3201</v>
      </c>
      <c r="B3002" s="16">
        <v>912</v>
      </c>
    </row>
    <row r="3003" spans="1:2">
      <c r="A3003" s="10" t="s">
        <v>3202</v>
      </c>
      <c r="B3003" s="16">
        <v>910.49</v>
      </c>
    </row>
    <row r="3004" spans="1:2">
      <c r="A3004" s="10" t="s">
        <v>3203</v>
      </c>
      <c r="B3004" s="16">
        <v>913.68</v>
      </c>
    </row>
    <row r="3005" spans="1:2">
      <c r="A3005" s="10" t="s">
        <v>3204</v>
      </c>
      <c r="B3005" s="16">
        <v>918.59</v>
      </c>
    </row>
    <row r="3006" spans="1:2">
      <c r="A3006" s="10" t="s">
        <v>3205</v>
      </c>
      <c r="B3006" s="16">
        <v>927.02</v>
      </c>
    </row>
    <row r="3007" spans="1:2">
      <c r="A3007" s="10" t="s">
        <v>3206</v>
      </c>
      <c r="B3007" s="16">
        <v>923.16</v>
      </c>
    </row>
    <row r="3008" spans="1:2">
      <c r="A3008" s="10" t="s">
        <v>3207</v>
      </c>
      <c r="B3008" s="16">
        <v>929.76</v>
      </c>
    </row>
    <row r="3009" spans="1:2">
      <c r="A3009" s="10" t="s">
        <v>3208</v>
      </c>
      <c r="B3009" s="16">
        <v>929.57</v>
      </c>
    </row>
    <row r="3010" spans="1:2">
      <c r="A3010" s="10" t="s">
        <v>3209</v>
      </c>
      <c r="B3010" s="16">
        <v>933.13</v>
      </c>
    </row>
    <row r="3011" spans="1:2">
      <c r="A3011" s="10" t="s">
        <v>3210</v>
      </c>
      <c r="B3011" s="16">
        <v>940.51</v>
      </c>
    </row>
    <row r="3012" spans="1:2">
      <c r="A3012" s="10" t="s">
        <v>3211</v>
      </c>
      <c r="B3012" s="16">
        <v>943.83</v>
      </c>
    </row>
    <row r="3013" spans="1:2">
      <c r="A3013" s="10" t="s">
        <v>3212</v>
      </c>
      <c r="B3013" s="16">
        <v>945.25</v>
      </c>
    </row>
    <row r="3014" spans="1:2">
      <c r="A3014" s="10" t="s">
        <v>3213</v>
      </c>
      <c r="B3014" s="16">
        <v>948.85</v>
      </c>
    </row>
    <row r="3015" spans="1:2">
      <c r="A3015" s="10" t="s">
        <v>3214</v>
      </c>
      <c r="B3015" s="16">
        <v>941.26</v>
      </c>
    </row>
    <row r="3016" spans="1:2">
      <c r="A3016" s="10" t="s">
        <v>3215</v>
      </c>
      <c r="B3016" s="16">
        <v>947.48</v>
      </c>
    </row>
    <row r="3017" spans="1:2">
      <c r="A3017" s="10" t="s">
        <v>3216</v>
      </c>
      <c r="B3017" s="16">
        <v>945.52</v>
      </c>
    </row>
    <row r="3018" spans="1:2">
      <c r="A3018" s="10" t="s">
        <v>3217</v>
      </c>
      <c r="B3018" s="16">
        <v>945.49</v>
      </c>
    </row>
    <row r="3019" spans="1:2">
      <c r="A3019" s="10" t="s">
        <v>3218</v>
      </c>
      <c r="B3019" s="16">
        <v>938.54</v>
      </c>
    </row>
    <row r="3020" spans="1:2">
      <c r="A3020" s="10" t="s">
        <v>3219</v>
      </c>
      <c r="B3020" s="16">
        <v>942.49</v>
      </c>
    </row>
    <row r="3021" spans="1:2">
      <c r="A3021" s="10" t="s">
        <v>3220</v>
      </c>
      <c r="B3021" s="16">
        <v>942.53</v>
      </c>
    </row>
    <row r="3022" spans="1:2">
      <c r="A3022" s="10" t="s">
        <v>3221</v>
      </c>
      <c r="B3022" s="16">
        <v>941.15</v>
      </c>
    </row>
    <row r="3023" spans="1:2">
      <c r="A3023" s="10" t="s">
        <v>3222</v>
      </c>
      <c r="B3023" s="16">
        <v>940.27</v>
      </c>
    </row>
    <row r="3024" spans="1:2">
      <c r="A3024" s="10" t="s">
        <v>3223</v>
      </c>
      <c r="B3024" s="16">
        <v>941.79</v>
      </c>
    </row>
    <row r="3025" spans="1:2">
      <c r="A3025" s="10" t="s">
        <v>3224</v>
      </c>
      <c r="B3025" s="16">
        <v>940.35</v>
      </c>
    </row>
    <row r="3026" spans="1:2">
      <c r="A3026" s="10" t="s">
        <v>3225</v>
      </c>
      <c r="B3026" s="16">
        <v>932.69</v>
      </c>
    </row>
    <row r="3027" spans="1:2">
      <c r="A3027" s="10" t="s">
        <v>3226</v>
      </c>
      <c r="B3027" s="16">
        <v>932.02</v>
      </c>
    </row>
    <row r="3028" spans="1:2">
      <c r="A3028" s="10" t="s">
        <v>3227</v>
      </c>
      <c r="B3028" s="16">
        <v>931.26</v>
      </c>
    </row>
    <row r="3029" spans="1:2">
      <c r="A3029" s="10" t="s">
        <v>3228</v>
      </c>
      <c r="B3029" s="16">
        <v>943.4</v>
      </c>
    </row>
    <row r="3030" spans="1:2">
      <c r="A3030" s="10" t="s">
        <v>3229</v>
      </c>
      <c r="B3030" s="16">
        <v>944.2</v>
      </c>
    </row>
    <row r="3031" spans="1:2">
      <c r="A3031" s="10" t="s">
        <v>3230</v>
      </c>
      <c r="B3031" s="16">
        <v>944.15</v>
      </c>
    </row>
    <row r="3032" spans="1:2">
      <c r="A3032" s="10" t="s">
        <v>3231</v>
      </c>
      <c r="B3032" s="16">
        <v>941.64</v>
      </c>
    </row>
    <row r="3033" spans="1:2">
      <c r="A3033" s="10" t="s">
        <v>3232</v>
      </c>
      <c r="B3033" s="16">
        <v>943.66</v>
      </c>
    </row>
    <row r="3034" spans="1:2">
      <c r="A3034" s="10" t="s">
        <v>3233</v>
      </c>
      <c r="B3034" s="16">
        <v>946.18</v>
      </c>
    </row>
    <row r="3035" spans="1:2">
      <c r="A3035" s="10" t="s">
        <v>3234</v>
      </c>
      <c r="B3035" s="16">
        <v>942.55</v>
      </c>
    </row>
    <row r="3036" spans="1:2">
      <c r="A3036" s="10" t="s">
        <v>3235</v>
      </c>
      <c r="B3036" s="16">
        <v>953.58</v>
      </c>
    </row>
    <row r="3037" spans="1:2">
      <c r="A3037" s="10" t="s">
        <v>3236</v>
      </c>
      <c r="B3037" s="16">
        <v>961.42</v>
      </c>
    </row>
    <row r="3038" spans="1:2">
      <c r="A3038" s="10" t="s">
        <v>3237</v>
      </c>
      <c r="B3038" s="16">
        <v>966.68</v>
      </c>
    </row>
    <row r="3039" spans="1:2">
      <c r="A3039" s="10" t="s">
        <v>3238</v>
      </c>
      <c r="B3039" s="16">
        <v>969.46</v>
      </c>
    </row>
    <row r="3040" spans="1:2">
      <c r="A3040" s="10" t="s">
        <v>3239</v>
      </c>
      <c r="B3040" s="16">
        <v>976.58</v>
      </c>
    </row>
    <row r="3041" spans="1:2">
      <c r="A3041" s="10" t="s">
        <v>3240</v>
      </c>
      <c r="B3041" s="16">
        <v>982.2</v>
      </c>
    </row>
    <row r="3042" spans="1:2">
      <c r="A3042" s="10" t="s">
        <v>3241</v>
      </c>
      <c r="B3042" s="16">
        <v>979.15</v>
      </c>
    </row>
    <row r="3043" spans="1:2">
      <c r="A3043" s="10" t="s">
        <v>3242</v>
      </c>
      <c r="B3043" s="16">
        <v>986.49</v>
      </c>
    </row>
    <row r="3044" spans="1:2">
      <c r="A3044" s="10" t="s">
        <v>3243</v>
      </c>
      <c r="B3044" s="16">
        <v>984.66</v>
      </c>
    </row>
    <row r="3045" spans="1:2">
      <c r="A3045" s="10" t="s">
        <v>3244</v>
      </c>
      <c r="B3045" s="16">
        <v>974.46</v>
      </c>
    </row>
    <row r="3046" spans="1:2">
      <c r="A3046" s="10" t="s">
        <v>3245</v>
      </c>
      <c r="B3046" s="16">
        <v>980.18</v>
      </c>
    </row>
    <row r="3047" spans="1:2">
      <c r="A3047" s="10" t="s">
        <v>3246</v>
      </c>
      <c r="B3047" s="16">
        <v>986.39</v>
      </c>
    </row>
    <row r="3048" spans="1:2">
      <c r="A3048" s="10" t="s">
        <v>3247</v>
      </c>
      <c r="B3048" s="16">
        <v>990.97</v>
      </c>
    </row>
    <row r="3049" spans="1:2">
      <c r="A3049" s="10" t="s">
        <v>3248</v>
      </c>
      <c r="B3049" s="16">
        <v>991.61</v>
      </c>
    </row>
    <row r="3050" spans="1:2">
      <c r="A3050" s="10" t="s">
        <v>3249</v>
      </c>
      <c r="B3050" s="16">
        <v>994.88</v>
      </c>
    </row>
    <row r="3051" spans="1:2">
      <c r="A3051" s="10" t="s">
        <v>3250</v>
      </c>
      <c r="B3051" s="16">
        <v>994.62</v>
      </c>
    </row>
    <row r="3052" spans="1:2">
      <c r="A3052" s="10" t="s">
        <v>3251</v>
      </c>
      <c r="B3052" s="16">
        <v>998.85</v>
      </c>
    </row>
    <row r="3053" spans="1:2">
      <c r="A3053" s="10" t="s">
        <v>3252</v>
      </c>
      <c r="B3053" s="16">
        <v>1000.27</v>
      </c>
    </row>
    <row r="3054" spans="1:2">
      <c r="A3054" s="10" t="s">
        <v>3253</v>
      </c>
      <c r="B3054" s="16">
        <v>991.09</v>
      </c>
    </row>
    <row r="3055" spans="1:2">
      <c r="A3055" s="10" t="s">
        <v>3254</v>
      </c>
      <c r="B3055" s="16">
        <v>997.67</v>
      </c>
    </row>
    <row r="3056" spans="1:2">
      <c r="A3056" s="10" t="s">
        <v>3255</v>
      </c>
      <c r="B3056" s="16">
        <v>1000</v>
      </c>
    </row>
    <row r="3057" spans="1:2">
      <c r="A3057" s="10" t="s">
        <v>3256</v>
      </c>
      <c r="B3057" s="16">
        <v>999.53</v>
      </c>
    </row>
    <row r="3058" spans="1:2">
      <c r="A3058" s="10" t="s">
        <v>3257</v>
      </c>
      <c r="B3058" s="16">
        <v>989.29</v>
      </c>
    </row>
    <row r="3059" spans="1:2">
      <c r="A3059" s="10" t="s">
        <v>3258</v>
      </c>
      <c r="B3059" s="16">
        <v>989.26</v>
      </c>
    </row>
    <row r="3060" spans="1:2">
      <c r="A3060" s="10" t="s">
        <v>3259</v>
      </c>
      <c r="B3060" s="16">
        <v>1014.15</v>
      </c>
    </row>
    <row r="3061" spans="1:2">
      <c r="A3061" s="10" t="s">
        <v>3260</v>
      </c>
      <c r="B3061" s="16">
        <v>1012.74</v>
      </c>
    </row>
    <row r="3062" spans="1:2">
      <c r="A3062" s="10" t="s">
        <v>3261</v>
      </c>
      <c r="B3062" s="16">
        <v>1009.12</v>
      </c>
    </row>
    <row r="3063" spans="1:2">
      <c r="A3063" s="10" t="s">
        <v>3262</v>
      </c>
      <c r="B3063" s="16">
        <v>1011.31</v>
      </c>
    </row>
    <row r="3064" spans="1:2">
      <c r="A3064" s="10" t="s">
        <v>3263</v>
      </c>
      <c r="B3064" s="16">
        <v>1009.53</v>
      </c>
    </row>
    <row r="3065" spans="1:2">
      <c r="A3065" s="10" t="s">
        <v>3264</v>
      </c>
      <c r="B3065" s="16">
        <v>1013.59</v>
      </c>
    </row>
    <row r="3066" spans="1:2">
      <c r="A3066" s="10" t="s">
        <v>3265</v>
      </c>
      <c r="B3066" s="16">
        <v>1022.13</v>
      </c>
    </row>
    <row r="3067" spans="1:2">
      <c r="A3067" s="10" t="s">
        <v>3266</v>
      </c>
      <c r="B3067" s="16">
        <v>1021.78</v>
      </c>
    </row>
    <row r="3068" spans="1:2">
      <c r="A3068" s="10" t="s">
        <v>3267</v>
      </c>
      <c r="B3068" s="16">
        <v>1011.55</v>
      </c>
    </row>
    <row r="3069" spans="1:2">
      <c r="A3069" s="10" t="s">
        <v>3268</v>
      </c>
      <c r="B3069" s="16">
        <v>1014.72</v>
      </c>
    </row>
    <row r="3070" spans="1:2">
      <c r="A3070" s="10" t="s">
        <v>3269</v>
      </c>
      <c r="B3070" s="16">
        <v>1027.69</v>
      </c>
    </row>
    <row r="3071" spans="1:2">
      <c r="A3071" s="10" t="s">
        <v>3270</v>
      </c>
      <c r="B3071" s="16">
        <v>1017.62</v>
      </c>
    </row>
    <row r="3072" spans="1:2">
      <c r="A3072" s="10" t="s">
        <v>3271</v>
      </c>
      <c r="B3072" s="16">
        <v>1014.78</v>
      </c>
    </row>
    <row r="3073" spans="1:2">
      <c r="A3073" s="10" t="s">
        <v>3272</v>
      </c>
      <c r="B3073" s="16">
        <v>1029.3399999999999</v>
      </c>
    </row>
    <row r="3074" spans="1:2">
      <c r="A3074" s="10" t="s">
        <v>3273</v>
      </c>
      <c r="B3074" s="16">
        <v>1024.18</v>
      </c>
    </row>
    <row r="3075" spans="1:2">
      <c r="A3075" s="10" t="s">
        <v>3274</v>
      </c>
      <c r="B3075" s="16">
        <v>1024.49</v>
      </c>
    </row>
    <row r="3076" spans="1:2">
      <c r="A3076" s="10" t="s">
        <v>3275</v>
      </c>
      <c r="B3076" s="16">
        <v>1018.04</v>
      </c>
    </row>
    <row r="3077" spans="1:2">
      <c r="A3077" s="10" t="s">
        <v>3276</v>
      </c>
      <c r="B3077" s="16">
        <v>1021.41</v>
      </c>
    </row>
    <row r="3078" spans="1:2">
      <c r="A3078" s="10" t="s">
        <v>3277</v>
      </c>
      <c r="B3078" s="16">
        <v>1029.07</v>
      </c>
    </row>
    <row r="3079" spans="1:2">
      <c r="A3079" s="10" t="s">
        <v>3278</v>
      </c>
      <c r="B3079" s="16">
        <v>1034.51</v>
      </c>
    </row>
    <row r="3080" spans="1:2">
      <c r="A3080" s="10" t="s">
        <v>3279</v>
      </c>
      <c r="B3080" s="16">
        <v>1040.96</v>
      </c>
    </row>
    <row r="3081" spans="1:2">
      <c r="A3081" s="10" t="s">
        <v>3280</v>
      </c>
      <c r="B3081" s="16">
        <v>1042.92</v>
      </c>
    </row>
    <row r="3082" spans="1:2">
      <c r="A3082" s="10" t="s">
        <v>3281</v>
      </c>
      <c r="B3082" s="16">
        <v>1040.17</v>
      </c>
    </row>
    <row r="3083" spans="1:2">
      <c r="A3083" s="10" t="s">
        <v>3282</v>
      </c>
      <c r="B3083" s="16">
        <v>1039.6500000000001</v>
      </c>
    </row>
    <row r="3084" spans="1:2">
      <c r="A3084" s="10" t="s">
        <v>3283</v>
      </c>
      <c r="B3084" s="16">
        <v>1043.8599999999999</v>
      </c>
    </row>
    <row r="3085" spans="1:2">
      <c r="A3085" s="10" t="s">
        <v>3284</v>
      </c>
      <c r="B3085" s="16">
        <v>1045.1600000000001</v>
      </c>
    </row>
    <row r="3086" spans="1:2">
      <c r="A3086" s="10" t="s">
        <v>3285</v>
      </c>
      <c r="B3086" s="16">
        <v>1036.1199999999999</v>
      </c>
    </row>
    <row r="3087" spans="1:2">
      <c r="A3087" s="10" t="s">
        <v>3286</v>
      </c>
      <c r="B3087" s="16">
        <v>1035.67</v>
      </c>
    </row>
    <row r="3088" spans="1:2">
      <c r="A3088" s="10" t="s">
        <v>3287</v>
      </c>
      <c r="B3088" s="16">
        <v>1025.19</v>
      </c>
    </row>
    <row r="3089" spans="1:2">
      <c r="A3089" s="10" t="s">
        <v>3288</v>
      </c>
      <c r="B3089" s="16">
        <v>1029.32</v>
      </c>
    </row>
    <row r="3090" spans="1:2">
      <c r="A3090" s="10" t="s">
        <v>3289</v>
      </c>
      <c r="B3090" s="16">
        <v>1028.46</v>
      </c>
    </row>
    <row r="3091" spans="1:2">
      <c r="A3091" s="10" t="s">
        <v>3290</v>
      </c>
      <c r="B3091" s="16">
        <v>1025.43</v>
      </c>
    </row>
    <row r="3092" spans="1:2">
      <c r="A3092" s="10" t="s">
        <v>3291</v>
      </c>
      <c r="B3092" s="16">
        <v>1027.68</v>
      </c>
    </row>
    <row r="3093" spans="1:2">
      <c r="A3093" s="10" t="s">
        <v>3292</v>
      </c>
      <c r="B3093" s="16">
        <v>1035.0999999999999</v>
      </c>
    </row>
    <row r="3094" spans="1:2">
      <c r="A3094" s="10" t="s">
        <v>3293</v>
      </c>
      <c r="B3094" s="16">
        <v>1030.4100000000001</v>
      </c>
    </row>
    <row r="3095" spans="1:2">
      <c r="A3095" s="10" t="s">
        <v>3294</v>
      </c>
      <c r="B3095" s="16">
        <v>1023.18</v>
      </c>
    </row>
    <row r="3096" spans="1:2">
      <c r="A3096" s="10" t="s">
        <v>3295</v>
      </c>
      <c r="B3096" s="16">
        <v>1017.64</v>
      </c>
    </row>
    <row r="3097" spans="1:2">
      <c r="A3097" s="10" t="s">
        <v>3296</v>
      </c>
      <c r="B3097" s="16">
        <v>1008.21</v>
      </c>
    </row>
    <row r="3098" spans="1:2">
      <c r="A3098" s="10" t="s">
        <v>3297</v>
      </c>
      <c r="B3098" s="16">
        <v>1006.51</v>
      </c>
    </row>
    <row r="3099" spans="1:2">
      <c r="A3099" s="10" t="s">
        <v>3298</v>
      </c>
      <c r="B3099" s="16">
        <v>994.43</v>
      </c>
    </row>
    <row r="3100" spans="1:2">
      <c r="A3100" s="10" t="s">
        <v>3299</v>
      </c>
      <c r="B3100" s="16">
        <v>1003.14</v>
      </c>
    </row>
    <row r="3101" spans="1:2">
      <c r="A3101" s="10" t="s">
        <v>3300</v>
      </c>
      <c r="B3101" s="16">
        <v>1015.54</v>
      </c>
    </row>
    <row r="3102" spans="1:2">
      <c r="A3102" s="10" t="s">
        <v>3301</v>
      </c>
      <c r="B3102" s="16">
        <v>1016.42</v>
      </c>
    </row>
    <row r="3103" spans="1:2">
      <c r="A3103" s="10" t="s">
        <v>3302</v>
      </c>
      <c r="B3103" s="16">
        <v>1014.44</v>
      </c>
    </row>
    <row r="3104" spans="1:2">
      <c r="A3104" s="10" t="s">
        <v>3303</v>
      </c>
      <c r="B3104" s="16">
        <v>1029.0999999999999</v>
      </c>
    </row>
    <row r="3105" spans="1:2">
      <c r="A3105" s="10" t="s">
        <v>3304</v>
      </c>
      <c r="B3105" s="16">
        <v>1030.28</v>
      </c>
    </row>
    <row r="3106" spans="1:2">
      <c r="A3106" s="10" t="s">
        <v>3305</v>
      </c>
      <c r="B3106" s="16">
        <v>1015.67</v>
      </c>
    </row>
    <row r="3107" spans="1:2">
      <c r="A3107" s="10" t="s">
        <v>3306</v>
      </c>
      <c r="B3107" s="16">
        <v>1011.91</v>
      </c>
    </row>
    <row r="3108" spans="1:2">
      <c r="A3108" s="10" t="s">
        <v>3307</v>
      </c>
      <c r="B3108" s="16">
        <v>1016.3</v>
      </c>
    </row>
    <row r="3109" spans="1:2">
      <c r="A3109" s="10" t="s">
        <v>3308</v>
      </c>
      <c r="B3109" s="16">
        <v>1026.56</v>
      </c>
    </row>
    <row r="3110" spans="1:2">
      <c r="A3110" s="10" t="s">
        <v>3309</v>
      </c>
      <c r="B3110" s="16">
        <v>1036.8</v>
      </c>
    </row>
    <row r="3111" spans="1:2">
      <c r="A3111" s="10" t="s">
        <v>3310</v>
      </c>
      <c r="B3111" s="16">
        <v>1042.17</v>
      </c>
    </row>
    <row r="3112" spans="1:2">
      <c r="A3112" s="10" t="s">
        <v>3311</v>
      </c>
      <c r="B3112" s="16">
        <v>1045.05</v>
      </c>
    </row>
    <row r="3113" spans="1:2">
      <c r="A3113" s="10" t="s">
        <v>3312</v>
      </c>
      <c r="B3113" s="16">
        <v>1045.79</v>
      </c>
    </row>
    <row r="3114" spans="1:2">
      <c r="A3114" s="10" t="s">
        <v>3313</v>
      </c>
      <c r="B3114" s="16">
        <v>1052.95</v>
      </c>
    </row>
    <row r="3115" spans="1:2">
      <c r="A3115" s="10" t="s">
        <v>3314</v>
      </c>
      <c r="B3115" s="16">
        <v>1052.1099999999999</v>
      </c>
    </row>
    <row r="3116" spans="1:2">
      <c r="A3116" s="10" t="s">
        <v>3315</v>
      </c>
      <c r="B3116" s="16">
        <v>1055.47</v>
      </c>
    </row>
    <row r="3117" spans="1:2">
      <c r="A3117" s="10" t="s">
        <v>3316</v>
      </c>
      <c r="B3117" s="16">
        <v>1066.43</v>
      </c>
    </row>
    <row r="3118" spans="1:2">
      <c r="A3118" s="10" t="s">
        <v>3317</v>
      </c>
      <c r="B3118" s="16">
        <v>1064.1500000000001</v>
      </c>
    </row>
    <row r="3119" spans="1:2">
      <c r="A3119" s="10" t="s">
        <v>3318</v>
      </c>
      <c r="B3119" s="16">
        <v>1061.94</v>
      </c>
    </row>
    <row r="3120" spans="1:2">
      <c r="A3120" s="10" t="s">
        <v>3319</v>
      </c>
      <c r="B3120" s="16">
        <v>1067.21</v>
      </c>
    </row>
    <row r="3121" spans="1:2">
      <c r="A3121" s="10" t="s">
        <v>3320</v>
      </c>
      <c r="B3121" s="16">
        <v>1068.75</v>
      </c>
    </row>
    <row r="3122" spans="1:2">
      <c r="A3122" s="10" t="s">
        <v>3321</v>
      </c>
      <c r="B3122" s="16">
        <v>1068.19</v>
      </c>
    </row>
    <row r="3123" spans="1:2">
      <c r="A3123" s="10" t="s">
        <v>3322</v>
      </c>
      <c r="B3123" s="16">
        <v>1070.26</v>
      </c>
    </row>
    <row r="3124" spans="1:2">
      <c r="A3124" s="10" t="s">
        <v>3323</v>
      </c>
      <c r="B3124" s="16">
        <v>1074.3699999999999</v>
      </c>
    </row>
    <row r="3125" spans="1:2">
      <c r="A3125" s="10" t="s">
        <v>3324</v>
      </c>
      <c r="B3125" s="16">
        <v>1077.8699999999999</v>
      </c>
    </row>
    <row r="3126" spans="1:2">
      <c r="A3126" s="10" t="s">
        <v>3325</v>
      </c>
      <c r="B3126" s="16">
        <v>1072.1099999999999</v>
      </c>
    </row>
    <row r="3127" spans="1:2">
      <c r="A3127" s="10" t="s">
        <v>3326</v>
      </c>
      <c r="B3127" s="16">
        <v>1063.94</v>
      </c>
    </row>
    <row r="3128" spans="1:2">
      <c r="A3128" s="10" t="s">
        <v>3327</v>
      </c>
      <c r="B3128" s="16">
        <v>1066.17</v>
      </c>
    </row>
    <row r="3129" spans="1:2">
      <c r="A3129" s="10" t="s">
        <v>3328</v>
      </c>
      <c r="B3129" s="16">
        <v>1071.4000000000001</v>
      </c>
    </row>
    <row r="3130" spans="1:2">
      <c r="A3130" s="10" t="s">
        <v>3329</v>
      </c>
      <c r="B3130" s="16">
        <v>1068.56</v>
      </c>
    </row>
    <row r="3131" spans="1:2">
      <c r="A3131" s="10" t="s">
        <v>3330</v>
      </c>
      <c r="B3131" s="16">
        <v>1088.71</v>
      </c>
    </row>
    <row r="3132" spans="1:2">
      <c r="A3132" s="10" t="s">
        <v>3331</v>
      </c>
      <c r="B3132" s="16">
        <v>1090.04</v>
      </c>
    </row>
    <row r="3133" spans="1:2">
      <c r="A3133" s="10" t="s">
        <v>3332</v>
      </c>
      <c r="B3133" s="16">
        <v>1093.3399999999999</v>
      </c>
    </row>
    <row r="3134" spans="1:2">
      <c r="A3134" s="10" t="s">
        <v>3333</v>
      </c>
      <c r="B3134" s="16">
        <v>1094.06</v>
      </c>
    </row>
    <row r="3135" spans="1:2">
      <c r="A3135" s="10" t="s">
        <v>3334</v>
      </c>
      <c r="B3135" s="16">
        <v>1094.8</v>
      </c>
    </row>
    <row r="3136" spans="1:2">
      <c r="A3136" s="10" t="s">
        <v>3335</v>
      </c>
      <c r="B3136" s="16">
        <v>1104.94</v>
      </c>
    </row>
    <row r="3137" spans="1:2">
      <c r="A3137" s="10" t="s">
        <v>3336</v>
      </c>
      <c r="B3137" s="16">
        <v>1106.51</v>
      </c>
    </row>
    <row r="3138" spans="1:2">
      <c r="A3138" s="10" t="s">
        <v>3337</v>
      </c>
      <c r="B3138" s="16">
        <v>1104.3499999999999</v>
      </c>
    </row>
    <row r="3139" spans="1:2">
      <c r="A3139" s="10" t="s">
        <v>3338</v>
      </c>
      <c r="B3139" s="16">
        <v>1112.29</v>
      </c>
    </row>
    <row r="3140" spans="1:2">
      <c r="A3140" s="10" t="s">
        <v>3339</v>
      </c>
      <c r="B3140" s="16">
        <v>1118.1099999999999</v>
      </c>
    </row>
    <row r="3141" spans="1:2">
      <c r="A3141" s="10" t="s">
        <v>3340</v>
      </c>
      <c r="B3141" s="16">
        <v>1115.0999999999999</v>
      </c>
    </row>
    <row r="3142" spans="1:2">
      <c r="A3142" s="10" t="s">
        <v>3341</v>
      </c>
      <c r="B3142" s="16">
        <v>1107.6400000000001</v>
      </c>
    </row>
    <row r="3143" spans="1:2">
      <c r="A3143" s="10" t="s">
        <v>3342</v>
      </c>
      <c r="B3143" s="16">
        <v>1099.03</v>
      </c>
    </row>
    <row r="3144" spans="1:2">
      <c r="A3144" s="10" t="s">
        <v>3343</v>
      </c>
      <c r="B3144" s="16">
        <v>1106.75</v>
      </c>
    </row>
    <row r="3145" spans="1:2">
      <c r="A3145" s="10" t="s">
        <v>3344</v>
      </c>
      <c r="B3145" s="16">
        <v>1106.55</v>
      </c>
    </row>
    <row r="3146" spans="1:2">
      <c r="A3146" s="10" t="s">
        <v>3345</v>
      </c>
      <c r="B3146" s="16">
        <v>1100.77</v>
      </c>
    </row>
    <row r="3147" spans="1:2">
      <c r="A3147" s="10" t="s">
        <v>3346</v>
      </c>
      <c r="B3147" s="16">
        <v>1098.33</v>
      </c>
    </row>
    <row r="3148" spans="1:2">
      <c r="A3148" s="10" t="s">
        <v>3347</v>
      </c>
      <c r="B3148" s="16">
        <v>1106.24</v>
      </c>
    </row>
    <row r="3149" spans="1:2">
      <c r="A3149" s="10" t="s">
        <v>3348</v>
      </c>
      <c r="B3149" s="16">
        <v>1106.6199999999999</v>
      </c>
    </row>
    <row r="3150" spans="1:2">
      <c r="A3150" s="10" t="s">
        <v>3349</v>
      </c>
      <c r="B3150" s="16">
        <v>1117.46</v>
      </c>
    </row>
    <row r="3151" spans="1:2">
      <c r="A3151" s="10" t="s">
        <v>3350</v>
      </c>
      <c r="B3151" s="16">
        <v>1119.54</v>
      </c>
    </row>
    <row r="3152" spans="1:2">
      <c r="A3152" s="10" t="s">
        <v>3351</v>
      </c>
      <c r="B3152" s="16">
        <v>1121.94</v>
      </c>
    </row>
    <row r="3153" spans="1:2">
      <c r="A3153" s="10" t="s">
        <v>3352</v>
      </c>
      <c r="B3153" s="16">
        <v>1119.26</v>
      </c>
    </row>
    <row r="3154" spans="1:2">
      <c r="A3154" s="10" t="s">
        <v>3353</v>
      </c>
      <c r="B3154" s="16">
        <v>1132.43</v>
      </c>
    </row>
    <row r="3155" spans="1:2">
      <c r="A3155" s="10" t="s">
        <v>3354</v>
      </c>
      <c r="B3155" s="16">
        <v>1116.83</v>
      </c>
    </row>
    <row r="3156" spans="1:2">
      <c r="A3156" s="10" t="s">
        <v>3355</v>
      </c>
      <c r="B3156" s="16">
        <v>1124.04</v>
      </c>
    </row>
    <row r="3157" spans="1:2">
      <c r="A3157" s="10" t="s">
        <v>3356</v>
      </c>
      <c r="B3157" s="16">
        <v>1118.3399999999999</v>
      </c>
    </row>
    <row r="3158" spans="1:2">
      <c r="A3158" s="10" t="s">
        <v>3357</v>
      </c>
      <c r="B3158" s="16">
        <v>1117.8599999999999</v>
      </c>
    </row>
    <row r="3159" spans="1:2">
      <c r="A3159" s="10" t="s">
        <v>3358</v>
      </c>
      <c r="B3159" s="16">
        <v>1090.95</v>
      </c>
    </row>
    <row r="3160" spans="1:2">
      <c r="A3160" s="10" t="s">
        <v>3359</v>
      </c>
      <c r="B3160" s="16">
        <v>1087.3699999999999</v>
      </c>
    </row>
    <row r="3161" spans="1:2">
      <c r="A3161" s="10" t="s">
        <v>3360</v>
      </c>
      <c r="B3161" s="16">
        <v>1078.05</v>
      </c>
    </row>
    <row r="3162" spans="1:2">
      <c r="A3162" s="10" t="s">
        <v>3361</v>
      </c>
      <c r="B3162" s="16">
        <v>1097.21</v>
      </c>
    </row>
    <row r="3163" spans="1:2">
      <c r="A3163" s="10" t="s">
        <v>3362</v>
      </c>
      <c r="B3163" s="16">
        <v>1099.02</v>
      </c>
    </row>
    <row r="3164" spans="1:2">
      <c r="A3164" s="10" t="s">
        <v>3363</v>
      </c>
      <c r="B3164" s="16">
        <v>1073.04</v>
      </c>
    </row>
    <row r="3165" spans="1:2">
      <c r="A3165" s="10" t="s">
        <v>3364</v>
      </c>
      <c r="B3165" s="16">
        <v>1062.45</v>
      </c>
    </row>
    <row r="3166" spans="1:2">
      <c r="A3166" s="10" t="s">
        <v>3365</v>
      </c>
      <c r="B3166" s="16">
        <v>1073.8499999999999</v>
      </c>
    </row>
    <row r="3167" spans="1:2">
      <c r="A3167" s="10" t="s">
        <v>3366</v>
      </c>
      <c r="B3167" s="16">
        <v>1072.0899999999999</v>
      </c>
    </row>
    <row r="3168" spans="1:2">
      <c r="A3168" s="10" t="s">
        <v>3367</v>
      </c>
      <c r="B3168" s="16">
        <v>1063.23</v>
      </c>
    </row>
    <row r="3169" spans="1:2">
      <c r="A3169" s="10" t="s">
        <v>3368</v>
      </c>
      <c r="B3169" s="16">
        <v>1084.3699999999999</v>
      </c>
    </row>
    <row r="3170" spans="1:2">
      <c r="A3170" s="10" t="s">
        <v>3369</v>
      </c>
      <c r="B3170" s="16">
        <v>1058.96</v>
      </c>
    </row>
    <row r="3171" spans="1:2">
      <c r="A3171" s="10" t="s">
        <v>3370</v>
      </c>
      <c r="B3171" s="16">
        <v>1023.17</v>
      </c>
    </row>
    <row r="3172" spans="1:2">
      <c r="A3172" s="10" t="s">
        <v>3371</v>
      </c>
      <c r="B3172" s="16">
        <v>995.31</v>
      </c>
    </row>
    <row r="3173" spans="1:2">
      <c r="A3173" s="10" t="s">
        <v>3372</v>
      </c>
      <c r="B3173" s="16">
        <v>1006.3</v>
      </c>
    </row>
    <row r="3174" spans="1:2">
      <c r="A3174" s="10" t="s">
        <v>3373</v>
      </c>
      <c r="B3174" s="16">
        <v>1006.9</v>
      </c>
    </row>
    <row r="3175" spans="1:2">
      <c r="A3175" s="10" t="s">
        <v>3374</v>
      </c>
      <c r="B3175" s="16">
        <v>1024.8399999999999</v>
      </c>
    </row>
    <row r="3176" spans="1:2">
      <c r="A3176" s="10" t="s">
        <v>3375</v>
      </c>
      <c r="B3176" s="16">
        <v>1026.33</v>
      </c>
    </row>
    <row r="3177" spans="1:2">
      <c r="A3177" s="10" t="s">
        <v>3376</v>
      </c>
      <c r="B3177" s="16">
        <v>1028.47</v>
      </c>
    </row>
    <row r="3178" spans="1:2">
      <c r="A3178" s="10" t="s">
        <v>3377</v>
      </c>
      <c r="B3178" s="16">
        <v>1044.1600000000001</v>
      </c>
    </row>
    <row r="3179" spans="1:2">
      <c r="A3179" s="10" t="s">
        <v>3378</v>
      </c>
      <c r="B3179" s="16">
        <v>1047.1099999999999</v>
      </c>
    </row>
    <row r="3180" spans="1:2">
      <c r="A3180" s="10" t="s">
        <v>3379</v>
      </c>
      <c r="B3180" s="16">
        <v>1070.77</v>
      </c>
    </row>
    <row r="3181" spans="1:2">
      <c r="A3181" s="10" t="s">
        <v>3380</v>
      </c>
      <c r="B3181" s="16">
        <v>1074.8900000000001</v>
      </c>
    </row>
    <row r="3182" spans="1:2">
      <c r="A3182" s="10" t="s">
        <v>3381</v>
      </c>
      <c r="B3182" s="16">
        <v>1081.8800000000001</v>
      </c>
    </row>
    <row r="3183" spans="1:2">
      <c r="A3183" s="10" t="s">
        <v>3382</v>
      </c>
      <c r="B3183" s="16">
        <v>1076.1099999999999</v>
      </c>
    </row>
    <row r="3184" spans="1:2">
      <c r="A3184" s="10" t="s">
        <v>3383</v>
      </c>
      <c r="B3184" s="16">
        <v>1080.6400000000001</v>
      </c>
    </row>
    <row r="3185" spans="1:2">
      <c r="A3185" s="10" t="s">
        <v>3384</v>
      </c>
      <c r="B3185" s="16">
        <v>1071.48</v>
      </c>
    </row>
    <row r="3186" spans="1:2">
      <c r="A3186" s="10" t="s">
        <v>3385</v>
      </c>
      <c r="B3186" s="16">
        <v>1080</v>
      </c>
    </row>
    <row r="3187" spans="1:2">
      <c r="A3187" s="10" t="s">
        <v>3386</v>
      </c>
      <c r="B3187" s="16">
        <v>1072</v>
      </c>
    </row>
    <row r="3188" spans="1:2">
      <c r="A3188" s="10" t="s">
        <v>3387</v>
      </c>
      <c r="B3188" s="16">
        <v>1075.58</v>
      </c>
    </row>
    <row r="3189" spans="1:2">
      <c r="A3189" s="10" t="s">
        <v>3388</v>
      </c>
      <c r="B3189" s="16">
        <v>1074.1400000000001</v>
      </c>
    </row>
    <row r="3190" spans="1:2">
      <c r="A3190" s="10" t="s">
        <v>3389</v>
      </c>
      <c r="B3190" s="16">
        <v>1076.76</v>
      </c>
    </row>
    <row r="3191" spans="1:2">
      <c r="A3191" s="10" t="s">
        <v>3390</v>
      </c>
      <c r="B3191" s="16">
        <v>1085.04</v>
      </c>
    </row>
    <row r="3192" spans="1:2">
      <c r="A3192" s="10" t="s">
        <v>3391</v>
      </c>
      <c r="B3192" s="16">
        <v>1061.3800000000001</v>
      </c>
    </row>
    <row r="3193" spans="1:2">
      <c r="A3193" s="10" t="s">
        <v>3392</v>
      </c>
      <c r="B3193" s="16">
        <v>1053.3399999999999</v>
      </c>
    </row>
    <row r="3194" spans="1:2">
      <c r="A3194" s="10" t="s">
        <v>3393</v>
      </c>
      <c r="B3194" s="16">
        <v>1051.3599999999999</v>
      </c>
    </row>
    <row r="3195" spans="1:2">
      <c r="A3195" s="10" t="s">
        <v>3394</v>
      </c>
      <c r="B3195" s="16">
        <v>1026.77</v>
      </c>
    </row>
    <row r="3196" spans="1:2">
      <c r="A3196" s="10" t="s">
        <v>3395</v>
      </c>
      <c r="B3196" s="16">
        <v>1043.73</v>
      </c>
    </row>
    <row r="3197" spans="1:2">
      <c r="A3197" s="10" t="s">
        <v>3396</v>
      </c>
      <c r="B3197" s="16">
        <v>1048.58</v>
      </c>
    </row>
    <row r="3198" spans="1:2">
      <c r="A3198" s="10" t="s">
        <v>3397</v>
      </c>
      <c r="B3198" s="16">
        <v>1064.33</v>
      </c>
    </row>
    <row r="3199" spans="1:2">
      <c r="A3199" s="10" t="s">
        <v>3398</v>
      </c>
      <c r="B3199" s="16">
        <v>1072.71</v>
      </c>
    </row>
    <row r="3200" spans="1:2">
      <c r="A3200" s="10" t="s">
        <v>3399</v>
      </c>
      <c r="B3200" s="16">
        <v>1076.5899999999999</v>
      </c>
    </row>
    <row r="3201" spans="1:2">
      <c r="A3201" s="10" t="s">
        <v>3400</v>
      </c>
      <c r="B3201" s="16">
        <v>1072.96</v>
      </c>
    </row>
    <row r="3202" spans="1:2">
      <c r="A3202" s="10" t="s">
        <v>3401</v>
      </c>
      <c r="B3202" s="16">
        <v>1074.96</v>
      </c>
    </row>
    <row r="3203" spans="1:2">
      <c r="A3203" s="10" t="s">
        <v>3402</v>
      </c>
      <c r="B3203" s="16">
        <v>1068.05</v>
      </c>
    </row>
    <row r="3204" spans="1:2">
      <c r="A3204" s="10" t="s">
        <v>3403</v>
      </c>
      <c r="B3204" s="16">
        <v>1088.79</v>
      </c>
    </row>
    <row r="3205" spans="1:2">
      <c r="A3205" s="10" t="s">
        <v>3404</v>
      </c>
      <c r="B3205" s="16">
        <v>1077.96</v>
      </c>
    </row>
    <row r="3206" spans="1:2">
      <c r="A3206" s="10" t="s">
        <v>3405</v>
      </c>
      <c r="B3206" s="16">
        <v>1080.01</v>
      </c>
    </row>
    <row r="3207" spans="1:2">
      <c r="A3207" s="10" t="s">
        <v>3406</v>
      </c>
      <c r="B3207" s="16">
        <v>1085.01</v>
      </c>
    </row>
    <row r="3208" spans="1:2">
      <c r="A3208" s="10" t="s">
        <v>3407</v>
      </c>
      <c r="B3208" s="16">
        <v>1085.78</v>
      </c>
    </row>
    <row r="3209" spans="1:2">
      <c r="A3209" s="10" t="s">
        <v>3408</v>
      </c>
      <c r="B3209" s="16">
        <v>1099.47</v>
      </c>
    </row>
    <row r="3210" spans="1:2">
      <c r="A3210" s="10" t="s">
        <v>3409</v>
      </c>
      <c r="B3210" s="16">
        <v>1096.18</v>
      </c>
    </row>
    <row r="3211" spans="1:2">
      <c r="A3211" s="10" t="s">
        <v>3410</v>
      </c>
      <c r="B3211" s="16">
        <v>1093.3</v>
      </c>
    </row>
    <row r="3212" spans="1:2">
      <c r="A3212" s="10" t="s">
        <v>3411</v>
      </c>
      <c r="B3212" s="16">
        <v>1082.81</v>
      </c>
    </row>
    <row r="3213" spans="1:2">
      <c r="A3213" s="10" t="s">
        <v>3412</v>
      </c>
      <c r="B3213" s="16">
        <v>1085.52</v>
      </c>
    </row>
    <row r="3214" spans="1:2">
      <c r="A3214" s="10" t="s">
        <v>3413</v>
      </c>
      <c r="B3214" s="16">
        <v>1082.94</v>
      </c>
    </row>
    <row r="3215" spans="1:2">
      <c r="A3215" s="10" t="s">
        <v>3414</v>
      </c>
      <c r="B3215" s="16">
        <v>1095.0899999999999</v>
      </c>
    </row>
    <row r="3216" spans="1:2">
      <c r="A3216" s="10" t="s">
        <v>3415</v>
      </c>
      <c r="B3216" s="16">
        <v>1091.51</v>
      </c>
    </row>
    <row r="3217" spans="1:2">
      <c r="A3217" s="10" t="s">
        <v>3416</v>
      </c>
      <c r="B3217" s="16">
        <v>1100.8599999999999</v>
      </c>
    </row>
    <row r="3218" spans="1:2">
      <c r="A3218" s="10" t="s">
        <v>3417</v>
      </c>
      <c r="B3218" s="16">
        <v>1110.1099999999999</v>
      </c>
    </row>
    <row r="3219" spans="1:2">
      <c r="A3219" s="10" t="s">
        <v>3418</v>
      </c>
      <c r="B3219" s="16">
        <v>1110.5999999999999</v>
      </c>
    </row>
    <row r="3220" spans="1:2">
      <c r="A3220" s="10" t="s">
        <v>3419</v>
      </c>
      <c r="B3220" s="16">
        <v>1113.83</v>
      </c>
    </row>
    <row r="3221" spans="1:2">
      <c r="A3221" s="10" t="s">
        <v>3420</v>
      </c>
      <c r="B3221" s="16">
        <v>1126.45</v>
      </c>
    </row>
    <row r="3222" spans="1:2">
      <c r="A3222" s="10" t="s">
        <v>3421</v>
      </c>
      <c r="B3222" s="16">
        <v>1104.99</v>
      </c>
    </row>
    <row r="3223" spans="1:2">
      <c r="A3223" s="10" t="s">
        <v>3422</v>
      </c>
      <c r="B3223" s="16">
        <v>1107.6400000000001</v>
      </c>
    </row>
    <row r="3224" spans="1:2">
      <c r="A3224" s="10" t="s">
        <v>3423</v>
      </c>
      <c r="B3224" s="16">
        <v>1115.46</v>
      </c>
    </row>
    <row r="3225" spans="1:2">
      <c r="A3225" s="10" t="s">
        <v>3424</v>
      </c>
      <c r="B3225" s="16">
        <v>1119.95</v>
      </c>
    </row>
    <row r="3226" spans="1:2">
      <c r="A3226" s="10" t="s">
        <v>3425</v>
      </c>
      <c r="B3226" s="16">
        <v>1117.5999999999999</v>
      </c>
    </row>
    <row r="3227" spans="1:2">
      <c r="A3227" s="10" t="s">
        <v>3426</v>
      </c>
      <c r="B3227" s="16">
        <v>1117.54</v>
      </c>
    </row>
    <row r="3228" spans="1:2">
      <c r="A3228" s="10" t="s">
        <v>3427</v>
      </c>
      <c r="B3228" s="16">
        <v>1110.33</v>
      </c>
    </row>
    <row r="3229" spans="1:2">
      <c r="A3229" s="10" t="s">
        <v>3428</v>
      </c>
      <c r="B3229" s="16">
        <v>1113.3399999999999</v>
      </c>
    </row>
    <row r="3230" spans="1:2">
      <c r="A3230" s="10" t="s">
        <v>3429</v>
      </c>
      <c r="B3230" s="16">
        <v>1113.05</v>
      </c>
    </row>
    <row r="3231" spans="1:2">
      <c r="A3231" s="10" t="s">
        <v>3430</v>
      </c>
      <c r="B3231" s="16">
        <v>1114.6300000000001</v>
      </c>
    </row>
    <row r="3232" spans="1:2">
      <c r="A3232" s="10" t="s">
        <v>3431</v>
      </c>
      <c r="B3232" s="16">
        <v>1116.0899999999999</v>
      </c>
    </row>
    <row r="3233" spans="1:2">
      <c r="A3233" s="10" t="s">
        <v>3432</v>
      </c>
      <c r="B3233" s="16">
        <v>1102.67</v>
      </c>
    </row>
    <row r="3234" spans="1:2">
      <c r="A3234" s="10" t="s">
        <v>3433</v>
      </c>
      <c r="B3234" s="16">
        <v>1079.56</v>
      </c>
    </row>
    <row r="3235" spans="1:2">
      <c r="A3235" s="10" t="s">
        <v>3434</v>
      </c>
      <c r="B3235" s="16">
        <v>1089.82</v>
      </c>
    </row>
    <row r="3236" spans="1:2">
      <c r="A3236" s="10" t="s">
        <v>3435</v>
      </c>
      <c r="B3236" s="16">
        <v>1082.25</v>
      </c>
    </row>
    <row r="3237" spans="1:2">
      <c r="A3237" s="10" t="s">
        <v>3436</v>
      </c>
      <c r="B3237" s="16">
        <v>1092.78</v>
      </c>
    </row>
    <row r="3238" spans="1:2">
      <c r="A3238" s="10" t="s">
        <v>3437</v>
      </c>
      <c r="B3238" s="16">
        <v>1115.69</v>
      </c>
    </row>
    <row r="3239" spans="1:2">
      <c r="A3239" s="10" t="s">
        <v>3438</v>
      </c>
      <c r="B3239" s="16">
        <v>1117.6400000000001</v>
      </c>
    </row>
    <row r="3240" spans="1:2">
      <c r="A3240" s="10" t="s">
        <v>3439</v>
      </c>
      <c r="B3240" s="16">
        <v>1120.03</v>
      </c>
    </row>
    <row r="3241" spans="1:2">
      <c r="A3241" s="10" t="s">
        <v>3440</v>
      </c>
      <c r="B3241" s="16">
        <v>1129.5</v>
      </c>
    </row>
    <row r="3242" spans="1:2">
      <c r="A3242" s="10" t="s">
        <v>3441</v>
      </c>
      <c r="B3242" s="16">
        <v>1121.55</v>
      </c>
    </row>
    <row r="3243" spans="1:2">
      <c r="A3243" s="10" t="s">
        <v>3442</v>
      </c>
      <c r="B3243" s="16">
        <v>1120.52</v>
      </c>
    </row>
    <row r="3244" spans="1:2">
      <c r="A3244" s="10" t="s">
        <v>3443</v>
      </c>
      <c r="B3244" s="16">
        <v>1128.01</v>
      </c>
    </row>
    <row r="3245" spans="1:2">
      <c r="A3245" s="10" t="s">
        <v>3444</v>
      </c>
      <c r="B3245" s="16">
        <v>1114.3800000000001</v>
      </c>
    </row>
    <row r="3246" spans="1:2">
      <c r="A3246" s="10" t="s">
        <v>3445</v>
      </c>
      <c r="B3246" s="16">
        <v>1113.17</v>
      </c>
    </row>
    <row r="3247" spans="1:2">
      <c r="A3247" s="10" t="s">
        <v>3446</v>
      </c>
      <c r="B3247" s="16">
        <v>1114.3399999999999</v>
      </c>
    </row>
    <row r="3248" spans="1:2">
      <c r="A3248" s="10" t="s">
        <v>3447</v>
      </c>
      <c r="B3248" s="16">
        <v>1113.08</v>
      </c>
    </row>
    <row r="3249" spans="1:2">
      <c r="A3249" s="10" t="s">
        <v>3448</v>
      </c>
      <c r="B3249" s="16">
        <v>1121.29</v>
      </c>
    </row>
    <row r="3250" spans="1:2">
      <c r="A3250" s="10" t="s">
        <v>3449</v>
      </c>
      <c r="B3250" s="16">
        <v>1130.31</v>
      </c>
    </row>
    <row r="3251" spans="1:2">
      <c r="A3251" s="10" t="s">
        <v>3450</v>
      </c>
      <c r="B3251" s="16">
        <v>1123.72</v>
      </c>
    </row>
    <row r="3252" spans="1:2">
      <c r="A3252" s="10" t="s">
        <v>3451</v>
      </c>
      <c r="B3252" s="16">
        <v>1123.6600000000001</v>
      </c>
    </row>
    <row r="3253" spans="1:2">
      <c r="A3253" s="10" t="s">
        <v>3452</v>
      </c>
      <c r="B3253" s="16">
        <v>1111.0899999999999</v>
      </c>
    </row>
    <row r="3254" spans="1:2">
      <c r="A3254" s="10" t="s">
        <v>3453</v>
      </c>
      <c r="B3254" s="16">
        <v>1124.23</v>
      </c>
    </row>
    <row r="3255" spans="1:2">
      <c r="A3255" s="10" t="s">
        <v>3454</v>
      </c>
      <c r="B3255" s="16">
        <v>1136.3900000000001</v>
      </c>
    </row>
    <row r="3256" spans="1:2">
      <c r="A3256" s="10" t="s">
        <v>3455</v>
      </c>
      <c r="B3256" s="16">
        <v>1136.06</v>
      </c>
    </row>
    <row r="3257" spans="1:2">
      <c r="A3257" s="10" t="s">
        <v>3456</v>
      </c>
      <c r="B3257" s="16">
        <v>1144.68</v>
      </c>
    </row>
    <row r="3258" spans="1:2">
      <c r="A3258" s="10" t="s">
        <v>3457</v>
      </c>
      <c r="B3258" s="16">
        <v>1147.98</v>
      </c>
    </row>
    <row r="3259" spans="1:2">
      <c r="A3259" s="10" t="s">
        <v>3458</v>
      </c>
      <c r="B3259" s="16">
        <v>1152.53</v>
      </c>
    </row>
    <row r="3260" spans="1:2">
      <c r="A3260" s="10" t="s">
        <v>3459</v>
      </c>
      <c r="B3260" s="16">
        <v>1145.01</v>
      </c>
    </row>
    <row r="3261" spans="1:2">
      <c r="A3261" s="10" t="s">
        <v>3460</v>
      </c>
      <c r="B3261" s="16">
        <v>1140.7</v>
      </c>
    </row>
    <row r="3262" spans="1:2">
      <c r="A3262" s="10" t="s">
        <v>3461</v>
      </c>
      <c r="B3262" s="16">
        <v>1153.42</v>
      </c>
    </row>
    <row r="3263" spans="1:2">
      <c r="A3263" s="10" t="s">
        <v>3462</v>
      </c>
      <c r="B3263" s="16">
        <v>1148.22</v>
      </c>
    </row>
    <row r="3264" spans="1:2">
      <c r="A3264" s="10" t="s">
        <v>3463</v>
      </c>
      <c r="B3264" s="16">
        <v>1153.08</v>
      </c>
    </row>
    <row r="3265" spans="1:2">
      <c r="A3265" s="10" t="s">
        <v>3464</v>
      </c>
      <c r="B3265" s="16">
        <v>1155.8599999999999</v>
      </c>
    </row>
    <row r="3266" spans="1:2">
      <c r="A3266" s="10" t="s">
        <v>3465</v>
      </c>
      <c r="B3266" s="16">
        <v>1154.78</v>
      </c>
    </row>
    <row r="3267" spans="1:2">
      <c r="A3267" s="10" t="s">
        <v>3466</v>
      </c>
      <c r="B3267" s="16">
        <v>1137.3900000000001</v>
      </c>
    </row>
    <row r="3268" spans="1:2">
      <c r="A3268" s="10" t="s">
        <v>3467</v>
      </c>
      <c r="B3268" s="16">
        <v>1134.75</v>
      </c>
    </row>
    <row r="3269" spans="1:2">
      <c r="A3269" s="10" t="s">
        <v>3468</v>
      </c>
      <c r="B3269" s="16">
        <v>1136.8800000000001</v>
      </c>
    </row>
    <row r="3270" spans="1:2">
      <c r="A3270" s="10" t="s">
        <v>3469</v>
      </c>
      <c r="B3270" s="16">
        <v>1145.48</v>
      </c>
    </row>
    <row r="3271" spans="1:2">
      <c r="A3271" s="10" t="s">
        <v>3470</v>
      </c>
      <c r="B3271" s="16">
        <v>1154.95</v>
      </c>
    </row>
    <row r="3272" spans="1:2">
      <c r="A3272" s="10" t="s">
        <v>3471</v>
      </c>
      <c r="B3272" s="16">
        <v>1146.5899999999999</v>
      </c>
    </row>
    <row r="3273" spans="1:2">
      <c r="A3273" s="10" t="s">
        <v>3472</v>
      </c>
      <c r="B3273" s="16">
        <v>1139.02</v>
      </c>
    </row>
    <row r="3274" spans="1:2">
      <c r="A3274" s="10" t="s">
        <v>3473</v>
      </c>
      <c r="B3274" s="16">
        <v>1137.68</v>
      </c>
    </row>
    <row r="3275" spans="1:2">
      <c r="A3275" s="10" t="s">
        <v>3474</v>
      </c>
      <c r="B3275" s="16">
        <v>1144.0999999999999</v>
      </c>
    </row>
    <row r="3276" spans="1:2">
      <c r="A3276" s="10" t="s">
        <v>3475</v>
      </c>
      <c r="B3276" s="16">
        <v>1153.3599999999999</v>
      </c>
    </row>
    <row r="3277" spans="1:2">
      <c r="A3277" s="10" t="s">
        <v>3476</v>
      </c>
      <c r="B3277" s="16">
        <v>1166.97</v>
      </c>
    </row>
    <row r="3278" spans="1:2">
      <c r="A3278" s="10" t="s">
        <v>3477</v>
      </c>
      <c r="B3278" s="16">
        <v>1156.9100000000001</v>
      </c>
    </row>
    <row r="3279" spans="1:2">
      <c r="A3279" s="10" t="s">
        <v>3478</v>
      </c>
      <c r="B3279" s="16">
        <v>1159.6199999999999</v>
      </c>
    </row>
    <row r="3280" spans="1:2">
      <c r="A3280" s="10" t="s">
        <v>3479</v>
      </c>
      <c r="B3280" s="16">
        <v>1148.74</v>
      </c>
    </row>
    <row r="3281" spans="1:2">
      <c r="A3281" s="10" t="s">
        <v>3480</v>
      </c>
      <c r="B3281" s="16">
        <v>1149.23</v>
      </c>
    </row>
    <row r="3282" spans="1:2">
      <c r="A3282" s="10" t="s">
        <v>3481</v>
      </c>
      <c r="B3282" s="16">
        <v>1146.1500000000001</v>
      </c>
    </row>
    <row r="3283" spans="1:2">
      <c r="A3283" s="10" t="s">
        <v>3482</v>
      </c>
      <c r="B3283" s="16">
        <v>1167.3800000000001</v>
      </c>
    </row>
    <row r="3284" spans="1:2">
      <c r="A3284" s="10" t="s">
        <v>3483</v>
      </c>
      <c r="B3284" s="16">
        <v>1172.5</v>
      </c>
    </row>
    <row r="3285" spans="1:2">
      <c r="A3285" s="10" t="s">
        <v>3484</v>
      </c>
      <c r="B3285" s="16">
        <v>1185.51</v>
      </c>
    </row>
    <row r="3286" spans="1:2">
      <c r="A3286" s="10" t="s">
        <v>3485</v>
      </c>
      <c r="B3286" s="16">
        <v>1189.43</v>
      </c>
    </row>
    <row r="3287" spans="1:2">
      <c r="A3287" s="10" t="s">
        <v>3486</v>
      </c>
      <c r="B3287" s="16">
        <v>1201.4000000000001</v>
      </c>
    </row>
    <row r="3288" spans="1:2">
      <c r="A3288" s="10" t="s">
        <v>3487</v>
      </c>
      <c r="B3288" s="16">
        <v>1207.77</v>
      </c>
    </row>
    <row r="3289" spans="1:2">
      <c r="A3289" s="10" t="s">
        <v>3488</v>
      </c>
      <c r="B3289" s="16">
        <v>1192.8699999999999</v>
      </c>
    </row>
    <row r="3290" spans="1:2">
      <c r="A3290" s="10" t="s">
        <v>3489</v>
      </c>
      <c r="B3290" s="16">
        <v>1154.6300000000001</v>
      </c>
    </row>
    <row r="3291" spans="1:2">
      <c r="A3291" s="10" t="s">
        <v>3490</v>
      </c>
      <c r="B3291" s="16">
        <v>1172.3699999999999</v>
      </c>
    </row>
    <row r="3292" spans="1:2">
      <c r="A3292" s="10" t="s">
        <v>3491</v>
      </c>
      <c r="B3292" s="16">
        <v>1172.22</v>
      </c>
    </row>
    <row r="3293" spans="1:2">
      <c r="A3293" s="10" t="s">
        <v>3492</v>
      </c>
      <c r="B3293" s="16">
        <v>1177.79</v>
      </c>
    </row>
    <row r="3294" spans="1:2">
      <c r="A3294" s="10" t="s">
        <v>3493</v>
      </c>
      <c r="B3294" s="16">
        <v>1176.73</v>
      </c>
    </row>
    <row r="3295" spans="1:2">
      <c r="A3295" s="10" t="s">
        <v>3494</v>
      </c>
      <c r="B3295" s="16">
        <v>1167.9000000000001</v>
      </c>
    </row>
    <row r="3296" spans="1:2">
      <c r="A3296" s="10" t="s">
        <v>3495</v>
      </c>
      <c r="B3296" s="16">
        <v>1170.06</v>
      </c>
    </row>
    <row r="3297" spans="1:2">
      <c r="A3297" s="10" t="s">
        <v>3496</v>
      </c>
      <c r="B3297" s="16">
        <v>1177.49</v>
      </c>
    </row>
    <row r="3298" spans="1:2">
      <c r="A3298" s="10" t="s">
        <v>3497</v>
      </c>
      <c r="B3298" s="16">
        <v>1192.9100000000001</v>
      </c>
    </row>
    <row r="3299" spans="1:2">
      <c r="A3299" s="10" t="s">
        <v>3498</v>
      </c>
      <c r="B3299" s="16">
        <v>1186.95</v>
      </c>
    </row>
    <row r="3300" spans="1:2">
      <c r="A3300" s="10" t="s">
        <v>3499</v>
      </c>
      <c r="B3300" s="16">
        <v>1198.1300000000001</v>
      </c>
    </row>
    <row r="3301" spans="1:2">
      <c r="A3301" s="10" t="s">
        <v>3500</v>
      </c>
      <c r="B3301" s="16">
        <v>1198.1600000000001</v>
      </c>
    </row>
    <row r="3302" spans="1:2">
      <c r="A3302" s="10" t="s">
        <v>3501</v>
      </c>
      <c r="B3302" s="16">
        <v>1194.68</v>
      </c>
    </row>
    <row r="3303" spans="1:2">
      <c r="A3303" s="10" t="s">
        <v>3502</v>
      </c>
      <c r="B3303" s="16">
        <v>1206.6500000000001</v>
      </c>
    </row>
    <row r="3304" spans="1:2">
      <c r="A3304" s="10" t="s">
        <v>3503</v>
      </c>
      <c r="B3304" s="16">
        <v>1202.21</v>
      </c>
    </row>
    <row r="3305" spans="1:2">
      <c r="A3305" s="10" t="s">
        <v>3504</v>
      </c>
      <c r="B3305" s="16">
        <v>1211.99</v>
      </c>
    </row>
    <row r="3306" spans="1:2">
      <c r="A3306" s="10" t="s">
        <v>3505</v>
      </c>
      <c r="B3306" s="16">
        <v>1210.75</v>
      </c>
    </row>
    <row r="3307" spans="1:2">
      <c r="A3307" s="10" t="s">
        <v>3506</v>
      </c>
      <c r="B3307" s="16">
        <v>1205.5</v>
      </c>
    </row>
    <row r="3308" spans="1:2">
      <c r="A3308" s="10" t="s">
        <v>3507</v>
      </c>
      <c r="B3308" s="16">
        <v>1194.4000000000001</v>
      </c>
    </row>
    <row r="3309" spans="1:2">
      <c r="A3309" s="10" t="s">
        <v>3508</v>
      </c>
      <c r="B3309" s="16">
        <v>1183.3</v>
      </c>
    </row>
    <row r="3310" spans="1:2">
      <c r="A3310" s="10" t="s">
        <v>3509</v>
      </c>
      <c r="B3310" s="16">
        <v>1171.5999999999999</v>
      </c>
    </row>
    <row r="3311" spans="1:2">
      <c r="A3311" s="10" t="s">
        <v>3510</v>
      </c>
      <c r="B3311" s="16">
        <v>1183.56</v>
      </c>
    </row>
    <row r="3312" spans="1:2">
      <c r="A3312" s="10" t="s">
        <v>3511</v>
      </c>
      <c r="B3312" s="16">
        <v>1166.53</v>
      </c>
    </row>
    <row r="3313" spans="1:2">
      <c r="A3313" s="10" t="s">
        <v>3512</v>
      </c>
      <c r="B3313" s="16">
        <v>1177.26</v>
      </c>
    </row>
    <row r="3314" spans="1:2">
      <c r="A3314" s="10" t="s">
        <v>3513</v>
      </c>
      <c r="B3314" s="16">
        <v>1160.9000000000001</v>
      </c>
    </row>
    <row r="3315" spans="1:2">
      <c r="A3315" s="10" t="s">
        <v>3514</v>
      </c>
      <c r="B3315" s="16">
        <v>1138.3800000000001</v>
      </c>
    </row>
    <row r="3316" spans="1:2">
      <c r="A3316" s="10" t="s">
        <v>3515</v>
      </c>
      <c r="B3316" s="16">
        <v>1143.49</v>
      </c>
    </row>
    <row r="3317" spans="1:2">
      <c r="A3317" s="10" t="s">
        <v>3516</v>
      </c>
      <c r="B3317" s="16">
        <v>1126.1099999999999</v>
      </c>
    </row>
    <row r="3318" spans="1:2">
      <c r="A3318" s="10" t="s">
        <v>3517</v>
      </c>
      <c r="B3318" s="16">
        <v>1126.8</v>
      </c>
    </row>
    <row r="3319" spans="1:2">
      <c r="A3319" s="10" t="s">
        <v>3518</v>
      </c>
      <c r="B3319" s="16">
        <v>1098.33</v>
      </c>
    </row>
    <row r="3320" spans="1:2">
      <c r="A3320" s="10" t="s">
        <v>3519</v>
      </c>
      <c r="B3320" s="16">
        <v>1086.18</v>
      </c>
    </row>
    <row r="3321" spans="1:2">
      <c r="A3321" s="10" t="s">
        <v>3520</v>
      </c>
      <c r="B3321" s="16">
        <v>1102.6500000000001</v>
      </c>
    </row>
    <row r="3322" spans="1:2">
      <c r="A3322" s="10" t="s">
        <v>3521</v>
      </c>
      <c r="B3322" s="16">
        <v>1098.0899999999999</v>
      </c>
    </row>
    <row r="3323" spans="1:2">
      <c r="A3323" s="10" t="s">
        <v>3522</v>
      </c>
      <c r="B3323" s="16">
        <v>1119.8</v>
      </c>
    </row>
    <row r="3324" spans="1:2">
      <c r="A3324" s="10" t="s">
        <v>3523</v>
      </c>
      <c r="B3324" s="16">
        <v>1120.82</v>
      </c>
    </row>
    <row r="3325" spans="1:2">
      <c r="A3325" s="10" t="s">
        <v>3524</v>
      </c>
      <c r="B3325" s="16">
        <v>1116.6099999999999</v>
      </c>
    </row>
    <row r="3326" spans="1:2">
      <c r="A3326" s="10" t="s">
        <v>3525</v>
      </c>
      <c r="B3326" s="16">
        <v>1128.53</v>
      </c>
    </row>
    <row r="3327" spans="1:2">
      <c r="A3327" s="10" t="s">
        <v>3526</v>
      </c>
      <c r="B3327" s="16">
        <v>1123.2</v>
      </c>
    </row>
    <row r="3328" spans="1:2">
      <c r="A3328" s="10" t="s">
        <v>3527</v>
      </c>
      <c r="B3328" s="16">
        <v>1124.5</v>
      </c>
    </row>
    <row r="3329" spans="1:2">
      <c r="A3329" s="10" t="s">
        <v>3528</v>
      </c>
      <c r="B3329" s="16">
        <v>1135.3</v>
      </c>
    </row>
    <row r="3330" spans="1:2">
      <c r="A3330" s="10" t="s">
        <v>3529</v>
      </c>
      <c r="B3330" s="16">
        <v>1141.29</v>
      </c>
    </row>
    <row r="3331" spans="1:2">
      <c r="A3331" s="10" t="s">
        <v>3530</v>
      </c>
      <c r="B3331" s="16">
        <v>1123.32</v>
      </c>
    </row>
    <row r="3332" spans="1:2">
      <c r="A3332" s="10" t="s">
        <v>3531</v>
      </c>
      <c r="B3332" s="16">
        <v>1116.7</v>
      </c>
    </row>
    <row r="3333" spans="1:2">
      <c r="A3333" s="10" t="s">
        <v>3532</v>
      </c>
      <c r="B3333" s="16">
        <v>1095.03</v>
      </c>
    </row>
    <row r="3334" spans="1:2">
      <c r="A3334" s="10" t="s">
        <v>3533</v>
      </c>
      <c r="B3334" s="16">
        <v>1089.2</v>
      </c>
    </row>
    <row r="3335" spans="1:2">
      <c r="A3335" s="10" t="s">
        <v>3534</v>
      </c>
      <c r="B3335" s="16">
        <v>1099.8399999999999</v>
      </c>
    </row>
    <row r="3336" spans="1:2">
      <c r="A3336" s="10" t="s">
        <v>3535</v>
      </c>
      <c r="B3336" s="16">
        <v>1099.26</v>
      </c>
    </row>
    <row r="3337" spans="1:2">
      <c r="A3337" s="10" t="s">
        <v>3536</v>
      </c>
      <c r="B3337" s="16">
        <v>1033.3900000000001</v>
      </c>
    </row>
    <row r="3338" spans="1:2">
      <c r="A3338" s="10" t="s">
        <v>3537</v>
      </c>
      <c r="B3338" s="16">
        <v>983.95</v>
      </c>
    </row>
    <row r="3339" spans="1:2">
      <c r="A3339" s="10" t="s">
        <v>3538</v>
      </c>
      <c r="B3339" s="16">
        <v>966.6</v>
      </c>
    </row>
    <row r="3340" spans="1:2">
      <c r="A3340" s="10" t="s">
        <v>3539</v>
      </c>
      <c r="B3340" s="16">
        <v>970.23</v>
      </c>
    </row>
    <row r="3341" spans="1:2">
      <c r="A3341" s="10" t="s">
        <v>3540</v>
      </c>
      <c r="B3341" s="16">
        <v>1015.28</v>
      </c>
    </row>
    <row r="3342" spans="1:2">
      <c r="A3342" s="10" t="s">
        <v>3541</v>
      </c>
      <c r="B3342" s="16">
        <v>1008.38</v>
      </c>
    </row>
    <row r="3343" spans="1:2">
      <c r="A3343" s="10" t="s">
        <v>3542</v>
      </c>
      <c r="B3343" s="16">
        <v>1012.96</v>
      </c>
    </row>
    <row r="3344" spans="1:2">
      <c r="A3344" s="10" t="s">
        <v>3543</v>
      </c>
      <c r="B3344" s="16">
        <v>1025.92</v>
      </c>
    </row>
    <row r="3345" spans="1:2">
      <c r="A3345" s="10" t="s">
        <v>3544</v>
      </c>
      <c r="B3345" s="16">
        <v>1035.6400000000001</v>
      </c>
    </row>
    <row r="3346" spans="1:2">
      <c r="A3346" s="10" t="s">
        <v>3545</v>
      </c>
      <c r="B3346" s="16">
        <v>1011.95</v>
      </c>
    </row>
    <row r="3347" spans="1:2">
      <c r="A3347" s="10" t="s">
        <v>3546</v>
      </c>
      <c r="B3347" s="16">
        <v>1004.23</v>
      </c>
    </row>
    <row r="3348" spans="1:2">
      <c r="A3348" s="10" t="s">
        <v>3547</v>
      </c>
      <c r="B3348" s="16">
        <v>997.96</v>
      </c>
    </row>
    <row r="3349" spans="1:2">
      <c r="A3349" s="10" t="s">
        <v>3548</v>
      </c>
      <c r="B3349" s="16">
        <v>1029.75</v>
      </c>
    </row>
    <row r="3350" spans="1:2">
      <c r="A3350" s="10" t="s">
        <v>3549</v>
      </c>
      <c r="B3350" s="16">
        <v>1045.28</v>
      </c>
    </row>
    <row r="3351" spans="1:2">
      <c r="A3351" s="10" t="s">
        <v>3550</v>
      </c>
      <c r="B3351" s="16">
        <v>1055.97</v>
      </c>
    </row>
    <row r="3352" spans="1:2">
      <c r="A3352" s="10" t="s">
        <v>3551</v>
      </c>
      <c r="B3352" s="16">
        <v>1055.27</v>
      </c>
    </row>
    <row r="3353" spans="1:2">
      <c r="A3353" s="10" t="s">
        <v>3552</v>
      </c>
      <c r="B3353" s="16">
        <v>1057.81</v>
      </c>
    </row>
    <row r="3354" spans="1:2">
      <c r="A3354" s="10" t="s">
        <v>3553</v>
      </c>
      <c r="B3354" s="16">
        <v>1061.3399999999999</v>
      </c>
    </row>
    <row r="3355" spans="1:2">
      <c r="A3355" s="10" t="s">
        <v>3554</v>
      </c>
      <c r="B3355" s="16">
        <v>1075.3800000000001</v>
      </c>
    </row>
    <row r="3356" spans="1:2">
      <c r="A3356" s="10" t="s">
        <v>3555</v>
      </c>
      <c r="B3356" s="16">
        <v>1090.46</v>
      </c>
    </row>
    <row r="3357" spans="1:2">
      <c r="A3357" s="10" t="s">
        <v>3556</v>
      </c>
      <c r="B3357" s="16">
        <v>1089.3</v>
      </c>
    </row>
    <row r="3358" spans="1:2">
      <c r="A3358" s="10" t="s">
        <v>3557</v>
      </c>
      <c r="B3358" s="16">
        <v>1084.3499999999999</v>
      </c>
    </row>
    <row r="3359" spans="1:2">
      <c r="A3359" s="10" t="s">
        <v>3558</v>
      </c>
      <c r="B3359" s="16">
        <v>1085.8</v>
      </c>
    </row>
    <row r="3360" spans="1:2">
      <c r="A3360" s="10" t="s">
        <v>3559</v>
      </c>
      <c r="B3360" s="16">
        <v>1099.97</v>
      </c>
    </row>
    <row r="3361" spans="1:2">
      <c r="A3361" s="10" t="s">
        <v>3560</v>
      </c>
      <c r="B3361" s="16">
        <v>1102.1400000000001</v>
      </c>
    </row>
    <row r="3362" spans="1:2">
      <c r="A3362" s="10" t="s">
        <v>3561</v>
      </c>
      <c r="B3362" s="16">
        <v>1143.19</v>
      </c>
    </row>
    <row r="3363" spans="1:2">
      <c r="A3363" s="10" t="s">
        <v>3562</v>
      </c>
      <c r="B3363" s="16">
        <v>1150.8599999999999</v>
      </c>
    </row>
    <row r="3364" spans="1:2">
      <c r="A3364" s="10" t="s">
        <v>3563</v>
      </c>
      <c r="B3364" s="16">
        <v>1151.74</v>
      </c>
    </row>
    <row r="3365" spans="1:2">
      <c r="A3365" s="10" t="s">
        <v>3564</v>
      </c>
      <c r="B3365" s="16">
        <v>1154.33</v>
      </c>
    </row>
    <row r="3366" spans="1:2">
      <c r="A3366" s="10" t="s">
        <v>3565</v>
      </c>
      <c r="B3366" s="16">
        <v>1159.0999999999999</v>
      </c>
    </row>
    <row r="3367" spans="1:2">
      <c r="A3367" s="10" t="s">
        <v>3566</v>
      </c>
      <c r="B3367" s="16">
        <v>1155.23</v>
      </c>
    </row>
    <row r="3368" spans="1:2">
      <c r="A3368" s="10" t="s">
        <v>3567</v>
      </c>
      <c r="B3368" s="16">
        <v>1154.73</v>
      </c>
    </row>
    <row r="3369" spans="1:2">
      <c r="A3369" s="10" t="s">
        <v>3568</v>
      </c>
      <c r="B3369" s="16">
        <v>1138.69</v>
      </c>
    </row>
    <row r="3370" spans="1:2">
      <c r="A3370" s="10" t="s">
        <v>3569</v>
      </c>
      <c r="B3370" s="16">
        <v>1139.5999999999999</v>
      </c>
    </row>
    <row r="3371" spans="1:2">
      <c r="A3371" s="10" t="s">
        <v>3570</v>
      </c>
      <c r="B3371" s="16">
        <v>1119.6300000000001</v>
      </c>
    </row>
    <row r="3372" spans="1:2">
      <c r="A3372" s="10" t="s">
        <v>3571</v>
      </c>
      <c r="B3372" s="16">
        <v>1143.24</v>
      </c>
    </row>
    <row r="3373" spans="1:2">
      <c r="A3373" s="10" t="s">
        <v>3572</v>
      </c>
      <c r="B3373" s="16">
        <v>1140.73</v>
      </c>
    </row>
    <row r="3374" spans="1:2">
      <c r="A3374" s="10" t="s">
        <v>3573</v>
      </c>
      <c r="B3374" s="16">
        <v>1141.46</v>
      </c>
    </row>
    <row r="3375" spans="1:2">
      <c r="A3375" s="10" t="s">
        <v>3574</v>
      </c>
      <c r="B3375" s="16">
        <v>1139.83</v>
      </c>
    </row>
    <row r="3376" spans="1:2">
      <c r="A3376" s="10" t="s">
        <v>3575</v>
      </c>
      <c r="B3376" s="16">
        <v>1138.31</v>
      </c>
    </row>
    <row r="3377" spans="1:2">
      <c r="A3377" s="10" t="s">
        <v>3576</v>
      </c>
      <c r="B3377" s="16">
        <v>1148.8399999999999</v>
      </c>
    </row>
    <row r="3378" spans="1:2">
      <c r="A3378" s="10" t="s">
        <v>3577</v>
      </c>
      <c r="B3378" s="16">
        <v>1150.48</v>
      </c>
    </row>
    <row r="3379" spans="1:2">
      <c r="A3379" s="10" t="s">
        <v>3578</v>
      </c>
      <c r="B3379" s="16">
        <v>1148.83</v>
      </c>
    </row>
    <row r="3380" spans="1:2">
      <c r="A3380" s="10" t="s">
        <v>3579</v>
      </c>
      <c r="B3380" s="16">
        <v>1159.06</v>
      </c>
    </row>
    <row r="3381" spans="1:2">
      <c r="A3381" s="10" t="s">
        <v>3580</v>
      </c>
      <c r="B3381" s="16">
        <v>1155.45</v>
      </c>
    </row>
    <row r="3382" spans="1:2">
      <c r="A3382" s="10" t="s">
        <v>3581</v>
      </c>
      <c r="B3382" s="16">
        <v>1155.7</v>
      </c>
    </row>
    <row r="3383" spans="1:2">
      <c r="A3383" s="10" t="s">
        <v>3582</v>
      </c>
      <c r="B3383" s="16">
        <v>1149.4000000000001</v>
      </c>
    </row>
    <row r="3384" spans="1:2">
      <c r="A3384" s="10" t="s">
        <v>3583</v>
      </c>
      <c r="B3384" s="103">
        <v>1145</v>
      </c>
    </row>
    <row r="3385" spans="1:2">
      <c r="A3385" s="10" t="s">
        <v>3584</v>
      </c>
      <c r="B3385" s="16">
        <v>1129.4000000000001</v>
      </c>
    </row>
    <row r="3386" spans="1:2">
      <c r="A3386" s="10" t="s">
        <v>3585</v>
      </c>
      <c r="B3386" s="16">
        <v>1140.24</v>
      </c>
    </row>
    <row r="3387" spans="1:2">
      <c r="A3387" s="10" t="s">
        <v>3586</v>
      </c>
      <c r="B3387" s="16">
        <v>1133.47</v>
      </c>
    </row>
    <row r="3388" spans="1:2">
      <c r="A3388" s="10" t="s">
        <v>3587</v>
      </c>
      <c r="B3388" s="16">
        <v>1132.48</v>
      </c>
    </row>
    <row r="3389" spans="1:2">
      <c r="A3389" s="10" t="s">
        <v>3588</v>
      </c>
      <c r="B3389" s="16">
        <v>1126.23</v>
      </c>
    </row>
    <row r="3390" spans="1:2">
      <c r="A3390" s="10" t="s">
        <v>3589</v>
      </c>
      <c r="B3390" s="16">
        <v>1129.8399999999999</v>
      </c>
    </row>
    <row r="3391" spans="1:2">
      <c r="A3391" s="10" t="s">
        <v>3590</v>
      </c>
      <c r="B3391" s="16">
        <v>1142.8499999999999</v>
      </c>
    </row>
    <row r="3392" spans="1:2">
      <c r="A3392" s="10" t="s">
        <v>3591</v>
      </c>
      <c r="B3392" s="16">
        <v>1144.1199999999999</v>
      </c>
    </row>
    <row r="3393" spans="1:2">
      <c r="A3393" s="10" t="s">
        <v>3592</v>
      </c>
      <c r="B3393" s="16">
        <v>1140.27</v>
      </c>
    </row>
    <row r="3394" spans="1:2">
      <c r="A3394" s="10" t="s">
        <v>3593</v>
      </c>
      <c r="B3394" s="16">
        <v>1152.01</v>
      </c>
    </row>
    <row r="3395" spans="1:2">
      <c r="A3395" s="10" t="s">
        <v>3594</v>
      </c>
      <c r="B3395" s="16">
        <v>1154.6199999999999</v>
      </c>
    </row>
    <row r="3396" spans="1:2">
      <c r="A3396" s="10" t="s">
        <v>3595</v>
      </c>
      <c r="B3396" s="16">
        <v>1145.82</v>
      </c>
    </row>
    <row r="3397" spans="1:2">
      <c r="A3397" s="10" t="s">
        <v>3596</v>
      </c>
      <c r="B3397" s="16">
        <v>1153.94</v>
      </c>
    </row>
    <row r="3398" spans="1:2">
      <c r="A3398" s="10" t="s">
        <v>3597</v>
      </c>
      <c r="B3398" s="16">
        <v>1164.93</v>
      </c>
    </row>
    <row r="3399" spans="1:2">
      <c r="A3399" s="10" t="s">
        <v>3598</v>
      </c>
      <c r="B3399" s="16">
        <v>1160.53</v>
      </c>
    </row>
    <row r="3400" spans="1:2">
      <c r="A3400" s="10" t="s">
        <v>3599</v>
      </c>
      <c r="B3400" s="16">
        <v>1165.92</v>
      </c>
    </row>
    <row r="3401" spans="1:2">
      <c r="A3401" s="10" t="s">
        <v>3600</v>
      </c>
      <c r="B3401" s="16">
        <v>1175.3599999999999</v>
      </c>
    </row>
    <row r="3402" spans="1:2">
      <c r="A3402" s="10" t="s">
        <v>3601</v>
      </c>
      <c r="B3402" s="16">
        <v>1176.45</v>
      </c>
    </row>
    <row r="3403" spans="1:2">
      <c r="A3403" s="10" t="s">
        <v>3602</v>
      </c>
      <c r="B3403" s="16">
        <v>1167.4000000000001</v>
      </c>
    </row>
    <row r="3404" spans="1:2">
      <c r="A3404" s="10" t="s">
        <v>3603</v>
      </c>
      <c r="B3404" s="16">
        <v>1164.92</v>
      </c>
    </row>
    <row r="3405" spans="1:2">
      <c r="A3405" s="10" t="s">
        <v>3604</v>
      </c>
      <c r="B3405" s="16">
        <v>1172.1600000000001</v>
      </c>
    </row>
    <row r="3406" spans="1:2">
      <c r="A3406" s="10" t="s">
        <v>3605</v>
      </c>
      <c r="B3406" s="16">
        <v>1167.3499999999999</v>
      </c>
    </row>
    <row r="3407" spans="1:2">
      <c r="A3407" s="10" t="s">
        <v>3606</v>
      </c>
      <c r="B3407" s="16">
        <v>1180.78</v>
      </c>
    </row>
    <row r="3408" spans="1:2">
      <c r="A3408" s="10" t="s">
        <v>3607</v>
      </c>
      <c r="B3408" s="16">
        <v>1172.9000000000001</v>
      </c>
    </row>
    <row r="3409" spans="1:2">
      <c r="A3409" s="10" t="s">
        <v>3608</v>
      </c>
      <c r="B3409" s="16">
        <v>1168.23</v>
      </c>
    </row>
    <row r="3410" spans="1:2">
      <c r="A3410" s="10" t="s">
        <v>3609</v>
      </c>
      <c r="B3410" s="16">
        <v>1157.51</v>
      </c>
    </row>
    <row r="3411" spans="1:2">
      <c r="A3411" s="10" t="s">
        <v>3610</v>
      </c>
      <c r="B3411" s="16">
        <v>1165.51</v>
      </c>
    </row>
    <row r="3412" spans="1:2">
      <c r="A3412" s="10" t="s">
        <v>3611</v>
      </c>
      <c r="B3412" s="16">
        <v>1166.8699999999999</v>
      </c>
    </row>
    <row r="3413" spans="1:2">
      <c r="A3413" s="10" t="s">
        <v>3612</v>
      </c>
      <c r="B3413" s="16">
        <v>1168.69</v>
      </c>
    </row>
    <row r="3414" spans="1:2">
      <c r="A3414" s="10" t="s">
        <v>3613</v>
      </c>
      <c r="B3414" s="16">
        <v>1177.54</v>
      </c>
    </row>
    <row r="3415" spans="1:2">
      <c r="A3415" s="10" t="s">
        <v>3614</v>
      </c>
      <c r="B3415" s="16">
        <v>1184.3499999999999</v>
      </c>
    </row>
    <row r="3416" spans="1:2">
      <c r="A3416" s="10" t="s">
        <v>3615</v>
      </c>
      <c r="B3416" s="16">
        <v>1189.7</v>
      </c>
    </row>
    <row r="3417" spans="1:2">
      <c r="A3417" s="10" t="s">
        <v>3616</v>
      </c>
      <c r="B3417" s="16">
        <v>1185.72</v>
      </c>
    </row>
    <row r="3418" spans="1:2">
      <c r="A3418" s="10" t="s">
        <v>3617</v>
      </c>
      <c r="B3418" s="16">
        <v>1152.31</v>
      </c>
    </row>
    <row r="3419" spans="1:2">
      <c r="A3419" s="10" t="s">
        <v>3618</v>
      </c>
      <c r="B3419" s="16">
        <v>1170.82</v>
      </c>
    </row>
    <row r="3420" spans="1:2">
      <c r="A3420" s="10" t="s">
        <v>3619</v>
      </c>
      <c r="B3420" s="16">
        <v>1164.81</v>
      </c>
    </row>
    <row r="3421" spans="1:2">
      <c r="A3421" s="10" t="s">
        <v>3620</v>
      </c>
      <c r="B3421" s="16">
        <v>1168.77</v>
      </c>
    </row>
    <row r="3422" spans="1:2">
      <c r="A3422" s="10" t="s">
        <v>3621</v>
      </c>
      <c r="B3422" s="16">
        <v>1180.54</v>
      </c>
    </row>
    <row r="3423" spans="1:2">
      <c r="A3423" s="10" t="s">
        <v>3622</v>
      </c>
      <c r="B3423" s="16">
        <v>1187.1400000000001</v>
      </c>
    </row>
    <row r="3424" spans="1:2">
      <c r="A3424" s="10" t="s">
        <v>3623</v>
      </c>
      <c r="B3424" s="16">
        <v>1187.56</v>
      </c>
    </row>
    <row r="3425" spans="1:2">
      <c r="A3425" s="10" t="s">
        <v>3624</v>
      </c>
      <c r="B3425" s="16">
        <v>1188.6099999999999</v>
      </c>
    </row>
    <row r="3426" spans="1:2">
      <c r="A3426" s="10" t="s">
        <v>3625</v>
      </c>
      <c r="B3426" s="16">
        <v>1190.56</v>
      </c>
    </row>
    <row r="3427" spans="1:2">
      <c r="A3427" s="10" t="s">
        <v>3626</v>
      </c>
      <c r="B3427" s="16">
        <v>1197.95</v>
      </c>
    </row>
    <row r="3428" spans="1:2">
      <c r="A3428" s="10" t="s">
        <v>3627</v>
      </c>
      <c r="B3428" s="16">
        <v>1191.6300000000001</v>
      </c>
    </row>
    <row r="3429" spans="1:2">
      <c r="A3429" s="10" t="s">
        <v>3628</v>
      </c>
      <c r="B3429" s="16">
        <v>1193.3</v>
      </c>
    </row>
    <row r="3430" spans="1:2">
      <c r="A3430" s="10" t="s">
        <v>3629</v>
      </c>
      <c r="B3430" s="103">
        <v>1189</v>
      </c>
    </row>
    <row r="3431" spans="1:2">
      <c r="A3431" s="10" t="s">
        <v>3630</v>
      </c>
      <c r="B3431" s="16">
        <v>1184.73</v>
      </c>
    </row>
    <row r="3432" spans="1:2">
      <c r="A3432" s="10" t="s">
        <v>3631</v>
      </c>
      <c r="B3432" s="16">
        <v>1182.8</v>
      </c>
    </row>
    <row r="3433" spans="1:2">
      <c r="A3433" s="10" t="s">
        <v>3632</v>
      </c>
      <c r="B3433" s="16">
        <v>1187.95</v>
      </c>
    </row>
    <row r="3434" spans="1:2">
      <c r="A3434" s="10" t="s">
        <v>3633</v>
      </c>
      <c r="B3434" s="16">
        <v>1184.1199999999999</v>
      </c>
    </row>
    <row r="3435" spans="1:2">
      <c r="A3435" s="10" t="s">
        <v>3634</v>
      </c>
      <c r="B3435" s="16">
        <v>1183.67</v>
      </c>
    </row>
    <row r="3436" spans="1:2">
      <c r="A3436" s="10" t="s">
        <v>3635</v>
      </c>
      <c r="B3436" s="16">
        <v>1190.99</v>
      </c>
    </row>
    <row r="3437" spans="1:2">
      <c r="A3437" s="10" t="s">
        <v>3636</v>
      </c>
      <c r="B3437" s="16">
        <v>1188.6300000000001</v>
      </c>
    </row>
    <row r="3438" spans="1:2">
      <c r="A3438" s="10" t="s">
        <v>3637</v>
      </c>
      <c r="B3438" s="16">
        <v>1172.8499999999999</v>
      </c>
    </row>
    <row r="3439" spans="1:2">
      <c r="A3439" s="10" t="s">
        <v>3638</v>
      </c>
      <c r="B3439" s="16">
        <v>1160.48</v>
      </c>
    </row>
    <row r="3440" spans="1:2">
      <c r="A3440" s="10" t="s">
        <v>3639</v>
      </c>
      <c r="B3440" s="16">
        <v>1168.75</v>
      </c>
    </row>
    <row r="3441" spans="1:2">
      <c r="A3441" s="10" t="s">
        <v>3640</v>
      </c>
      <c r="B3441" s="16">
        <v>1178.69</v>
      </c>
    </row>
    <row r="3442" spans="1:2">
      <c r="A3442" s="10" t="s">
        <v>3641</v>
      </c>
      <c r="B3442" s="16">
        <v>1164.95</v>
      </c>
    </row>
    <row r="3443" spans="1:2">
      <c r="A3443" s="10" t="s">
        <v>3642</v>
      </c>
      <c r="B3443" s="16">
        <v>1173.73</v>
      </c>
    </row>
    <row r="3444" spans="1:2">
      <c r="A3444" s="10" t="s">
        <v>3643</v>
      </c>
      <c r="B3444" s="16">
        <v>1177.31</v>
      </c>
    </row>
    <row r="3445" spans="1:2">
      <c r="A3445" s="10" t="s">
        <v>3644</v>
      </c>
      <c r="B3445" s="16">
        <v>1181.42</v>
      </c>
    </row>
    <row r="3446" spans="1:2">
      <c r="A3446" s="10" t="s">
        <v>3645</v>
      </c>
      <c r="B3446" s="16">
        <v>1185.96</v>
      </c>
    </row>
    <row r="3447" spans="1:2">
      <c r="A3447" s="10" t="s">
        <v>3646</v>
      </c>
      <c r="B3447" s="16">
        <v>1189.17</v>
      </c>
    </row>
    <row r="3448" spans="1:2">
      <c r="A3448" s="10" t="s">
        <v>3647</v>
      </c>
      <c r="B3448" s="16">
        <v>1195.9000000000001</v>
      </c>
    </row>
    <row r="3449" spans="1:2">
      <c r="A3449" s="10" t="s">
        <v>3648</v>
      </c>
      <c r="B3449" s="16">
        <v>1181.6099999999999</v>
      </c>
    </row>
    <row r="3450" spans="1:2">
      <c r="A3450" s="10" t="s">
        <v>3649</v>
      </c>
      <c r="B3450" s="16">
        <v>1181.03</v>
      </c>
    </row>
    <row r="3451" spans="1:2">
      <c r="A3451" s="10" t="s">
        <v>3650</v>
      </c>
      <c r="B3451" s="16">
        <v>1200.68</v>
      </c>
    </row>
    <row r="3452" spans="1:2">
      <c r="A3452" s="10" t="s">
        <v>3651</v>
      </c>
      <c r="B3452" s="16">
        <v>1207.54</v>
      </c>
    </row>
    <row r="3453" spans="1:2">
      <c r="A3453" s="10" t="s">
        <v>3652</v>
      </c>
      <c r="B3453" s="16">
        <v>1216.0899999999999</v>
      </c>
    </row>
    <row r="3454" spans="1:2">
      <c r="A3454" s="10" t="s">
        <v>3653</v>
      </c>
      <c r="B3454" s="16">
        <v>1209.67</v>
      </c>
    </row>
    <row r="3455" spans="1:2">
      <c r="A3455" s="10" t="s">
        <v>3654</v>
      </c>
      <c r="B3455" s="16">
        <v>1208.08</v>
      </c>
    </row>
    <row r="3456" spans="1:2">
      <c r="A3456" s="10" t="s">
        <v>3655</v>
      </c>
      <c r="B3456" s="16">
        <v>1210.5</v>
      </c>
    </row>
    <row r="3457" spans="1:2">
      <c r="A3457" s="10" t="s">
        <v>3656</v>
      </c>
      <c r="B3457" s="16">
        <v>1217.76</v>
      </c>
    </row>
    <row r="3458" spans="1:2">
      <c r="A3458" s="10" t="s">
        <v>3657</v>
      </c>
      <c r="B3458" s="16">
        <v>1221.3900000000001</v>
      </c>
    </row>
    <row r="3459" spans="1:2">
      <c r="A3459" s="10" t="s">
        <v>3658</v>
      </c>
      <c r="B3459" s="16">
        <v>1228.1300000000001</v>
      </c>
    </row>
    <row r="3460" spans="1:2">
      <c r="A3460" s="10" t="s">
        <v>3659</v>
      </c>
      <c r="B3460" s="16">
        <v>1236.51</v>
      </c>
    </row>
    <row r="3461" spans="1:2">
      <c r="A3461" s="10" t="s">
        <v>3660</v>
      </c>
      <c r="B3461" s="16">
        <v>1245.98</v>
      </c>
    </row>
    <row r="3462" spans="1:2">
      <c r="A3462" s="10" t="s">
        <v>3661</v>
      </c>
      <c r="B3462" s="16">
        <v>1244.56</v>
      </c>
    </row>
    <row r="3463" spans="1:2">
      <c r="A3463" s="10" t="s">
        <v>3662</v>
      </c>
      <c r="B3463" s="16">
        <v>1246.52</v>
      </c>
    </row>
    <row r="3464" spans="1:2">
      <c r="A3464" s="10" t="s">
        <v>3663</v>
      </c>
      <c r="B3464" s="16">
        <v>1244.96</v>
      </c>
    </row>
    <row r="3465" spans="1:2">
      <c r="A3465" s="10" t="s">
        <v>3664</v>
      </c>
      <c r="B3465" s="16">
        <v>1258.04</v>
      </c>
    </row>
    <row r="3466" spans="1:2">
      <c r="A3466" s="10" t="s">
        <v>3665</v>
      </c>
      <c r="B3466" s="16">
        <v>1257.02</v>
      </c>
    </row>
    <row r="3467" spans="1:2">
      <c r="A3467" s="10" t="s">
        <v>3666</v>
      </c>
      <c r="B3467" s="16">
        <v>1225.03</v>
      </c>
    </row>
    <row r="3468" spans="1:2">
      <c r="A3468" s="10" t="s">
        <v>3667</v>
      </c>
      <c r="B3468" s="16">
        <v>1239.6600000000001</v>
      </c>
    </row>
    <row r="3469" spans="1:2">
      <c r="A3469" s="10" t="s">
        <v>3668</v>
      </c>
      <c r="B3469" s="16">
        <v>1231.02</v>
      </c>
    </row>
    <row r="3470" spans="1:2">
      <c r="A3470" s="10" t="s">
        <v>3669</v>
      </c>
      <c r="B3470" s="16">
        <v>1237.8900000000001</v>
      </c>
    </row>
    <row r="3471" spans="1:2">
      <c r="A3471" s="10" t="s">
        <v>3670</v>
      </c>
      <c r="B3471" s="16">
        <v>1235.77</v>
      </c>
    </row>
    <row r="3472" spans="1:2">
      <c r="A3472" s="10" t="s">
        <v>3671</v>
      </c>
      <c r="B3472" s="16">
        <v>1236.78</v>
      </c>
    </row>
    <row r="3473" spans="1:2">
      <c r="A3473" s="10" t="s">
        <v>3672</v>
      </c>
      <c r="B3473" s="16">
        <v>1252.8499999999999</v>
      </c>
    </row>
    <row r="3474" spans="1:2">
      <c r="A3474" s="10" t="s">
        <v>3673</v>
      </c>
      <c r="B3474" s="16">
        <v>1257.7</v>
      </c>
    </row>
    <row r="3475" spans="1:2">
      <c r="A3475" s="10" t="s">
        <v>3674</v>
      </c>
      <c r="B3475" s="16">
        <v>1247.3399999999999</v>
      </c>
    </row>
    <row r="3476" spans="1:2">
      <c r="A3476" s="10" t="s">
        <v>3675</v>
      </c>
      <c r="B3476" s="16">
        <v>1254.43</v>
      </c>
    </row>
    <row r="3477" spans="1:2">
      <c r="A3477" s="10" t="s">
        <v>3676</v>
      </c>
      <c r="B3477" s="16">
        <v>1261.04</v>
      </c>
    </row>
    <row r="3478" spans="1:2">
      <c r="A3478" s="10" t="s">
        <v>3677</v>
      </c>
      <c r="B3478" s="16">
        <v>1277.1199999999999</v>
      </c>
    </row>
    <row r="3479" spans="1:2">
      <c r="A3479" s="10" t="s">
        <v>3678</v>
      </c>
      <c r="B3479" s="16">
        <v>1284.55</v>
      </c>
    </row>
    <row r="3480" spans="1:2">
      <c r="A3480" s="10" t="s">
        <v>3679</v>
      </c>
      <c r="B3480" s="16">
        <v>1284.6600000000001</v>
      </c>
    </row>
    <row r="3481" spans="1:2">
      <c r="A3481" s="10" t="s">
        <v>3680</v>
      </c>
      <c r="B3481" s="16">
        <v>1282.3900000000001</v>
      </c>
    </row>
    <row r="3482" spans="1:2">
      <c r="A3482" s="10" t="s">
        <v>3681</v>
      </c>
      <c r="B3482" s="16">
        <v>1277.06</v>
      </c>
    </row>
    <row r="3483" spans="1:2">
      <c r="A3483" s="10" t="s">
        <v>3682</v>
      </c>
      <c r="B3483" s="16">
        <v>1280.4100000000001</v>
      </c>
    </row>
    <row r="3484" spans="1:2">
      <c r="A3484" s="10" t="s">
        <v>3683</v>
      </c>
      <c r="B3484" s="16">
        <v>1269.1600000000001</v>
      </c>
    </row>
    <row r="3485" spans="1:2">
      <c r="A3485" s="10" t="s">
        <v>3684</v>
      </c>
      <c r="B3485" s="16">
        <v>1267.8599999999999</v>
      </c>
    </row>
    <row r="3486" spans="1:2">
      <c r="A3486" s="10" t="s">
        <v>3685</v>
      </c>
      <c r="B3486" s="16">
        <v>1244.3599999999999</v>
      </c>
    </row>
    <row r="3487" spans="1:2">
      <c r="A3487" s="10" t="s">
        <v>3686</v>
      </c>
      <c r="B3487" s="16">
        <v>1236.1600000000001</v>
      </c>
    </row>
    <row r="3488" spans="1:2">
      <c r="A3488" s="10" t="s">
        <v>3687</v>
      </c>
      <c r="B3488" s="16">
        <v>1261.3</v>
      </c>
    </row>
    <row r="3489" spans="1:2">
      <c r="A3489" s="10" t="s">
        <v>3688</v>
      </c>
      <c r="B3489" s="16">
        <v>1264.27</v>
      </c>
    </row>
    <row r="3490" spans="1:2">
      <c r="A3490" s="10" t="s">
        <v>3689</v>
      </c>
      <c r="B3490" s="16">
        <v>1273.7</v>
      </c>
    </row>
    <row r="3491" spans="1:2">
      <c r="A3491" s="10" t="s">
        <v>3690</v>
      </c>
      <c r="B3491" s="16">
        <v>1255.9100000000001</v>
      </c>
    </row>
    <row r="3492" spans="1:2">
      <c r="A3492" s="10" t="s">
        <v>3691</v>
      </c>
      <c r="B3492" s="16">
        <v>1252.72</v>
      </c>
    </row>
    <row r="3493" spans="1:2">
      <c r="A3493" s="10" t="s">
        <v>3692</v>
      </c>
      <c r="B3493" s="16">
        <v>1237.79</v>
      </c>
    </row>
    <row r="3494" spans="1:2">
      <c r="A3494" s="10" t="s">
        <v>3693</v>
      </c>
      <c r="B3494" s="16">
        <v>1218.26</v>
      </c>
    </row>
    <row r="3495" spans="1:2">
      <c r="A3495" s="10" t="s">
        <v>3694</v>
      </c>
      <c r="B3495" s="16">
        <v>1225.29</v>
      </c>
    </row>
    <row r="3496" spans="1:2">
      <c r="A3496" s="10" t="s">
        <v>3695</v>
      </c>
      <c r="B3496" s="16">
        <v>1215.68</v>
      </c>
    </row>
    <row r="3497" spans="1:2">
      <c r="A3497" s="10" t="s">
        <v>3696</v>
      </c>
      <c r="B3497" s="16">
        <v>1213.48</v>
      </c>
    </row>
    <row r="3498" spans="1:2">
      <c r="A3498" s="10" t="s">
        <v>3697</v>
      </c>
      <c r="B3498" s="16">
        <v>1223.01</v>
      </c>
    </row>
    <row r="3499" spans="1:2">
      <c r="A3499" s="10" t="s">
        <v>3698</v>
      </c>
      <c r="B3499" s="16">
        <v>1225.8699999999999</v>
      </c>
    </row>
    <row r="3500" spans="1:2">
      <c r="A3500" s="10" t="s">
        <v>3699</v>
      </c>
      <c r="B3500" s="16">
        <v>1239.0899999999999</v>
      </c>
    </row>
    <row r="3501" spans="1:2">
      <c r="A3501" s="10" t="s">
        <v>3700</v>
      </c>
      <c r="B3501" s="16">
        <v>1241.8699999999999</v>
      </c>
    </row>
    <row r="3502" spans="1:2">
      <c r="A3502" s="10" t="s">
        <v>3701</v>
      </c>
      <c r="B3502" s="16">
        <v>1243.76</v>
      </c>
    </row>
    <row r="3503" spans="1:2">
      <c r="A3503" s="10" t="s">
        <v>3702</v>
      </c>
      <c r="B3503" s="16">
        <v>1251.74</v>
      </c>
    </row>
    <row r="3504" spans="1:2">
      <c r="A3504" s="10" t="s">
        <v>3703</v>
      </c>
      <c r="B3504" s="16">
        <v>1246.1400000000001</v>
      </c>
    </row>
    <row r="3505" spans="1:2">
      <c r="A3505" s="10" t="s">
        <v>3704</v>
      </c>
      <c r="B3505" s="16">
        <v>1250.97</v>
      </c>
    </row>
    <row r="3506" spans="1:2">
      <c r="A3506" s="10" t="s">
        <v>3705</v>
      </c>
      <c r="B3506" s="16">
        <v>1252.33</v>
      </c>
    </row>
    <row r="3507" spans="1:2">
      <c r="A3507" s="10" t="s">
        <v>3706</v>
      </c>
      <c r="B3507" s="16">
        <v>1255.8800000000001</v>
      </c>
    </row>
    <row r="3508" spans="1:2">
      <c r="A3508" s="10" t="s">
        <v>3707</v>
      </c>
      <c r="B3508" s="16">
        <v>1254.01</v>
      </c>
    </row>
    <row r="3509" spans="1:2">
      <c r="A3509" s="10" t="s">
        <v>3708</v>
      </c>
      <c r="B3509" s="16">
        <v>1252.31</v>
      </c>
    </row>
    <row r="3510" spans="1:2">
      <c r="A3510" s="10" t="s">
        <v>3709</v>
      </c>
      <c r="B3510" s="16">
        <v>1249.97</v>
      </c>
    </row>
    <row r="3511" spans="1:2">
      <c r="A3511" s="10" t="s">
        <v>3710</v>
      </c>
      <c r="B3511" s="16">
        <v>1237.8900000000001</v>
      </c>
    </row>
    <row r="3512" spans="1:2">
      <c r="A3512" s="10" t="s">
        <v>3711</v>
      </c>
      <c r="B3512" s="16">
        <v>1238.3399999999999</v>
      </c>
    </row>
    <row r="3513" spans="1:2">
      <c r="A3513" s="10" t="s">
        <v>3712</v>
      </c>
      <c r="B3513" s="16">
        <v>1235.5</v>
      </c>
    </row>
    <row r="3514" spans="1:2">
      <c r="A3514" s="10" t="s">
        <v>3713</v>
      </c>
      <c r="B3514" s="16">
        <v>1222.97</v>
      </c>
    </row>
    <row r="3515" spans="1:2">
      <c r="A3515" s="10" t="s">
        <v>3714</v>
      </c>
      <c r="B3515" s="16">
        <v>1236.73</v>
      </c>
    </row>
    <row r="3516" spans="1:2">
      <c r="A3516" s="10" t="s">
        <v>3715</v>
      </c>
      <c r="B3516" s="16">
        <v>1248.26</v>
      </c>
    </row>
    <row r="3517" spans="1:2">
      <c r="A3517" s="10" t="s">
        <v>3716</v>
      </c>
      <c r="B3517" s="16">
        <v>1246.97</v>
      </c>
    </row>
    <row r="3518" spans="1:2">
      <c r="A3518" s="10" t="s">
        <v>3717</v>
      </c>
      <c r="B3518" s="16">
        <v>1252.3399999999999</v>
      </c>
    </row>
    <row r="3519" spans="1:2">
      <c r="A3519" s="10" t="s">
        <v>3718</v>
      </c>
      <c r="B3519" s="16">
        <v>1253.27</v>
      </c>
    </row>
    <row r="3520" spans="1:2">
      <c r="A3520" s="10" t="s">
        <v>3719</v>
      </c>
      <c r="B3520" s="16">
        <v>1252.6300000000001</v>
      </c>
    </row>
    <row r="3521" spans="1:2">
      <c r="A3521" s="10" t="s">
        <v>3720</v>
      </c>
      <c r="B3521" s="16">
        <v>1255.97</v>
      </c>
    </row>
    <row r="3522" spans="1:2">
      <c r="A3522" s="10" t="s">
        <v>3721</v>
      </c>
      <c r="B3522" s="16">
        <v>1251.3900000000001</v>
      </c>
    </row>
    <row r="3523" spans="1:2">
      <c r="A3523" s="10" t="s">
        <v>3722</v>
      </c>
      <c r="B3523" s="16">
        <v>1253.1199999999999</v>
      </c>
    </row>
    <row r="3524" spans="1:2">
      <c r="A3524" s="10" t="s">
        <v>3723</v>
      </c>
      <c r="B3524" s="16">
        <v>1266.76</v>
      </c>
    </row>
    <row r="3525" spans="1:2">
      <c r="A3525" s="10" t="s">
        <v>3724</v>
      </c>
      <c r="B3525" s="16">
        <v>1272.06</v>
      </c>
    </row>
    <row r="3526" spans="1:2">
      <c r="A3526" s="10" t="s">
        <v>3725</v>
      </c>
      <c r="B3526" s="16">
        <v>1268.5</v>
      </c>
    </row>
    <row r="3527" spans="1:2">
      <c r="A3527" s="10" t="s">
        <v>3726</v>
      </c>
      <c r="B3527" s="16">
        <v>1264.8699999999999</v>
      </c>
    </row>
    <row r="3528" spans="1:2">
      <c r="A3528" s="10" t="s">
        <v>3727</v>
      </c>
      <c r="B3528" s="16">
        <v>1278.1400000000001</v>
      </c>
    </row>
    <row r="3529" spans="1:2">
      <c r="A3529" s="10" t="s">
        <v>3728</v>
      </c>
      <c r="B3529" s="16">
        <v>1275.27</v>
      </c>
    </row>
    <row r="3530" spans="1:2">
      <c r="A3530" s="10" t="s">
        <v>3729</v>
      </c>
      <c r="B3530" s="16">
        <v>1273.31</v>
      </c>
    </row>
    <row r="3531" spans="1:2">
      <c r="A3531" s="10" t="s">
        <v>3730</v>
      </c>
      <c r="B3531" s="16">
        <v>1261.82</v>
      </c>
    </row>
    <row r="3532" spans="1:2">
      <c r="A3532" s="10" t="s">
        <v>3731</v>
      </c>
      <c r="B3532" s="16">
        <v>1272.9000000000001</v>
      </c>
    </row>
    <row r="3533" spans="1:2">
      <c r="A3533" s="10" t="s">
        <v>3732</v>
      </c>
      <c r="B3533" s="16">
        <v>1270.44</v>
      </c>
    </row>
    <row r="3534" spans="1:2">
      <c r="A3534" s="10" t="s">
        <v>3733</v>
      </c>
      <c r="B3534" s="16">
        <v>1229.9100000000001</v>
      </c>
    </row>
    <row r="3535" spans="1:2">
      <c r="A3535" s="10" t="s">
        <v>3734</v>
      </c>
      <c r="B3535" s="16">
        <v>1234.6199999999999</v>
      </c>
    </row>
    <row r="3536" spans="1:2">
      <c r="A3536" s="10" t="s">
        <v>3735</v>
      </c>
      <c r="B3536" s="16">
        <v>1244.96</v>
      </c>
    </row>
    <row r="3537" spans="1:2">
      <c r="A3537" s="10" t="s">
        <v>3736</v>
      </c>
      <c r="B3537" s="16">
        <v>1247.82</v>
      </c>
    </row>
    <row r="3538" spans="1:2">
      <c r="A3538" s="10" t="s">
        <v>3737</v>
      </c>
      <c r="B3538" s="16">
        <v>1245.3900000000001</v>
      </c>
    </row>
    <row r="3539" spans="1:2">
      <c r="A3539" s="10" t="s">
        <v>3738</v>
      </c>
      <c r="B3539" s="16">
        <v>1250.9100000000001</v>
      </c>
    </row>
    <row r="3540" spans="1:2">
      <c r="A3540" s="10" t="s">
        <v>3739</v>
      </c>
      <c r="B3540" s="16">
        <v>1244.95</v>
      </c>
    </row>
    <row r="3541" spans="1:2">
      <c r="A3541" s="10" t="s">
        <v>3740</v>
      </c>
      <c r="B3541" s="16">
        <v>1230.81</v>
      </c>
    </row>
    <row r="3542" spans="1:2">
      <c r="A3542" s="10" t="s">
        <v>3741</v>
      </c>
      <c r="B3542" s="16">
        <v>1234.9100000000001</v>
      </c>
    </row>
    <row r="3543" spans="1:2">
      <c r="A3543" s="10" t="s">
        <v>3742</v>
      </c>
      <c r="B3543" s="16">
        <v>1250.25</v>
      </c>
    </row>
    <row r="3544" spans="1:2">
      <c r="A3544" s="10" t="s">
        <v>3743</v>
      </c>
      <c r="B3544" s="16">
        <v>1233.55</v>
      </c>
    </row>
    <row r="3545" spans="1:2">
      <c r="A3545" s="10" t="s">
        <v>3744</v>
      </c>
      <c r="B3545" s="16">
        <v>1225.7</v>
      </c>
    </row>
    <row r="3546" spans="1:2">
      <c r="A3546" s="10" t="s">
        <v>3745</v>
      </c>
      <c r="B3546" s="16">
        <v>1208.49</v>
      </c>
    </row>
    <row r="3547" spans="1:2">
      <c r="A3547" s="10" t="s">
        <v>3746</v>
      </c>
      <c r="B3547" s="16">
        <v>1227.21</v>
      </c>
    </row>
    <row r="3548" spans="1:2">
      <c r="A3548" s="10" t="s">
        <v>3747</v>
      </c>
      <c r="B3548" s="16">
        <v>1232.57</v>
      </c>
    </row>
    <row r="3549" spans="1:2">
      <c r="A3549" s="10" t="s">
        <v>3748</v>
      </c>
      <c r="B3549" s="16">
        <v>1227.55</v>
      </c>
    </row>
    <row r="3550" spans="1:2">
      <c r="A3550" s="10" t="s">
        <v>3749</v>
      </c>
      <c r="B3550" s="16">
        <v>1223.8499999999999</v>
      </c>
    </row>
    <row r="3551" spans="1:2">
      <c r="A3551" s="10" t="s">
        <v>3750</v>
      </c>
      <c r="B3551" s="16">
        <v>1203.32</v>
      </c>
    </row>
    <row r="3552" spans="1:2">
      <c r="A3552" s="10" t="s">
        <v>3751</v>
      </c>
      <c r="B3552" s="16">
        <v>1197.68</v>
      </c>
    </row>
    <row r="3553" spans="1:2">
      <c r="A3553" s="10" t="s">
        <v>3752</v>
      </c>
      <c r="B3553" s="16">
        <v>1207.95</v>
      </c>
    </row>
    <row r="3554" spans="1:2">
      <c r="A3554" s="10" t="s">
        <v>3753</v>
      </c>
      <c r="B3554" s="16">
        <v>1221.4100000000001</v>
      </c>
    </row>
    <row r="3555" spans="1:2">
      <c r="A3555" s="10" t="s">
        <v>3754</v>
      </c>
      <c r="B3555" s="16">
        <v>1219.03</v>
      </c>
    </row>
    <row r="3556" spans="1:2">
      <c r="A3556" s="10" t="s">
        <v>3755</v>
      </c>
      <c r="B3556" s="16">
        <v>1230.75</v>
      </c>
    </row>
    <row r="3557" spans="1:2">
      <c r="A3557" s="10" t="s">
        <v>3756</v>
      </c>
      <c r="B3557" s="16">
        <v>1219.28</v>
      </c>
    </row>
    <row r="3558" spans="1:2">
      <c r="A3558" s="10" t="s">
        <v>3757</v>
      </c>
      <c r="B3558" s="16">
        <v>1227.08</v>
      </c>
    </row>
    <row r="3559" spans="1:2">
      <c r="A3559" s="10" t="s">
        <v>3758</v>
      </c>
      <c r="B3559" s="16">
        <v>1240.82</v>
      </c>
    </row>
    <row r="3560" spans="1:2">
      <c r="A3560" s="10" t="s">
        <v>3759</v>
      </c>
      <c r="B3560" s="16">
        <v>1231.19</v>
      </c>
    </row>
    <row r="3561" spans="1:2">
      <c r="A3561" s="10" t="s">
        <v>3760</v>
      </c>
      <c r="B3561" s="16">
        <v>1219.54</v>
      </c>
    </row>
    <row r="3562" spans="1:2">
      <c r="A3562" s="10" t="s">
        <v>3761</v>
      </c>
      <c r="B3562" s="16">
        <v>1215.5899999999999</v>
      </c>
    </row>
    <row r="3563" spans="1:2">
      <c r="A3563" s="10" t="s">
        <v>3762</v>
      </c>
      <c r="B3563" s="16">
        <v>1199.47</v>
      </c>
    </row>
    <row r="3564" spans="1:2">
      <c r="A3564" s="10" t="s">
        <v>3763</v>
      </c>
      <c r="B3564" s="16">
        <v>1213.01</v>
      </c>
    </row>
    <row r="3565" spans="1:2">
      <c r="A3565" s="10" t="s">
        <v>3764</v>
      </c>
      <c r="B3565" s="16">
        <v>1208.5899999999999</v>
      </c>
    </row>
    <row r="3566" spans="1:2">
      <c r="A3566" s="10" t="s">
        <v>3765</v>
      </c>
      <c r="B3566" s="16">
        <v>1189.96</v>
      </c>
    </row>
    <row r="3567" spans="1:2">
      <c r="A3567" s="10" t="s">
        <v>3766</v>
      </c>
      <c r="B3567" s="16">
        <v>1190.49</v>
      </c>
    </row>
    <row r="3568" spans="1:2">
      <c r="A3568" s="10" t="s">
        <v>3767</v>
      </c>
      <c r="B3568" s="16">
        <v>1202.58</v>
      </c>
    </row>
    <row r="3569" spans="1:2">
      <c r="A3569" s="10" t="s">
        <v>3768</v>
      </c>
      <c r="B3569" s="16">
        <v>1203.1500000000001</v>
      </c>
    </row>
    <row r="3570" spans="1:2">
      <c r="A3570" s="10" t="s">
        <v>3769</v>
      </c>
      <c r="B3570" s="16">
        <v>1189.54</v>
      </c>
    </row>
    <row r="3571" spans="1:2">
      <c r="A3571" s="10" t="s">
        <v>3770</v>
      </c>
      <c r="B3571" s="16">
        <v>1182.73</v>
      </c>
    </row>
    <row r="3572" spans="1:2">
      <c r="A3572" s="10" t="s">
        <v>3771</v>
      </c>
      <c r="B3572" s="16">
        <v>1191.1600000000001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DB24-A52D-4198-970C-46A3C27108E4}">
  <dimension ref="A1:B2601"/>
  <sheetViews>
    <sheetView tabSelected="1" topLeftCell="A2577" workbookViewId="0">
      <selection activeCell="G4" sqref="G4"/>
    </sheetView>
  </sheetViews>
  <sheetFormatPr baseColWidth="10" defaultRowHeight="14.4"/>
  <cols>
    <col min="2" max="2" width="11.5546875" style="16"/>
  </cols>
  <sheetData>
    <row r="1" spans="1:2" ht="96.6">
      <c r="A1" s="13"/>
      <c r="B1" s="102" t="s">
        <v>0</v>
      </c>
    </row>
    <row r="2" spans="1:2">
      <c r="A2" s="10" t="s">
        <v>1172</v>
      </c>
      <c r="B2" s="16">
        <v>606.25</v>
      </c>
    </row>
    <row r="3" spans="1:2">
      <c r="A3" s="10" t="s">
        <v>1173</v>
      </c>
      <c r="B3" s="16">
        <v>609.85</v>
      </c>
    </row>
    <row r="4" spans="1:2">
      <c r="A4" s="10" t="s">
        <v>1174</v>
      </c>
      <c r="B4" s="16">
        <v>601.24</v>
      </c>
    </row>
    <row r="5" spans="1:2">
      <c r="A5" s="10" t="s">
        <v>1175</v>
      </c>
      <c r="B5" s="16">
        <v>585.33000000000004</v>
      </c>
    </row>
    <row r="6" spans="1:2">
      <c r="A6" s="10" t="s">
        <v>1176</v>
      </c>
      <c r="B6" s="16">
        <v>575.79999999999995</v>
      </c>
    </row>
    <row r="7" spans="1:2">
      <c r="A7" s="10" t="s">
        <v>1177</v>
      </c>
      <c r="B7" s="16">
        <v>578.09</v>
      </c>
    </row>
    <row r="8" spans="1:2">
      <c r="A8" s="10" t="s">
        <v>1178</v>
      </c>
      <c r="B8" s="16">
        <v>585.12</v>
      </c>
    </row>
    <row r="9" spans="1:2">
      <c r="A9" s="10" t="s">
        <v>1179</v>
      </c>
      <c r="B9" s="16">
        <v>577.12</v>
      </c>
    </row>
    <row r="10" spans="1:2">
      <c r="A10" s="10" t="s">
        <v>1180</v>
      </c>
      <c r="B10" s="16">
        <v>577.66999999999996</v>
      </c>
    </row>
    <row r="11" spans="1:2">
      <c r="A11" s="10" t="s">
        <v>1181</v>
      </c>
      <c r="B11" s="16">
        <v>560.97</v>
      </c>
    </row>
    <row r="12" spans="1:2">
      <c r="A12" s="10" t="s">
        <v>1182</v>
      </c>
      <c r="B12" s="16">
        <v>561.38</v>
      </c>
    </row>
    <row r="13" spans="1:2">
      <c r="A13" s="10" t="s">
        <v>1183</v>
      </c>
      <c r="B13" s="16">
        <v>565.14</v>
      </c>
    </row>
    <row r="14" spans="1:2">
      <c r="A14" s="10" t="s">
        <v>1184</v>
      </c>
      <c r="B14" s="16">
        <v>554.24</v>
      </c>
    </row>
    <row r="15" spans="1:2">
      <c r="A15" s="10" t="s">
        <v>1185</v>
      </c>
      <c r="B15" s="16">
        <v>562.66999999999996</v>
      </c>
    </row>
    <row r="16" spans="1:2">
      <c r="A16" s="10" t="s">
        <v>1186</v>
      </c>
      <c r="B16" s="16">
        <v>575</v>
      </c>
    </row>
    <row r="17" spans="1:2">
      <c r="A17" s="10" t="s">
        <v>1187</v>
      </c>
      <c r="B17" s="16">
        <v>568.53</v>
      </c>
    </row>
    <row r="18" spans="1:2">
      <c r="A18" s="10" t="s">
        <v>1188</v>
      </c>
      <c r="B18" s="16">
        <v>573.39</v>
      </c>
    </row>
    <row r="19" spans="1:2">
      <c r="A19" s="10" t="s">
        <v>1189</v>
      </c>
      <c r="B19" s="16">
        <v>570.34</v>
      </c>
    </row>
    <row r="20" spans="1:2">
      <c r="A20" s="10" t="s">
        <v>1190</v>
      </c>
      <c r="B20" s="16">
        <v>563.4</v>
      </c>
    </row>
    <row r="21" spans="1:2">
      <c r="A21" s="10" t="s">
        <v>1191</v>
      </c>
      <c r="B21" s="16">
        <v>581.85</v>
      </c>
    </row>
    <row r="22" spans="1:2">
      <c r="A22" s="10" t="s">
        <v>1192</v>
      </c>
      <c r="B22" s="16">
        <v>576.96</v>
      </c>
    </row>
    <row r="23" spans="1:2">
      <c r="A23" s="10" t="s">
        <v>1193</v>
      </c>
      <c r="B23" s="16">
        <v>565.54999999999995</v>
      </c>
    </row>
    <row r="24" spans="1:2">
      <c r="A24" s="10" t="s">
        <v>1194</v>
      </c>
      <c r="B24" s="16">
        <v>557.59</v>
      </c>
    </row>
    <row r="25" spans="1:2">
      <c r="A25" s="10" t="s">
        <v>1195</v>
      </c>
      <c r="B25" s="16">
        <v>554.34</v>
      </c>
    </row>
    <row r="26" spans="1:2">
      <c r="A26" s="10" t="s">
        <v>1196</v>
      </c>
      <c r="B26" s="16">
        <v>546.62</v>
      </c>
    </row>
    <row r="27" spans="1:2">
      <c r="A27" s="10" t="s">
        <v>1197</v>
      </c>
      <c r="B27" s="16">
        <v>535.16999999999996</v>
      </c>
    </row>
    <row r="28" spans="1:2">
      <c r="A28" s="10" t="s">
        <v>1198</v>
      </c>
      <c r="B28" s="16">
        <v>526.92999999999995</v>
      </c>
    </row>
    <row r="29" spans="1:2">
      <c r="A29" s="10" t="s">
        <v>1199</v>
      </c>
      <c r="B29" s="16">
        <v>533.69000000000005</v>
      </c>
    </row>
    <row r="30" spans="1:2">
      <c r="A30" s="10" t="s">
        <v>1200</v>
      </c>
      <c r="B30" s="16">
        <v>517.42999999999995</v>
      </c>
    </row>
    <row r="31" spans="1:2">
      <c r="A31" s="10" t="s">
        <v>1201</v>
      </c>
      <c r="B31" s="16">
        <v>530.62</v>
      </c>
    </row>
    <row r="32" spans="1:2">
      <c r="A32" s="10" t="s">
        <v>1202</v>
      </c>
      <c r="B32" s="16">
        <v>539.65</v>
      </c>
    </row>
    <row r="33" spans="1:2">
      <c r="A33" s="10" t="s">
        <v>1203</v>
      </c>
      <c r="B33" s="16">
        <v>543.23</v>
      </c>
    </row>
    <row r="34" spans="1:2">
      <c r="A34" s="10" t="s">
        <v>1204</v>
      </c>
      <c r="B34" s="16">
        <v>554.58000000000004</v>
      </c>
    </row>
    <row r="35" spans="1:2">
      <c r="A35" s="10" t="s">
        <v>1205</v>
      </c>
      <c r="B35" s="16">
        <v>553.94000000000005</v>
      </c>
    </row>
    <row r="36" spans="1:2">
      <c r="A36" s="10" t="s">
        <v>1206</v>
      </c>
      <c r="B36" s="16">
        <v>552.04999999999995</v>
      </c>
    </row>
    <row r="37" spans="1:2">
      <c r="A37" s="10" t="s">
        <v>1207</v>
      </c>
      <c r="B37" s="16">
        <v>562.57000000000005</v>
      </c>
    </row>
    <row r="38" spans="1:2">
      <c r="A38" s="10" t="s">
        <v>1208</v>
      </c>
      <c r="B38" s="16">
        <v>554.71</v>
      </c>
    </row>
    <row r="39" spans="1:2">
      <c r="A39" s="10" t="s">
        <v>1209</v>
      </c>
      <c r="B39" s="16">
        <v>549.77</v>
      </c>
    </row>
    <row r="40" spans="1:2">
      <c r="A40" s="10" t="s">
        <v>1210</v>
      </c>
      <c r="B40" s="16">
        <v>557.73</v>
      </c>
    </row>
    <row r="41" spans="1:2">
      <c r="A41" s="10" t="s">
        <v>1211</v>
      </c>
      <c r="B41" s="16">
        <v>563.48</v>
      </c>
    </row>
    <row r="42" spans="1:2">
      <c r="A42" s="10" t="s">
        <v>1212</v>
      </c>
      <c r="B42" s="16">
        <v>563</v>
      </c>
    </row>
    <row r="43" spans="1:2">
      <c r="A43" s="10" t="s">
        <v>1213</v>
      </c>
      <c r="B43" s="16">
        <v>575.88</v>
      </c>
    </row>
    <row r="44" spans="1:2">
      <c r="A44" s="10" t="s">
        <v>1214</v>
      </c>
      <c r="B44" s="16">
        <v>579.62</v>
      </c>
    </row>
    <row r="45" spans="1:2">
      <c r="A45" s="10" t="s">
        <v>1215</v>
      </c>
      <c r="B45" s="16">
        <v>576.11</v>
      </c>
    </row>
    <row r="46" spans="1:2">
      <c r="A46" s="10" t="s">
        <v>1216</v>
      </c>
      <c r="B46" s="16">
        <v>576.04999999999995</v>
      </c>
    </row>
    <row r="47" spans="1:2">
      <c r="A47" s="10" t="s">
        <v>1217</v>
      </c>
      <c r="B47" s="16">
        <v>574.39</v>
      </c>
    </row>
    <row r="48" spans="1:2">
      <c r="A48" s="10" t="s">
        <v>1218</v>
      </c>
      <c r="B48" s="16">
        <v>568.24</v>
      </c>
    </row>
    <row r="49" spans="1:2">
      <c r="A49" s="10" t="s">
        <v>1219</v>
      </c>
      <c r="B49" s="16">
        <v>572.04</v>
      </c>
    </row>
    <row r="50" spans="1:2">
      <c r="A50" s="10" t="s">
        <v>1220</v>
      </c>
      <c r="B50" s="16">
        <v>564.12</v>
      </c>
    </row>
    <row r="51" spans="1:2">
      <c r="A51" s="10" t="s">
        <v>1221</v>
      </c>
      <c r="B51" s="16">
        <v>576.59</v>
      </c>
    </row>
    <row r="52" spans="1:2">
      <c r="A52" s="10" t="s">
        <v>1222</v>
      </c>
      <c r="B52" s="16">
        <v>579.05999999999995</v>
      </c>
    </row>
    <row r="53" spans="1:2">
      <c r="A53" s="10" t="s">
        <v>1223</v>
      </c>
      <c r="B53" s="16">
        <v>577.38</v>
      </c>
    </row>
    <row r="54" spans="1:2">
      <c r="A54" s="10" t="s">
        <v>1224</v>
      </c>
      <c r="B54" s="16">
        <v>578.91</v>
      </c>
    </row>
    <row r="55" spans="1:2">
      <c r="A55" s="10" t="s">
        <v>1225</v>
      </c>
      <c r="B55" s="16">
        <v>571.41</v>
      </c>
    </row>
    <row r="56" spans="1:2">
      <c r="A56" s="10" t="s">
        <v>1226</v>
      </c>
      <c r="B56" s="16">
        <v>574.6</v>
      </c>
    </row>
    <row r="57" spans="1:2">
      <c r="A57" s="10" t="s">
        <v>1227</v>
      </c>
      <c r="B57" s="16">
        <v>575.78</v>
      </c>
    </row>
    <row r="58" spans="1:2">
      <c r="A58" s="10" t="s">
        <v>1228</v>
      </c>
      <c r="B58" s="16">
        <v>576.63</v>
      </c>
    </row>
    <row r="59" spans="1:2">
      <c r="A59" s="10" t="s">
        <v>1229</v>
      </c>
      <c r="B59" s="16">
        <v>576.04999999999995</v>
      </c>
    </row>
    <row r="60" spans="1:2">
      <c r="A60" s="10" t="s">
        <v>1230</v>
      </c>
      <c r="B60" s="16">
        <v>571.63</v>
      </c>
    </row>
    <row r="61" spans="1:2">
      <c r="A61" s="10" t="s">
        <v>1231</v>
      </c>
      <c r="B61" s="16">
        <v>574.64</v>
      </c>
    </row>
    <row r="62" spans="1:2">
      <c r="A62" s="10" t="s">
        <v>1232</v>
      </c>
      <c r="B62" s="16">
        <v>575.30999999999995</v>
      </c>
    </row>
    <row r="63" spans="1:2">
      <c r="A63" s="10" t="s">
        <v>1233</v>
      </c>
      <c r="B63" s="16">
        <v>570.27</v>
      </c>
    </row>
    <row r="64" spans="1:2">
      <c r="A64" s="10" t="s">
        <v>1234</v>
      </c>
      <c r="B64" s="16">
        <v>569.66999999999996</v>
      </c>
    </row>
    <row r="65" spans="1:2">
      <c r="A65" s="10" t="s">
        <v>1235</v>
      </c>
      <c r="B65" s="16">
        <v>568.64</v>
      </c>
    </row>
    <row r="66" spans="1:2">
      <c r="A66" s="10" t="s">
        <v>1236</v>
      </c>
      <c r="B66" s="16">
        <v>559.95000000000005</v>
      </c>
    </row>
    <row r="67" spans="1:2">
      <c r="A67" s="10" t="s">
        <v>1237</v>
      </c>
      <c r="B67" s="16">
        <v>564.39</v>
      </c>
    </row>
    <row r="68" spans="1:2">
      <c r="A68" s="10" t="s">
        <v>1238</v>
      </c>
      <c r="B68" s="16">
        <v>556.88</v>
      </c>
    </row>
    <row r="69" spans="1:2">
      <c r="A69" s="10" t="s">
        <v>1239</v>
      </c>
      <c r="B69" s="16">
        <v>559.87</v>
      </c>
    </row>
    <row r="70" spans="1:2">
      <c r="A70" s="10" t="s">
        <v>1240</v>
      </c>
      <c r="B70" s="16">
        <v>558.80999999999995</v>
      </c>
    </row>
    <row r="71" spans="1:2">
      <c r="A71" s="10" t="s">
        <v>1241</v>
      </c>
      <c r="B71" s="16">
        <v>564.57000000000005</v>
      </c>
    </row>
    <row r="72" spans="1:2">
      <c r="A72" s="10" t="s">
        <v>1242</v>
      </c>
      <c r="B72" s="16">
        <v>578.35</v>
      </c>
    </row>
    <row r="73" spans="1:2">
      <c r="A73" s="10" t="s">
        <v>1243</v>
      </c>
      <c r="B73" s="16">
        <v>581.29</v>
      </c>
    </row>
    <row r="74" spans="1:2">
      <c r="A74" s="10" t="s">
        <v>1244</v>
      </c>
      <c r="B74" s="16">
        <v>578.96</v>
      </c>
    </row>
    <row r="75" spans="1:2">
      <c r="A75" s="10" t="s">
        <v>1245</v>
      </c>
      <c r="B75" s="16">
        <v>580.32000000000005</v>
      </c>
    </row>
    <row r="76" spans="1:2">
      <c r="A76" s="10" t="s">
        <v>1246</v>
      </c>
      <c r="B76" s="16">
        <v>584.27</v>
      </c>
    </row>
    <row r="77" spans="1:2">
      <c r="A77" s="10" t="s">
        <v>1247</v>
      </c>
      <c r="B77" s="16">
        <v>587.42999999999995</v>
      </c>
    </row>
    <row r="78" spans="1:2">
      <c r="A78" s="10" t="s">
        <v>1248</v>
      </c>
      <c r="B78" s="16">
        <v>587.08000000000004</v>
      </c>
    </row>
    <row r="79" spans="1:2">
      <c r="A79" s="10" t="s">
        <v>1249</v>
      </c>
      <c r="B79" s="16">
        <v>585.67999999999995</v>
      </c>
    </row>
    <row r="80" spans="1:2">
      <c r="A80" s="10" t="s">
        <v>1250</v>
      </c>
      <c r="B80" s="16">
        <v>582.24</v>
      </c>
    </row>
    <row r="81" spans="1:2">
      <c r="A81" s="10" t="s">
        <v>1251</v>
      </c>
      <c r="B81" s="16">
        <v>580.63</v>
      </c>
    </row>
    <row r="82" spans="1:2">
      <c r="A82" s="10" t="s">
        <v>1252</v>
      </c>
      <c r="B82" s="16">
        <v>580.34</v>
      </c>
    </row>
    <row r="83" spans="1:2">
      <c r="A83" s="10" t="s">
        <v>1253</v>
      </c>
      <c r="B83" s="16">
        <v>576.48</v>
      </c>
    </row>
    <row r="84" spans="1:2">
      <c r="A84" s="10" t="s">
        <v>1254</v>
      </c>
      <c r="B84" s="16">
        <v>563.24</v>
      </c>
    </row>
    <row r="85" spans="1:2">
      <c r="A85" s="10" t="s">
        <v>1255</v>
      </c>
      <c r="B85" s="16">
        <v>564.80999999999995</v>
      </c>
    </row>
    <row r="86" spans="1:2">
      <c r="A86" s="10" t="s">
        <v>1256</v>
      </c>
      <c r="B86" s="16">
        <v>558.29</v>
      </c>
    </row>
    <row r="87" spans="1:2">
      <c r="A87" s="10" t="s">
        <v>1257</v>
      </c>
      <c r="B87" s="16">
        <v>554.22</v>
      </c>
    </row>
    <row r="88" spans="1:2">
      <c r="A88" s="10" t="s">
        <v>1258</v>
      </c>
      <c r="B88" s="16">
        <v>557.32000000000005</v>
      </c>
    </row>
    <row r="89" spans="1:2">
      <c r="A89" s="10" t="s">
        <v>1259</v>
      </c>
      <c r="B89" s="16">
        <v>557.48</v>
      </c>
    </row>
    <row r="90" spans="1:2">
      <c r="A90" s="10" t="s">
        <v>1260</v>
      </c>
      <c r="B90" s="16">
        <v>559.97</v>
      </c>
    </row>
    <row r="91" spans="1:2">
      <c r="A91" s="10" t="s">
        <v>1261</v>
      </c>
      <c r="B91" s="16">
        <v>565.45000000000005</v>
      </c>
    </row>
    <row r="92" spans="1:2">
      <c r="A92" s="10" t="s">
        <v>1262</v>
      </c>
      <c r="B92" s="16">
        <v>559.07000000000005</v>
      </c>
    </row>
    <row r="93" spans="1:2">
      <c r="A93" s="10" t="s">
        <v>1263</v>
      </c>
      <c r="B93" s="16">
        <v>557.59</v>
      </c>
    </row>
    <row r="94" spans="1:2">
      <c r="A94" s="10" t="s">
        <v>1264</v>
      </c>
      <c r="B94" s="16">
        <v>559.72</v>
      </c>
    </row>
    <row r="95" spans="1:2">
      <c r="A95" s="10" t="s">
        <v>1265</v>
      </c>
      <c r="B95" s="16">
        <v>561.71</v>
      </c>
    </row>
    <row r="96" spans="1:2">
      <c r="A96" s="10" t="s">
        <v>1266</v>
      </c>
      <c r="B96" s="16">
        <v>557.25</v>
      </c>
    </row>
    <row r="97" spans="1:2">
      <c r="A97" s="10" t="s">
        <v>1267</v>
      </c>
      <c r="B97" s="16">
        <v>561.17999999999995</v>
      </c>
    </row>
    <row r="98" spans="1:2">
      <c r="A98" s="10" t="s">
        <v>1268</v>
      </c>
      <c r="B98" s="16">
        <v>558.64</v>
      </c>
    </row>
    <row r="99" spans="1:2">
      <c r="A99" s="10" t="s">
        <v>1269</v>
      </c>
      <c r="B99" s="16">
        <v>563.64</v>
      </c>
    </row>
    <row r="100" spans="1:2">
      <c r="A100" s="10" t="s">
        <v>1270</v>
      </c>
      <c r="B100" s="16">
        <v>561.37</v>
      </c>
    </row>
    <row r="101" spans="1:2">
      <c r="A101" s="10" t="s">
        <v>1271</v>
      </c>
      <c r="B101" s="16">
        <v>573.41999999999996</v>
      </c>
    </row>
    <row r="102" spans="1:2">
      <c r="A102" s="10" t="s">
        <v>1272</v>
      </c>
      <c r="B102" s="16">
        <v>580.70000000000005</v>
      </c>
    </row>
    <row r="103" spans="1:2">
      <c r="A103" s="10" t="s">
        <v>1273</v>
      </c>
      <c r="B103" s="16">
        <v>581.03</v>
      </c>
    </row>
    <row r="104" spans="1:2">
      <c r="A104" s="10" t="s">
        <v>1274</v>
      </c>
      <c r="B104" s="16">
        <v>584.12</v>
      </c>
    </row>
    <row r="105" spans="1:2">
      <c r="A105" s="10" t="s">
        <v>1275</v>
      </c>
      <c r="B105" s="16">
        <v>584.70000000000005</v>
      </c>
    </row>
    <row r="106" spans="1:2">
      <c r="A106" s="10" t="s">
        <v>1276</v>
      </c>
      <c r="B106" s="16">
        <v>582.66999999999996</v>
      </c>
    </row>
    <row r="107" spans="1:2">
      <c r="A107" s="10" t="s">
        <v>1277</v>
      </c>
      <c r="B107" s="16">
        <v>579.4</v>
      </c>
    </row>
    <row r="108" spans="1:2">
      <c r="A108" s="10" t="s">
        <v>1278</v>
      </c>
      <c r="B108" s="16">
        <v>580.41999999999996</v>
      </c>
    </row>
    <row r="109" spans="1:2">
      <c r="A109" s="10" t="s">
        <v>1279</v>
      </c>
      <c r="B109" s="16">
        <v>571.29999999999995</v>
      </c>
    </row>
    <row r="110" spans="1:2">
      <c r="A110" s="10" t="s">
        <v>1280</v>
      </c>
      <c r="B110" s="16">
        <v>571.59</v>
      </c>
    </row>
    <row r="111" spans="1:2">
      <c r="A111" s="10" t="s">
        <v>1281</v>
      </c>
      <c r="B111" s="16">
        <v>574.63</v>
      </c>
    </row>
    <row r="112" spans="1:2">
      <c r="A112" s="10" t="s">
        <v>1282</v>
      </c>
      <c r="B112" s="16">
        <v>572.70000000000005</v>
      </c>
    </row>
    <row r="113" spans="1:2">
      <c r="A113" s="10" t="s">
        <v>1283</v>
      </c>
      <c r="B113" s="16">
        <v>571.4</v>
      </c>
    </row>
    <row r="114" spans="1:2">
      <c r="A114" s="10" t="s">
        <v>1284</v>
      </c>
      <c r="B114" s="16">
        <v>563.42999999999995</v>
      </c>
    </row>
    <row r="115" spans="1:2">
      <c r="A115" s="10" t="s">
        <v>1285</v>
      </c>
      <c r="B115" s="16">
        <v>555.19000000000005</v>
      </c>
    </row>
    <row r="116" spans="1:2">
      <c r="A116" s="10" t="s">
        <v>1286</v>
      </c>
      <c r="B116" s="16">
        <v>552.74</v>
      </c>
    </row>
    <row r="117" spans="1:2">
      <c r="A117" s="10" t="s">
        <v>1287</v>
      </c>
      <c r="B117" s="16">
        <v>553.86</v>
      </c>
    </row>
    <row r="118" spans="1:2">
      <c r="A118" s="10" t="s">
        <v>1288</v>
      </c>
      <c r="B118" s="16">
        <v>556.71</v>
      </c>
    </row>
    <row r="119" spans="1:2">
      <c r="A119" s="10" t="s">
        <v>1289</v>
      </c>
      <c r="B119" s="16">
        <v>554.83000000000004</v>
      </c>
    </row>
    <row r="120" spans="1:2">
      <c r="A120" s="10" t="s">
        <v>1290</v>
      </c>
      <c r="B120" s="16">
        <v>561.26</v>
      </c>
    </row>
    <row r="121" spans="1:2">
      <c r="A121" s="10" t="s">
        <v>1291</v>
      </c>
      <c r="B121" s="16">
        <v>566.20000000000005</v>
      </c>
    </row>
    <row r="122" spans="1:2">
      <c r="A122" s="10" t="s">
        <v>1292</v>
      </c>
      <c r="B122" s="16">
        <v>566.21</v>
      </c>
    </row>
    <row r="123" spans="1:2">
      <c r="A123" s="10" t="s">
        <v>1293</v>
      </c>
      <c r="B123" s="16">
        <v>573.59</v>
      </c>
    </row>
    <row r="124" spans="1:2">
      <c r="A124" s="10" t="s">
        <v>1294</v>
      </c>
      <c r="B124" s="16">
        <v>547.41999999999996</v>
      </c>
    </row>
    <row r="125" spans="1:2">
      <c r="A125" s="10" t="s">
        <v>1295</v>
      </c>
      <c r="B125" s="16">
        <v>539.02</v>
      </c>
    </row>
    <row r="126" spans="1:2">
      <c r="A126" s="10" t="s">
        <v>1296</v>
      </c>
      <c r="B126" s="16">
        <v>547.41</v>
      </c>
    </row>
    <row r="127" spans="1:2">
      <c r="A127" s="10" t="s">
        <v>1297</v>
      </c>
      <c r="B127" s="16">
        <v>557.16</v>
      </c>
    </row>
    <row r="128" spans="1:2">
      <c r="A128" s="10" t="s">
        <v>1298</v>
      </c>
      <c r="B128" s="16">
        <v>563.61</v>
      </c>
    </row>
    <row r="129" spans="1:2">
      <c r="A129" s="10" t="s">
        <v>1299</v>
      </c>
      <c r="B129" s="16">
        <v>565.13</v>
      </c>
    </row>
    <row r="130" spans="1:2">
      <c r="A130" s="10" t="s">
        <v>1300</v>
      </c>
      <c r="B130" s="16">
        <v>562.39</v>
      </c>
    </row>
    <row r="131" spans="1:2">
      <c r="A131" s="10" t="s">
        <v>1301</v>
      </c>
      <c r="B131" s="16">
        <v>557.64</v>
      </c>
    </row>
    <row r="132" spans="1:2">
      <c r="A132" s="10" t="s">
        <v>1302</v>
      </c>
      <c r="B132" s="16">
        <v>555.95000000000005</v>
      </c>
    </row>
    <row r="133" spans="1:2">
      <c r="A133" s="10" t="s">
        <v>1303</v>
      </c>
      <c r="B133" s="16">
        <v>557.44000000000005</v>
      </c>
    </row>
    <row r="134" spans="1:2">
      <c r="A134" s="10" t="s">
        <v>1304</v>
      </c>
      <c r="B134" s="16">
        <v>568.21</v>
      </c>
    </row>
    <row r="135" spans="1:2">
      <c r="A135" s="10" t="s">
        <v>1305</v>
      </c>
      <c r="B135" s="16">
        <v>572.58000000000004</v>
      </c>
    </row>
    <row r="136" spans="1:2">
      <c r="A136" s="10" t="s">
        <v>1306</v>
      </c>
      <c r="B136" s="16">
        <v>577.91</v>
      </c>
    </row>
    <row r="137" spans="1:2">
      <c r="A137" s="10" t="s">
        <v>1307</v>
      </c>
      <c r="B137" s="16">
        <v>576.53</v>
      </c>
    </row>
    <row r="138" spans="1:2">
      <c r="A138" s="10" t="s">
        <v>1308</v>
      </c>
      <c r="B138" s="16">
        <v>582.02</v>
      </c>
    </row>
    <row r="139" spans="1:2">
      <c r="A139" s="10" t="s">
        <v>1309</v>
      </c>
      <c r="B139" s="16">
        <v>582.13</v>
      </c>
    </row>
    <row r="140" spans="1:2">
      <c r="A140" s="10" t="s">
        <v>1310</v>
      </c>
      <c r="B140" s="16">
        <v>582.27</v>
      </c>
    </row>
    <row r="141" spans="1:2">
      <c r="A141" s="10" t="s">
        <v>1311</v>
      </c>
      <c r="B141" s="16">
        <v>581.79999999999995</v>
      </c>
    </row>
    <row r="142" spans="1:2">
      <c r="A142" s="10" t="s">
        <v>1312</v>
      </c>
      <c r="B142" s="16">
        <v>587.22</v>
      </c>
    </row>
    <row r="143" spans="1:2">
      <c r="A143" s="10" t="s">
        <v>1313</v>
      </c>
      <c r="B143" s="16">
        <v>586.54999999999995</v>
      </c>
    </row>
    <row r="144" spans="1:2">
      <c r="A144" s="10" t="s">
        <v>1314</v>
      </c>
      <c r="B144" s="16">
        <v>588.91</v>
      </c>
    </row>
    <row r="145" spans="1:2">
      <c r="A145" s="10" t="s">
        <v>1315</v>
      </c>
      <c r="B145" s="16">
        <v>588.04999999999995</v>
      </c>
    </row>
    <row r="146" spans="1:2">
      <c r="A146" s="10" t="s">
        <v>1316</v>
      </c>
      <c r="B146" s="16">
        <v>587.44000000000005</v>
      </c>
    </row>
    <row r="147" spans="1:2">
      <c r="A147" s="10" t="s">
        <v>1317</v>
      </c>
      <c r="B147" s="16">
        <v>589.74</v>
      </c>
    </row>
    <row r="148" spans="1:2">
      <c r="A148" s="10" t="s">
        <v>1318</v>
      </c>
      <c r="B148" s="16">
        <v>584.57000000000005</v>
      </c>
    </row>
    <row r="149" spans="1:2">
      <c r="A149" s="10" t="s">
        <v>1319</v>
      </c>
      <c r="B149" s="16">
        <v>584.41</v>
      </c>
    </row>
    <row r="150" spans="1:2">
      <c r="A150" s="10" t="s">
        <v>1320</v>
      </c>
      <c r="B150" s="16">
        <v>583.39</v>
      </c>
    </row>
    <row r="151" spans="1:2">
      <c r="A151" s="10" t="s">
        <v>1321</v>
      </c>
      <c r="B151" s="16">
        <v>574.78</v>
      </c>
    </row>
    <row r="152" spans="1:2">
      <c r="A152" s="10" t="s">
        <v>1322</v>
      </c>
      <c r="B152" s="16">
        <v>577.12</v>
      </c>
    </row>
    <row r="153" spans="1:2">
      <c r="A153" s="10" t="s">
        <v>1323</v>
      </c>
      <c r="B153" s="16">
        <v>579.55999999999995</v>
      </c>
    </row>
    <row r="154" spans="1:2">
      <c r="A154" s="10" t="s">
        <v>1324</v>
      </c>
      <c r="B154" s="16">
        <v>587.85</v>
      </c>
    </row>
    <row r="155" spans="1:2">
      <c r="A155" s="10" t="s">
        <v>1325</v>
      </c>
      <c r="B155" s="16">
        <v>587.85</v>
      </c>
    </row>
    <row r="156" spans="1:2">
      <c r="A156" s="10" t="s">
        <v>1326</v>
      </c>
      <c r="B156" s="16">
        <v>591.53</v>
      </c>
    </row>
    <row r="157" spans="1:2">
      <c r="A157" s="10" t="s">
        <v>1327</v>
      </c>
      <c r="B157" s="16">
        <v>588.42999999999995</v>
      </c>
    </row>
    <row r="158" spans="1:2">
      <c r="A158" s="10" t="s">
        <v>1328</v>
      </c>
      <c r="B158" s="16">
        <v>591.79999999999995</v>
      </c>
    </row>
    <row r="159" spans="1:2">
      <c r="A159" s="10" t="s">
        <v>1329</v>
      </c>
      <c r="B159" s="16">
        <v>590.36</v>
      </c>
    </row>
    <row r="160" spans="1:2">
      <c r="A160" s="10" t="s">
        <v>1330</v>
      </c>
      <c r="B160" s="16">
        <v>590.72</v>
      </c>
    </row>
    <row r="161" spans="1:2">
      <c r="A161" s="10" t="s">
        <v>1331</v>
      </c>
      <c r="B161" s="16">
        <v>585.36</v>
      </c>
    </row>
    <row r="162" spans="1:2">
      <c r="A162" s="10" t="s">
        <v>1332</v>
      </c>
      <c r="B162" s="16">
        <v>582.02</v>
      </c>
    </row>
    <row r="163" spans="1:2">
      <c r="A163" s="10" t="s">
        <v>1333</v>
      </c>
      <c r="B163" s="16">
        <v>581.78</v>
      </c>
    </row>
    <row r="164" spans="1:2">
      <c r="A164" s="10" t="s">
        <v>1334</v>
      </c>
      <c r="B164" s="16">
        <v>579.33000000000004</v>
      </c>
    </row>
    <row r="165" spans="1:2">
      <c r="A165" s="10" t="s">
        <v>1335</v>
      </c>
      <c r="B165" s="16">
        <v>577.91999999999996</v>
      </c>
    </row>
    <row r="166" spans="1:2">
      <c r="A166" s="10" t="s">
        <v>1336</v>
      </c>
      <c r="B166" s="16">
        <v>581.37</v>
      </c>
    </row>
    <row r="167" spans="1:2">
      <c r="A167" s="10" t="s">
        <v>1337</v>
      </c>
      <c r="B167" s="16">
        <v>583.13</v>
      </c>
    </row>
    <row r="168" spans="1:2">
      <c r="A168" s="10" t="s">
        <v>1338</v>
      </c>
      <c r="B168" s="16">
        <v>579.94000000000005</v>
      </c>
    </row>
    <row r="169" spans="1:2">
      <c r="A169" s="10" t="s">
        <v>1339</v>
      </c>
      <c r="B169" s="16">
        <v>581.19000000000005</v>
      </c>
    </row>
    <row r="170" spans="1:2">
      <c r="A170" s="10" t="s">
        <v>1340</v>
      </c>
      <c r="B170" s="16">
        <v>584.41999999999996</v>
      </c>
    </row>
    <row r="171" spans="1:2">
      <c r="A171" s="10" t="s">
        <v>1341</v>
      </c>
      <c r="B171" s="16">
        <v>586.96</v>
      </c>
    </row>
    <row r="172" spans="1:2">
      <c r="A172" s="10" t="s">
        <v>1342</v>
      </c>
      <c r="B172" s="16">
        <v>586.14</v>
      </c>
    </row>
    <row r="173" spans="1:2">
      <c r="A173" s="10" t="s">
        <v>1343</v>
      </c>
      <c r="B173" s="16">
        <v>584.27</v>
      </c>
    </row>
    <row r="174" spans="1:2">
      <c r="A174" s="10" t="s">
        <v>1344</v>
      </c>
      <c r="B174" s="16">
        <v>590.65</v>
      </c>
    </row>
    <row r="175" spans="1:2">
      <c r="A175" s="10" t="s">
        <v>1345</v>
      </c>
      <c r="B175" s="16">
        <v>590.52</v>
      </c>
    </row>
    <row r="176" spans="1:2">
      <c r="A176" s="10" t="s">
        <v>1346</v>
      </c>
      <c r="B176" s="16">
        <v>586.94000000000005</v>
      </c>
    </row>
    <row r="177" spans="1:2">
      <c r="A177" s="10" t="s">
        <v>1347</v>
      </c>
      <c r="B177" s="16">
        <v>588.42999999999995</v>
      </c>
    </row>
    <row r="178" spans="1:2">
      <c r="A178" s="10" t="s">
        <v>1348</v>
      </c>
      <c r="B178" s="16">
        <v>584.97</v>
      </c>
    </row>
    <row r="179" spans="1:2">
      <c r="A179" s="10" t="s">
        <v>1349</v>
      </c>
      <c r="B179" s="16">
        <v>576.73</v>
      </c>
    </row>
    <row r="180" spans="1:2">
      <c r="A180" s="10" t="s">
        <v>1350</v>
      </c>
      <c r="B180" s="16">
        <v>577.29999999999995</v>
      </c>
    </row>
    <row r="181" spans="1:2">
      <c r="A181" s="10" t="s">
        <v>1351</v>
      </c>
      <c r="B181" s="16">
        <v>570.5</v>
      </c>
    </row>
    <row r="182" spans="1:2">
      <c r="A182" s="10" t="s">
        <v>1352</v>
      </c>
      <c r="B182" s="16">
        <v>570.04</v>
      </c>
    </row>
    <row r="183" spans="1:2">
      <c r="A183" s="10" t="s">
        <v>1353</v>
      </c>
      <c r="B183" s="16">
        <v>574.20000000000005</v>
      </c>
    </row>
    <row r="184" spans="1:2">
      <c r="A184" s="10" t="s">
        <v>1354</v>
      </c>
      <c r="B184" s="16">
        <v>572.14</v>
      </c>
    </row>
    <row r="185" spans="1:2">
      <c r="A185" s="10" t="s">
        <v>1355</v>
      </c>
      <c r="B185" s="16">
        <v>573.4</v>
      </c>
    </row>
    <row r="186" spans="1:2">
      <c r="A186" s="10" t="s">
        <v>1356</v>
      </c>
      <c r="B186" s="16">
        <v>574.63</v>
      </c>
    </row>
    <row r="187" spans="1:2">
      <c r="A187" s="10" t="s">
        <v>1357</v>
      </c>
      <c r="B187" s="16">
        <v>579.41999999999996</v>
      </c>
    </row>
    <row r="188" spans="1:2">
      <c r="A188" s="10" t="s">
        <v>1358</v>
      </c>
      <c r="B188" s="16">
        <v>583.77</v>
      </c>
    </row>
    <row r="189" spans="1:2">
      <c r="A189" s="10" t="s">
        <v>1359</v>
      </c>
      <c r="B189" s="16">
        <v>580.95000000000005</v>
      </c>
    </row>
    <row r="190" spans="1:2">
      <c r="A190" s="10" t="s">
        <v>1360</v>
      </c>
      <c r="B190" s="16">
        <v>571.63</v>
      </c>
    </row>
    <row r="191" spans="1:2">
      <c r="A191" s="10" t="s">
        <v>1361</v>
      </c>
      <c r="B191" s="16">
        <v>575.97</v>
      </c>
    </row>
    <row r="192" spans="1:2">
      <c r="A192" s="10" t="s">
        <v>1362</v>
      </c>
      <c r="B192" s="16">
        <v>578.67999999999995</v>
      </c>
    </row>
    <row r="193" spans="1:2">
      <c r="A193" s="10" t="s">
        <v>1363</v>
      </c>
      <c r="B193" s="16">
        <v>573.94000000000005</v>
      </c>
    </row>
    <row r="194" spans="1:2">
      <c r="A194" s="10" t="s">
        <v>1364</v>
      </c>
      <c r="B194" s="16">
        <v>577.25</v>
      </c>
    </row>
    <row r="195" spans="1:2">
      <c r="A195" s="10" t="s">
        <v>1365</v>
      </c>
      <c r="B195" s="16">
        <v>576.09</v>
      </c>
    </row>
    <row r="196" spans="1:2">
      <c r="A196" s="10" t="s">
        <v>1366</v>
      </c>
      <c r="B196" s="16">
        <v>578.99</v>
      </c>
    </row>
    <row r="197" spans="1:2">
      <c r="A197" s="10" t="s">
        <v>1367</v>
      </c>
      <c r="B197" s="16">
        <v>578.76</v>
      </c>
    </row>
    <row r="198" spans="1:2">
      <c r="A198" s="10" t="s">
        <v>1368</v>
      </c>
      <c r="B198" s="16">
        <v>579.51</v>
      </c>
    </row>
    <row r="199" spans="1:2">
      <c r="A199" s="10" t="s">
        <v>1369</v>
      </c>
      <c r="B199" s="16">
        <v>576.76</v>
      </c>
    </row>
    <row r="200" spans="1:2">
      <c r="A200" s="10" t="s">
        <v>1370</v>
      </c>
      <c r="B200" s="16">
        <v>580.69000000000005</v>
      </c>
    </row>
    <row r="201" spans="1:2">
      <c r="A201" s="10" t="s">
        <v>1371</v>
      </c>
      <c r="B201" s="16">
        <v>578.79</v>
      </c>
    </row>
    <row r="202" spans="1:2">
      <c r="A202" s="10" t="s">
        <v>1372</v>
      </c>
      <c r="B202" s="16">
        <v>578.72</v>
      </c>
    </row>
    <row r="203" spans="1:2">
      <c r="A203" s="10" t="s">
        <v>1373</v>
      </c>
      <c r="B203" s="16">
        <v>574.46</v>
      </c>
    </row>
    <row r="204" spans="1:2">
      <c r="A204" s="10" t="s">
        <v>1374</v>
      </c>
      <c r="B204" s="16">
        <v>580.07000000000005</v>
      </c>
    </row>
    <row r="205" spans="1:2">
      <c r="A205" s="10" t="s">
        <v>1375</v>
      </c>
      <c r="B205" s="16">
        <v>577.73</v>
      </c>
    </row>
    <row r="206" spans="1:2">
      <c r="A206" s="10" t="s">
        <v>1376</v>
      </c>
      <c r="B206" s="16">
        <v>583.16999999999996</v>
      </c>
    </row>
    <row r="207" spans="1:2">
      <c r="A207" s="10" t="s">
        <v>1377</v>
      </c>
      <c r="B207" s="16">
        <v>583.70000000000005</v>
      </c>
    </row>
    <row r="208" spans="1:2">
      <c r="A208" s="10" t="s">
        <v>1378</v>
      </c>
      <c r="B208" s="16">
        <v>585.20000000000005</v>
      </c>
    </row>
    <row r="209" spans="1:2">
      <c r="A209" s="10" t="s">
        <v>1379</v>
      </c>
      <c r="B209" s="16">
        <v>586.36</v>
      </c>
    </row>
    <row r="210" spans="1:2">
      <c r="A210" s="10" t="s">
        <v>1380</v>
      </c>
      <c r="B210" s="16">
        <v>588.16</v>
      </c>
    </row>
    <row r="211" spans="1:2">
      <c r="A211" s="10" t="s">
        <v>1381</v>
      </c>
      <c r="B211" s="16">
        <v>588.04</v>
      </c>
    </row>
    <row r="212" spans="1:2">
      <c r="A212" s="10" t="s">
        <v>1382</v>
      </c>
      <c r="B212" s="16">
        <v>584.42999999999995</v>
      </c>
    </row>
    <row r="213" spans="1:2">
      <c r="A213" s="10" t="s">
        <v>1383</v>
      </c>
      <c r="B213" s="16">
        <v>584.1</v>
      </c>
    </row>
    <row r="214" spans="1:2">
      <c r="A214" s="10" t="s">
        <v>1384</v>
      </c>
      <c r="B214" s="16">
        <v>582.03</v>
      </c>
    </row>
    <row r="215" spans="1:2">
      <c r="A215" s="10" t="s">
        <v>1385</v>
      </c>
      <c r="B215" s="16">
        <v>577.98</v>
      </c>
    </row>
    <row r="216" spans="1:2">
      <c r="A216" s="10" t="s">
        <v>1386</v>
      </c>
      <c r="B216" s="16">
        <v>571.02</v>
      </c>
    </row>
    <row r="217" spans="1:2">
      <c r="A217" s="10" t="s">
        <v>1387</v>
      </c>
      <c r="B217" s="16">
        <v>563.65</v>
      </c>
    </row>
    <row r="218" spans="1:2">
      <c r="A218" s="10" t="s">
        <v>1388</v>
      </c>
      <c r="B218" s="16">
        <v>562.19000000000005</v>
      </c>
    </row>
    <row r="219" spans="1:2">
      <c r="A219" s="10" t="s">
        <v>1389</v>
      </c>
      <c r="B219" s="16">
        <v>558.87</v>
      </c>
    </row>
    <row r="220" spans="1:2">
      <c r="A220" s="10" t="s">
        <v>1390</v>
      </c>
      <c r="B220" s="16">
        <v>572.36</v>
      </c>
    </row>
    <row r="221" spans="1:2">
      <c r="A221" s="10" t="s">
        <v>1391</v>
      </c>
      <c r="B221" s="16">
        <v>574.13</v>
      </c>
    </row>
    <row r="222" spans="1:2">
      <c r="A222" s="10" t="s">
        <v>1392</v>
      </c>
      <c r="B222" s="16">
        <v>583.52</v>
      </c>
    </row>
    <row r="223" spans="1:2">
      <c r="A223" s="10" t="s">
        <v>1393</v>
      </c>
      <c r="B223" s="16">
        <v>583.87</v>
      </c>
    </row>
    <row r="224" spans="1:2">
      <c r="A224" s="10" t="s">
        <v>1394</v>
      </c>
      <c r="B224" s="16">
        <v>584.20000000000005</v>
      </c>
    </row>
    <row r="225" spans="1:2">
      <c r="A225" s="10" t="s">
        <v>1395</v>
      </c>
      <c r="B225" s="16">
        <v>586.75</v>
      </c>
    </row>
    <row r="226" spans="1:2">
      <c r="A226" s="10" t="s">
        <v>1396</v>
      </c>
      <c r="B226" s="16">
        <v>589.6</v>
      </c>
    </row>
    <row r="227" spans="1:2">
      <c r="A227" s="10" t="s">
        <v>1397</v>
      </c>
      <c r="B227" s="16">
        <v>589.98</v>
      </c>
    </row>
    <row r="228" spans="1:2">
      <c r="A228" s="10" t="s">
        <v>1398</v>
      </c>
      <c r="B228" s="16">
        <v>592.73</v>
      </c>
    </row>
    <row r="229" spans="1:2">
      <c r="A229" s="10" t="s">
        <v>1399</v>
      </c>
      <c r="B229" s="16">
        <v>593.52</v>
      </c>
    </row>
    <row r="230" spans="1:2">
      <c r="A230" s="10" t="s">
        <v>1400</v>
      </c>
      <c r="B230" s="16">
        <v>593.67999999999995</v>
      </c>
    </row>
    <row r="231" spans="1:2">
      <c r="A231" s="10" t="s">
        <v>1401</v>
      </c>
      <c r="B231" s="16">
        <v>596.48</v>
      </c>
    </row>
    <row r="232" spans="1:2">
      <c r="A232" s="10" t="s">
        <v>1402</v>
      </c>
      <c r="B232" s="16">
        <v>596.46</v>
      </c>
    </row>
    <row r="233" spans="1:2">
      <c r="A233" s="10" t="s">
        <v>1403</v>
      </c>
      <c r="B233" s="16">
        <v>595.99</v>
      </c>
    </row>
    <row r="234" spans="1:2">
      <c r="A234" s="10" t="s">
        <v>1404</v>
      </c>
      <c r="B234" s="16">
        <v>597.14</v>
      </c>
    </row>
    <row r="235" spans="1:2">
      <c r="A235" s="10" t="s">
        <v>1405</v>
      </c>
      <c r="B235" s="16">
        <v>593.12</v>
      </c>
    </row>
    <row r="236" spans="1:2">
      <c r="A236" s="10" t="s">
        <v>1406</v>
      </c>
      <c r="B236" s="16">
        <v>594.5</v>
      </c>
    </row>
    <row r="237" spans="1:2">
      <c r="A237" s="10" t="s">
        <v>1407</v>
      </c>
      <c r="B237" s="16">
        <v>594.24</v>
      </c>
    </row>
    <row r="238" spans="1:2">
      <c r="A238" s="10" t="s">
        <v>1408</v>
      </c>
      <c r="B238" s="16">
        <v>590.57000000000005</v>
      </c>
    </row>
    <row r="239" spans="1:2">
      <c r="A239" s="10" t="s">
        <v>1409</v>
      </c>
      <c r="B239" s="16">
        <v>587.55999999999995</v>
      </c>
    </row>
    <row r="240" spans="1:2">
      <c r="A240" s="10" t="s">
        <v>1410</v>
      </c>
      <c r="B240" s="16">
        <v>589.97</v>
      </c>
    </row>
    <row r="241" spans="1:2">
      <c r="A241" s="10" t="s">
        <v>1411</v>
      </c>
      <c r="B241" s="16">
        <v>594.79</v>
      </c>
    </row>
    <row r="242" spans="1:2">
      <c r="A242" s="10" t="s">
        <v>1412</v>
      </c>
      <c r="B242" s="16">
        <v>602.36</v>
      </c>
    </row>
    <row r="243" spans="1:2">
      <c r="A243" s="10" t="s">
        <v>1413</v>
      </c>
      <c r="B243" s="16">
        <v>611.16999999999996</v>
      </c>
    </row>
    <row r="244" spans="1:2">
      <c r="A244" s="10" t="s">
        <v>1414</v>
      </c>
      <c r="B244" s="16">
        <v>617.38</v>
      </c>
    </row>
    <row r="245" spans="1:2">
      <c r="A245" s="10" t="s">
        <v>1415</v>
      </c>
      <c r="B245" s="16">
        <v>614.29999999999995</v>
      </c>
    </row>
    <row r="246" spans="1:2">
      <c r="A246" s="10" t="s">
        <v>1416</v>
      </c>
      <c r="B246" s="16">
        <v>618.66</v>
      </c>
    </row>
    <row r="247" spans="1:2">
      <c r="A247" s="10" t="s">
        <v>1417</v>
      </c>
      <c r="B247" s="16">
        <v>614.16</v>
      </c>
    </row>
    <row r="248" spans="1:2">
      <c r="A248" s="10" t="s">
        <v>1418</v>
      </c>
      <c r="B248" s="16">
        <v>626.47</v>
      </c>
    </row>
    <row r="249" spans="1:2">
      <c r="A249" s="10" t="s">
        <v>1419</v>
      </c>
      <c r="B249" s="16">
        <v>626.54999999999995</v>
      </c>
    </row>
    <row r="250" spans="1:2">
      <c r="A250" s="10" t="s">
        <v>1420</v>
      </c>
      <c r="B250" s="16">
        <v>626.91</v>
      </c>
    </row>
    <row r="251" spans="1:2">
      <c r="A251" s="10" t="s">
        <v>1421</v>
      </c>
      <c r="B251" s="16">
        <v>631.89</v>
      </c>
    </row>
    <row r="252" spans="1:2">
      <c r="A252" s="10" t="s">
        <v>1422</v>
      </c>
      <c r="B252" s="16">
        <v>628.21</v>
      </c>
    </row>
    <row r="253" spans="1:2">
      <c r="A253" s="10" t="s">
        <v>1423</v>
      </c>
      <c r="B253" s="16">
        <v>626.75</v>
      </c>
    </row>
    <row r="254" spans="1:2">
      <c r="A254" s="10" t="s">
        <v>1424</v>
      </c>
      <c r="B254" s="16">
        <v>627.21</v>
      </c>
    </row>
    <row r="255" spans="1:2">
      <c r="A255" s="10" t="s">
        <v>1425</v>
      </c>
      <c r="B255" s="16">
        <v>627.94000000000005</v>
      </c>
    </row>
    <row r="256" spans="1:2">
      <c r="A256" s="10" t="s">
        <v>1426</v>
      </c>
      <c r="B256" s="16">
        <v>627.24</v>
      </c>
    </row>
    <row r="257" spans="1:2">
      <c r="A257" s="10" t="s">
        <v>1427</v>
      </c>
      <c r="B257" s="16">
        <v>623.24</v>
      </c>
    </row>
    <row r="258" spans="1:2">
      <c r="A258" s="10" t="s">
        <v>1428</v>
      </c>
      <c r="B258" s="16">
        <v>620.5</v>
      </c>
    </row>
    <row r="259" spans="1:2">
      <c r="A259" s="10" t="s">
        <v>1429</v>
      </c>
      <c r="B259" s="16">
        <v>621.86</v>
      </c>
    </row>
    <row r="260" spans="1:2">
      <c r="A260" s="10" t="s">
        <v>1430</v>
      </c>
      <c r="B260" s="16">
        <v>630.74</v>
      </c>
    </row>
    <row r="261" spans="1:2">
      <c r="A261" s="10" t="s">
        <v>1431</v>
      </c>
      <c r="B261" s="16">
        <v>629.12</v>
      </c>
    </row>
    <row r="262" spans="1:2">
      <c r="A262" s="10" t="s">
        <v>1432</v>
      </c>
      <c r="B262" s="16">
        <v>624.86</v>
      </c>
    </row>
    <row r="263" spans="1:2">
      <c r="A263" s="10" t="s">
        <v>1433</v>
      </c>
      <c r="B263" s="16">
        <v>627.05999999999995</v>
      </c>
    </row>
    <row r="264" spans="1:2">
      <c r="A264" s="10" t="s">
        <v>1434</v>
      </c>
      <c r="B264" s="16">
        <v>625.91999999999996</v>
      </c>
    </row>
    <row r="265" spans="1:2">
      <c r="A265" s="10" t="s">
        <v>1435</v>
      </c>
      <c r="B265" s="16">
        <v>624.29</v>
      </c>
    </row>
    <row r="266" spans="1:2">
      <c r="A266" s="10" t="s">
        <v>1436</v>
      </c>
      <c r="B266" s="16">
        <v>629.12</v>
      </c>
    </row>
    <row r="267" spans="1:2">
      <c r="A267" s="10" t="s">
        <v>1437</v>
      </c>
      <c r="B267" s="16">
        <v>619.95000000000005</v>
      </c>
    </row>
    <row r="268" spans="1:2">
      <c r="A268" s="10" t="s">
        <v>1438</v>
      </c>
      <c r="B268" s="16">
        <v>624.15</v>
      </c>
    </row>
    <row r="269" spans="1:2">
      <c r="A269" s="10" t="s">
        <v>1439</v>
      </c>
      <c r="B269" s="16">
        <v>622.08000000000004</v>
      </c>
    </row>
    <row r="270" spans="1:2">
      <c r="A270" s="10" t="s">
        <v>1440</v>
      </c>
      <c r="B270" s="16">
        <v>617.29999999999995</v>
      </c>
    </row>
    <row r="271" spans="1:2">
      <c r="A271" s="10" t="s">
        <v>1441</v>
      </c>
      <c r="B271" s="16">
        <v>618.12</v>
      </c>
    </row>
    <row r="272" spans="1:2">
      <c r="A272" s="10" t="s">
        <v>1442</v>
      </c>
      <c r="B272" s="16">
        <v>619.52</v>
      </c>
    </row>
    <row r="273" spans="1:2">
      <c r="A273" s="10" t="s">
        <v>1443</v>
      </c>
      <c r="B273" s="16">
        <v>618.4</v>
      </c>
    </row>
    <row r="274" spans="1:2">
      <c r="A274" s="10" t="s">
        <v>1444</v>
      </c>
      <c r="B274" s="16">
        <v>612.55999999999995</v>
      </c>
    </row>
    <row r="275" spans="1:2">
      <c r="A275" s="10" t="s">
        <v>1445</v>
      </c>
      <c r="B275" s="16">
        <v>614.36</v>
      </c>
    </row>
    <row r="276" spans="1:2">
      <c r="A276" s="10" t="s">
        <v>1446</v>
      </c>
      <c r="B276" s="16">
        <v>620.38</v>
      </c>
    </row>
    <row r="277" spans="1:2">
      <c r="A277" s="10" t="s">
        <v>1447</v>
      </c>
      <c r="B277" s="16">
        <v>621.92999999999995</v>
      </c>
    </row>
    <row r="278" spans="1:2">
      <c r="A278" s="10" t="s">
        <v>1448</v>
      </c>
      <c r="B278" s="16">
        <v>620.11</v>
      </c>
    </row>
    <row r="279" spans="1:2">
      <c r="A279" s="10" t="s">
        <v>1449</v>
      </c>
      <c r="B279" s="16">
        <v>615.19000000000005</v>
      </c>
    </row>
    <row r="280" spans="1:2">
      <c r="A280" s="10" t="s">
        <v>1450</v>
      </c>
      <c r="B280" s="16">
        <v>607.39</v>
      </c>
    </row>
    <row r="281" spans="1:2">
      <c r="A281" s="10" t="s">
        <v>1451</v>
      </c>
      <c r="B281" s="16">
        <v>611.79</v>
      </c>
    </row>
    <row r="282" spans="1:2">
      <c r="A282" s="10" t="s">
        <v>1452</v>
      </c>
      <c r="B282" s="16">
        <v>610.1</v>
      </c>
    </row>
    <row r="283" spans="1:2">
      <c r="A283" s="10" t="s">
        <v>1453</v>
      </c>
      <c r="B283" s="16">
        <v>614.92999999999995</v>
      </c>
    </row>
    <row r="284" spans="1:2">
      <c r="A284" s="10" t="s">
        <v>1454</v>
      </c>
      <c r="B284" s="16">
        <v>612.73</v>
      </c>
    </row>
    <row r="285" spans="1:2">
      <c r="A285" s="10" t="s">
        <v>1455</v>
      </c>
      <c r="B285" s="16">
        <v>614.86</v>
      </c>
    </row>
    <row r="286" spans="1:2">
      <c r="A286" s="10" t="s">
        <v>1456</v>
      </c>
      <c r="B286" s="16">
        <v>614.12</v>
      </c>
    </row>
    <row r="287" spans="1:2">
      <c r="A287" s="10" t="s">
        <v>1457</v>
      </c>
      <c r="B287" s="16">
        <v>620.21</v>
      </c>
    </row>
    <row r="288" spans="1:2">
      <c r="A288" s="10" t="s">
        <v>1458</v>
      </c>
      <c r="B288" s="16">
        <v>621.88</v>
      </c>
    </row>
    <row r="289" spans="1:2">
      <c r="A289" s="10" t="s">
        <v>1459</v>
      </c>
      <c r="B289" s="16">
        <v>626.97</v>
      </c>
    </row>
    <row r="290" spans="1:2">
      <c r="A290" s="10" t="s">
        <v>1460</v>
      </c>
      <c r="B290" s="16">
        <v>630.91999999999996</v>
      </c>
    </row>
    <row r="291" spans="1:2">
      <c r="A291" s="10" t="s">
        <v>1461</v>
      </c>
      <c r="B291" s="16">
        <v>633.76</v>
      </c>
    </row>
    <row r="292" spans="1:2">
      <c r="A292" s="10" t="s">
        <v>1462</v>
      </c>
      <c r="B292" s="16">
        <v>629.95000000000005</v>
      </c>
    </row>
    <row r="293" spans="1:2">
      <c r="A293" s="10" t="s">
        <v>1463</v>
      </c>
      <c r="B293" s="16">
        <v>632.37</v>
      </c>
    </row>
    <row r="294" spans="1:2">
      <c r="A294" s="10" t="s">
        <v>1464</v>
      </c>
      <c r="B294" s="16">
        <v>631.97</v>
      </c>
    </row>
    <row r="295" spans="1:2">
      <c r="A295" s="10" t="s">
        <v>1465</v>
      </c>
      <c r="B295" s="16">
        <v>638.53</v>
      </c>
    </row>
    <row r="296" spans="1:2">
      <c r="A296" s="10" t="s">
        <v>1466</v>
      </c>
      <c r="B296" s="16">
        <v>638.65</v>
      </c>
    </row>
    <row r="297" spans="1:2">
      <c r="A297" s="10" t="s">
        <v>1467</v>
      </c>
      <c r="B297" s="16">
        <v>636.35</v>
      </c>
    </row>
    <row r="298" spans="1:2">
      <c r="A298" s="10" t="s">
        <v>1468</v>
      </c>
      <c r="B298" s="16">
        <v>635.4</v>
      </c>
    </row>
    <row r="299" spans="1:2">
      <c r="A299" s="10" t="s">
        <v>1469</v>
      </c>
      <c r="B299" s="16">
        <v>633.30999999999995</v>
      </c>
    </row>
    <row r="300" spans="1:2">
      <c r="A300" s="10" t="s">
        <v>1470</v>
      </c>
      <c r="B300" s="16">
        <v>632.58000000000004</v>
      </c>
    </row>
    <row r="301" spans="1:2">
      <c r="A301" s="10" t="s">
        <v>1471</v>
      </c>
      <c r="B301" s="16">
        <v>644.94000000000005</v>
      </c>
    </row>
    <row r="302" spans="1:2">
      <c r="A302" s="10" t="s">
        <v>1472</v>
      </c>
      <c r="B302" s="16">
        <v>643.62</v>
      </c>
    </row>
    <row r="303" spans="1:2">
      <c r="A303" s="10" t="s">
        <v>1473</v>
      </c>
      <c r="B303" s="16">
        <v>644.11</v>
      </c>
    </row>
    <row r="304" spans="1:2">
      <c r="A304" s="10" t="s">
        <v>1474</v>
      </c>
      <c r="B304" s="16">
        <v>640.37</v>
      </c>
    </row>
    <row r="305" spans="1:2">
      <c r="A305" s="10" t="s">
        <v>1475</v>
      </c>
      <c r="B305" s="16">
        <v>640.28</v>
      </c>
    </row>
    <row r="306" spans="1:2">
      <c r="A306" s="10" t="s">
        <v>1476</v>
      </c>
      <c r="B306" s="16">
        <v>641.44000000000005</v>
      </c>
    </row>
    <row r="307" spans="1:2">
      <c r="A307" s="10" t="s">
        <v>1477</v>
      </c>
      <c r="B307" s="16">
        <v>642.80999999999995</v>
      </c>
    </row>
    <row r="308" spans="1:2">
      <c r="A308" s="10" t="s">
        <v>1478</v>
      </c>
      <c r="B308" s="16">
        <v>642.4</v>
      </c>
    </row>
    <row r="309" spans="1:2">
      <c r="A309" s="10" t="s">
        <v>1479</v>
      </c>
      <c r="B309" s="16">
        <v>641.26</v>
      </c>
    </row>
    <row r="310" spans="1:2">
      <c r="A310" s="10" t="s">
        <v>1480</v>
      </c>
      <c r="B310" s="16">
        <v>640.21</v>
      </c>
    </row>
    <row r="311" spans="1:2">
      <c r="A311" s="10" t="s">
        <v>1481</v>
      </c>
      <c r="B311" s="16">
        <v>643.54</v>
      </c>
    </row>
    <row r="312" spans="1:2">
      <c r="A312" s="10" t="s">
        <v>1482</v>
      </c>
      <c r="B312" s="16">
        <v>642.16999999999996</v>
      </c>
    </row>
    <row r="313" spans="1:2">
      <c r="A313" s="10" t="s">
        <v>1483</v>
      </c>
      <c r="B313" s="16">
        <v>642.13</v>
      </c>
    </row>
    <row r="314" spans="1:2">
      <c r="A314" s="10" t="s">
        <v>1484</v>
      </c>
      <c r="B314" s="16">
        <v>640.32000000000005</v>
      </c>
    </row>
    <row r="315" spans="1:2">
      <c r="A315" s="10" t="s">
        <v>1485</v>
      </c>
      <c r="B315" s="16">
        <v>633.16</v>
      </c>
    </row>
    <row r="316" spans="1:2">
      <c r="A316" s="10" t="s">
        <v>1486</v>
      </c>
      <c r="B316" s="16">
        <v>632.88</v>
      </c>
    </row>
    <row r="317" spans="1:2">
      <c r="A317" s="10" t="s">
        <v>1487</v>
      </c>
      <c r="B317" s="16">
        <v>635.30999999999995</v>
      </c>
    </row>
    <row r="318" spans="1:2">
      <c r="A318" s="10" t="s">
        <v>1488</v>
      </c>
      <c r="B318" s="16">
        <v>634.01</v>
      </c>
    </row>
    <row r="319" spans="1:2">
      <c r="A319" s="10" t="s">
        <v>1489</v>
      </c>
      <c r="B319" s="16">
        <v>630.51</v>
      </c>
    </row>
    <row r="320" spans="1:2">
      <c r="A320" s="10" t="s">
        <v>1490</v>
      </c>
      <c r="B320" s="16">
        <v>635.36</v>
      </c>
    </row>
    <row r="321" spans="1:2">
      <c r="A321" s="10" t="s">
        <v>1491</v>
      </c>
      <c r="B321" s="16">
        <v>639.46</v>
      </c>
    </row>
    <row r="322" spans="1:2">
      <c r="A322" s="10" t="s">
        <v>1492</v>
      </c>
      <c r="B322" s="16">
        <v>641.66999999999996</v>
      </c>
    </row>
    <row r="323" spans="1:2">
      <c r="A323" s="10" t="s">
        <v>1493</v>
      </c>
      <c r="B323" s="16">
        <v>643.49</v>
      </c>
    </row>
    <row r="324" spans="1:2">
      <c r="A324" s="10" t="s">
        <v>1494</v>
      </c>
      <c r="B324" s="16">
        <v>642.07000000000005</v>
      </c>
    </row>
    <row r="325" spans="1:2">
      <c r="A325" s="10" t="s">
        <v>1495</v>
      </c>
      <c r="B325" s="16">
        <v>642.48</v>
      </c>
    </row>
    <row r="326" spans="1:2">
      <c r="A326" s="10" t="s">
        <v>1496</v>
      </c>
      <c r="B326" s="16">
        <v>640.02</v>
      </c>
    </row>
    <row r="327" spans="1:2">
      <c r="A327" s="10" t="s">
        <v>1497</v>
      </c>
      <c r="B327" s="16">
        <v>641.26</v>
      </c>
    </row>
    <row r="328" spans="1:2">
      <c r="A328" s="10" t="s">
        <v>1498</v>
      </c>
      <c r="B328" s="16">
        <v>642.71</v>
      </c>
    </row>
    <row r="329" spans="1:2">
      <c r="A329" s="10" t="s">
        <v>1499</v>
      </c>
      <c r="B329" s="16">
        <v>641.54999999999995</v>
      </c>
    </row>
    <row r="330" spans="1:2">
      <c r="A330" s="10" t="s">
        <v>1500</v>
      </c>
      <c r="B330" s="16">
        <v>638.22</v>
      </c>
    </row>
    <row r="331" spans="1:2">
      <c r="A331" s="10" t="s">
        <v>1501</v>
      </c>
      <c r="B331" s="16">
        <v>637.53</v>
      </c>
    </row>
    <row r="332" spans="1:2">
      <c r="A332" s="10" t="s">
        <v>1502</v>
      </c>
      <c r="B332" s="16">
        <v>633.62</v>
      </c>
    </row>
    <row r="333" spans="1:2">
      <c r="A333" s="10" t="s">
        <v>1503</v>
      </c>
      <c r="B333" s="16">
        <v>630.21</v>
      </c>
    </row>
    <row r="334" spans="1:2">
      <c r="A334" s="10" t="s">
        <v>1504</v>
      </c>
      <c r="B334" s="16">
        <v>630.39</v>
      </c>
    </row>
    <row r="335" spans="1:2">
      <c r="A335" s="10" t="s">
        <v>1505</v>
      </c>
      <c r="B335" s="16">
        <v>632.71</v>
      </c>
    </row>
    <row r="336" spans="1:2">
      <c r="A336" s="10" t="s">
        <v>1506</v>
      </c>
      <c r="B336" s="16">
        <v>634.49</v>
      </c>
    </row>
    <row r="337" spans="1:2">
      <c r="A337" s="10" t="s">
        <v>1507</v>
      </c>
      <c r="B337" s="16">
        <v>643.34</v>
      </c>
    </row>
    <row r="338" spans="1:2">
      <c r="A338" s="10" t="s">
        <v>1508</v>
      </c>
      <c r="B338" s="16">
        <v>643.76</v>
      </c>
    </row>
    <row r="339" spans="1:2">
      <c r="A339" s="10" t="s">
        <v>1509</v>
      </c>
      <c r="B339" s="16">
        <v>644.38</v>
      </c>
    </row>
    <row r="340" spans="1:2">
      <c r="A340" s="10" t="s">
        <v>1510</v>
      </c>
      <c r="B340" s="16">
        <v>644.03</v>
      </c>
    </row>
    <row r="341" spans="1:2">
      <c r="A341" s="10" t="s">
        <v>1511</v>
      </c>
      <c r="B341" s="16">
        <v>642.62</v>
      </c>
    </row>
    <row r="342" spans="1:2">
      <c r="A342" s="10" t="s">
        <v>1512</v>
      </c>
      <c r="B342" s="16">
        <v>642.1</v>
      </c>
    </row>
    <row r="343" spans="1:2">
      <c r="A343" s="10" t="s">
        <v>1513</v>
      </c>
      <c r="B343" s="16">
        <v>644.82000000000005</v>
      </c>
    </row>
    <row r="344" spans="1:2">
      <c r="A344" s="10" t="s">
        <v>1514</v>
      </c>
      <c r="B344" s="16">
        <v>645.20000000000005</v>
      </c>
    </row>
    <row r="345" spans="1:2">
      <c r="A345" s="10" t="s">
        <v>1515</v>
      </c>
      <c r="B345" s="16">
        <v>647.38</v>
      </c>
    </row>
    <row r="346" spans="1:2">
      <c r="A346" s="10" t="s">
        <v>1516</v>
      </c>
      <c r="B346" s="16">
        <v>650.26</v>
      </c>
    </row>
    <row r="347" spans="1:2">
      <c r="A347" s="10" t="s">
        <v>1517</v>
      </c>
      <c r="B347" s="16">
        <v>651.29999999999995</v>
      </c>
    </row>
    <row r="348" spans="1:2">
      <c r="A348" s="10" t="s">
        <v>1518</v>
      </c>
      <c r="B348" s="16">
        <v>652.76</v>
      </c>
    </row>
    <row r="349" spans="1:2">
      <c r="A349" s="10" t="s">
        <v>1519</v>
      </c>
      <c r="B349" s="16">
        <v>653.87</v>
      </c>
    </row>
    <row r="350" spans="1:2">
      <c r="A350" s="10" t="s">
        <v>1520</v>
      </c>
      <c r="B350" s="16">
        <v>652.17999999999995</v>
      </c>
    </row>
    <row r="351" spans="1:2">
      <c r="A351" s="10" t="s">
        <v>1521</v>
      </c>
      <c r="B351" s="16">
        <v>651.70000000000005</v>
      </c>
    </row>
    <row r="352" spans="1:2">
      <c r="A352" s="10" t="s">
        <v>1522</v>
      </c>
      <c r="B352" s="16">
        <v>651.55999999999995</v>
      </c>
    </row>
    <row r="353" spans="1:2">
      <c r="A353" s="10" t="s">
        <v>1523</v>
      </c>
      <c r="B353" s="16">
        <v>648.72</v>
      </c>
    </row>
    <row r="354" spans="1:2">
      <c r="A354" s="10" t="s">
        <v>1524</v>
      </c>
      <c r="B354" s="16">
        <v>634.27</v>
      </c>
    </row>
    <row r="355" spans="1:2">
      <c r="A355" s="10" t="s">
        <v>1525</v>
      </c>
      <c r="B355" s="16">
        <v>634.87</v>
      </c>
    </row>
    <row r="356" spans="1:2">
      <c r="A356" s="10" t="s">
        <v>1526</v>
      </c>
      <c r="B356" s="16">
        <v>637.04</v>
      </c>
    </row>
    <row r="357" spans="1:2">
      <c r="A357" s="10" t="s">
        <v>1527</v>
      </c>
      <c r="B357" s="16">
        <v>637.14</v>
      </c>
    </row>
    <row r="358" spans="1:2">
      <c r="A358" s="10" t="s">
        <v>1528</v>
      </c>
      <c r="B358" s="16">
        <v>640.55999999999995</v>
      </c>
    </row>
    <row r="359" spans="1:2">
      <c r="A359" s="10" t="s">
        <v>1529</v>
      </c>
      <c r="B359" s="16">
        <v>642.41999999999996</v>
      </c>
    </row>
    <row r="360" spans="1:2">
      <c r="A360" s="10" t="s">
        <v>1530</v>
      </c>
      <c r="B360" s="16">
        <v>642.54</v>
      </c>
    </row>
    <row r="361" spans="1:2">
      <c r="A361" s="10" t="s">
        <v>1531</v>
      </c>
      <c r="B361" s="16">
        <v>643.25</v>
      </c>
    </row>
    <row r="362" spans="1:2">
      <c r="A362" s="10" t="s">
        <v>1532</v>
      </c>
      <c r="B362" s="16">
        <v>642.55999999999995</v>
      </c>
    </row>
    <row r="363" spans="1:2">
      <c r="A363" s="10" t="s">
        <v>1533</v>
      </c>
      <c r="B363" s="16">
        <v>641.78</v>
      </c>
    </row>
    <row r="364" spans="1:2">
      <c r="A364" s="10" t="s">
        <v>1534</v>
      </c>
      <c r="B364" s="16">
        <v>638.54999999999995</v>
      </c>
    </row>
    <row r="365" spans="1:2">
      <c r="A365" s="10" t="s">
        <v>1535</v>
      </c>
      <c r="B365" s="16">
        <v>642.58000000000004</v>
      </c>
    </row>
    <row r="366" spans="1:2">
      <c r="A366" s="10" t="s">
        <v>1536</v>
      </c>
      <c r="B366" s="16">
        <v>644.62</v>
      </c>
    </row>
    <row r="367" spans="1:2">
      <c r="A367" s="10" t="s">
        <v>1537</v>
      </c>
      <c r="B367" s="16">
        <v>643.77</v>
      </c>
    </row>
    <row r="368" spans="1:2">
      <c r="A368" s="10" t="s">
        <v>1538</v>
      </c>
      <c r="B368" s="16">
        <v>640.79</v>
      </c>
    </row>
    <row r="369" spans="1:2">
      <c r="A369" s="10" t="s">
        <v>1539</v>
      </c>
      <c r="B369" s="16">
        <v>642.15</v>
      </c>
    </row>
    <row r="370" spans="1:2">
      <c r="A370" s="10" t="s">
        <v>1540</v>
      </c>
      <c r="B370" s="16">
        <v>643.77</v>
      </c>
    </row>
    <row r="371" spans="1:2">
      <c r="A371" s="10" t="s">
        <v>1541</v>
      </c>
      <c r="B371" s="16">
        <v>645.16999999999996</v>
      </c>
    </row>
    <row r="372" spans="1:2">
      <c r="A372" s="10" t="s">
        <v>1542</v>
      </c>
      <c r="B372" s="16">
        <v>640.54999999999995</v>
      </c>
    </row>
    <row r="373" spans="1:2">
      <c r="A373" s="10" t="s">
        <v>1543</v>
      </c>
      <c r="B373" s="16">
        <v>642.51</v>
      </c>
    </row>
    <row r="374" spans="1:2">
      <c r="A374" s="10" t="s">
        <v>1544</v>
      </c>
      <c r="B374" s="16">
        <v>639.41</v>
      </c>
    </row>
    <row r="375" spans="1:2">
      <c r="A375" s="10" t="s">
        <v>1545</v>
      </c>
      <c r="B375" s="16">
        <v>640.84</v>
      </c>
    </row>
    <row r="376" spans="1:2">
      <c r="A376" s="10" t="s">
        <v>1546</v>
      </c>
      <c r="B376" s="16">
        <v>640.52</v>
      </c>
    </row>
    <row r="377" spans="1:2">
      <c r="A377" s="10" t="s">
        <v>1547</v>
      </c>
      <c r="B377" s="16">
        <v>647.91</v>
      </c>
    </row>
    <row r="378" spans="1:2">
      <c r="A378" s="10" t="s">
        <v>1548</v>
      </c>
      <c r="B378" s="16">
        <v>644.86</v>
      </c>
    </row>
    <row r="379" spans="1:2">
      <c r="A379" s="10" t="s">
        <v>1549</v>
      </c>
      <c r="B379" s="16">
        <v>643.58000000000004</v>
      </c>
    </row>
    <row r="380" spans="1:2">
      <c r="A380" s="10" t="s">
        <v>1550</v>
      </c>
      <c r="B380" s="16">
        <v>642.4</v>
      </c>
    </row>
    <row r="381" spans="1:2">
      <c r="A381" s="10" t="s">
        <v>1551</v>
      </c>
      <c r="B381" s="16">
        <v>640.47</v>
      </c>
    </row>
    <row r="382" spans="1:2">
      <c r="A382" s="10" t="s">
        <v>1552</v>
      </c>
      <c r="B382" s="16">
        <v>641.57000000000005</v>
      </c>
    </row>
    <row r="383" spans="1:2">
      <c r="A383" s="10" t="s">
        <v>1553</v>
      </c>
      <c r="B383" s="16">
        <v>633.66999999999996</v>
      </c>
    </row>
    <row r="384" spans="1:2">
      <c r="A384" s="10" t="s">
        <v>1554</v>
      </c>
      <c r="B384" s="16">
        <v>634.45000000000005</v>
      </c>
    </row>
    <row r="385" spans="1:2">
      <c r="A385" s="10" t="s">
        <v>1555</v>
      </c>
      <c r="B385" s="16">
        <v>624.17999999999995</v>
      </c>
    </row>
    <row r="386" spans="1:2">
      <c r="A386" s="10" t="s">
        <v>1556</v>
      </c>
      <c r="B386" s="16">
        <v>623.36</v>
      </c>
    </row>
    <row r="387" spans="1:2">
      <c r="A387" s="10" t="s">
        <v>1557</v>
      </c>
      <c r="B387" s="16">
        <v>628.74</v>
      </c>
    </row>
    <row r="388" spans="1:2">
      <c r="A388" s="10" t="s">
        <v>1558</v>
      </c>
      <c r="B388" s="16">
        <v>628.26</v>
      </c>
    </row>
    <row r="389" spans="1:2">
      <c r="A389" s="10" t="s">
        <v>1559</v>
      </c>
      <c r="B389" s="16">
        <v>630.08000000000004</v>
      </c>
    </row>
    <row r="390" spans="1:2">
      <c r="A390" s="10" t="s">
        <v>1560</v>
      </c>
      <c r="B390" s="16">
        <v>623.29</v>
      </c>
    </row>
    <row r="391" spans="1:2">
      <c r="A391" s="10" t="s">
        <v>1561</v>
      </c>
      <c r="B391" s="16">
        <v>625.92999999999995</v>
      </c>
    </row>
    <row r="392" spans="1:2">
      <c r="A392" s="10" t="s">
        <v>1562</v>
      </c>
      <c r="B392" s="16">
        <v>627.37</v>
      </c>
    </row>
    <row r="393" spans="1:2">
      <c r="A393" s="10" t="s">
        <v>1563</v>
      </c>
      <c r="B393" s="16">
        <v>624.77</v>
      </c>
    </row>
    <row r="394" spans="1:2">
      <c r="A394" s="10" t="s">
        <v>1564</v>
      </c>
      <c r="B394" s="16">
        <v>630.87</v>
      </c>
    </row>
    <row r="395" spans="1:2">
      <c r="A395" s="10" t="s">
        <v>1565</v>
      </c>
      <c r="B395" s="16">
        <v>633.39</v>
      </c>
    </row>
    <row r="396" spans="1:2">
      <c r="A396" s="10" t="s">
        <v>1566</v>
      </c>
      <c r="B396" s="16">
        <v>633.48</v>
      </c>
    </row>
    <row r="397" spans="1:2">
      <c r="A397" s="10" t="s">
        <v>1567</v>
      </c>
      <c r="B397" s="16">
        <v>631.5</v>
      </c>
    </row>
    <row r="398" spans="1:2">
      <c r="A398" s="10" t="s">
        <v>1568</v>
      </c>
      <c r="B398" s="16">
        <v>624.98</v>
      </c>
    </row>
    <row r="399" spans="1:2">
      <c r="A399" s="10" t="s">
        <v>1569</v>
      </c>
      <c r="B399" s="16">
        <v>629.9</v>
      </c>
    </row>
    <row r="400" spans="1:2">
      <c r="A400" s="10" t="s">
        <v>1570</v>
      </c>
      <c r="B400" s="16">
        <v>626.47</v>
      </c>
    </row>
    <row r="401" spans="1:2">
      <c r="A401" s="10" t="s">
        <v>1571</v>
      </c>
      <c r="B401" s="16">
        <v>621.38</v>
      </c>
    </row>
    <row r="402" spans="1:2">
      <c r="A402" s="10" t="s">
        <v>1572</v>
      </c>
      <c r="B402" s="16">
        <v>620.92999999999995</v>
      </c>
    </row>
    <row r="403" spans="1:2">
      <c r="A403" s="10" t="s">
        <v>1573</v>
      </c>
      <c r="B403" s="16">
        <v>623.28</v>
      </c>
    </row>
    <row r="404" spans="1:2">
      <c r="A404" s="10" t="s">
        <v>1574</v>
      </c>
      <c r="B404" s="16">
        <v>626.08000000000004</v>
      </c>
    </row>
    <row r="405" spans="1:2">
      <c r="A405" s="10" t="s">
        <v>1575</v>
      </c>
      <c r="B405" s="16">
        <v>624.91999999999996</v>
      </c>
    </row>
    <row r="406" spans="1:2">
      <c r="A406" s="10" t="s">
        <v>1576</v>
      </c>
      <c r="B406" s="16">
        <v>619.48</v>
      </c>
    </row>
    <row r="407" spans="1:2">
      <c r="A407" s="10" t="s">
        <v>1577</v>
      </c>
      <c r="B407" s="16">
        <v>617.04999999999995</v>
      </c>
    </row>
    <row r="408" spans="1:2">
      <c r="A408" s="10" t="s">
        <v>1578</v>
      </c>
      <c r="B408" s="16">
        <v>620.17999999999995</v>
      </c>
    </row>
    <row r="409" spans="1:2">
      <c r="A409" s="10" t="s">
        <v>1579</v>
      </c>
      <c r="B409" s="16">
        <v>618.73</v>
      </c>
    </row>
    <row r="410" spans="1:2">
      <c r="A410" s="10" t="s">
        <v>1580</v>
      </c>
      <c r="B410" s="16">
        <v>618.05999999999995</v>
      </c>
    </row>
    <row r="411" spans="1:2">
      <c r="A411" s="10" t="s">
        <v>1581</v>
      </c>
      <c r="B411" s="16">
        <v>626.19000000000005</v>
      </c>
    </row>
    <row r="412" spans="1:2">
      <c r="A412" s="10" t="s">
        <v>1582</v>
      </c>
      <c r="B412" s="16">
        <v>625.44000000000005</v>
      </c>
    </row>
    <row r="413" spans="1:2">
      <c r="A413" s="10" t="s">
        <v>1583</v>
      </c>
      <c r="B413" s="16">
        <v>627.5</v>
      </c>
    </row>
    <row r="414" spans="1:2">
      <c r="A414" s="10" t="s">
        <v>1584</v>
      </c>
      <c r="B414" s="16">
        <v>624.04999999999995</v>
      </c>
    </row>
    <row r="415" spans="1:2">
      <c r="A415" s="10" t="s">
        <v>1585</v>
      </c>
      <c r="B415" s="16">
        <v>615.72</v>
      </c>
    </row>
    <row r="416" spans="1:2">
      <c r="A416" s="10" t="s">
        <v>1586</v>
      </c>
      <c r="B416" s="16">
        <v>613.27</v>
      </c>
    </row>
    <row r="417" spans="1:2">
      <c r="A417" s="10" t="s">
        <v>1587</v>
      </c>
      <c r="B417" s="16">
        <v>620.54</v>
      </c>
    </row>
    <row r="418" spans="1:2">
      <c r="A418" s="10" t="s">
        <v>1588</v>
      </c>
      <c r="B418" s="16">
        <v>623.1</v>
      </c>
    </row>
    <row r="419" spans="1:2">
      <c r="A419" s="10" t="s">
        <v>1589</v>
      </c>
      <c r="B419" s="16">
        <v>625.73</v>
      </c>
    </row>
    <row r="420" spans="1:2">
      <c r="A420" s="10" t="s">
        <v>1590</v>
      </c>
      <c r="B420" s="16">
        <v>617.34</v>
      </c>
    </row>
    <row r="421" spans="1:2">
      <c r="A421" s="10" t="s">
        <v>1591</v>
      </c>
      <c r="B421" s="16">
        <v>615.07000000000005</v>
      </c>
    </row>
    <row r="422" spans="1:2">
      <c r="A422" s="10" t="s">
        <v>1592</v>
      </c>
      <c r="B422" s="16">
        <v>611.09</v>
      </c>
    </row>
    <row r="423" spans="1:2">
      <c r="A423" s="10" t="s">
        <v>1593</v>
      </c>
      <c r="B423" s="16">
        <v>618.41</v>
      </c>
    </row>
    <row r="424" spans="1:2">
      <c r="A424" s="10" t="s">
        <v>1594</v>
      </c>
      <c r="B424" s="16">
        <v>614.4</v>
      </c>
    </row>
    <row r="425" spans="1:2">
      <c r="A425" s="10" t="s">
        <v>1595</v>
      </c>
      <c r="B425" s="16">
        <v>614.16999999999996</v>
      </c>
    </row>
    <row r="426" spans="1:2">
      <c r="A426" s="10" t="s">
        <v>1596</v>
      </c>
      <c r="B426" s="16">
        <v>612.6</v>
      </c>
    </row>
    <row r="427" spans="1:2">
      <c r="A427" s="10" t="s">
        <v>1597</v>
      </c>
      <c r="B427" s="16">
        <v>609.28</v>
      </c>
    </row>
    <row r="428" spans="1:2">
      <c r="A428" s="10" t="s">
        <v>1598</v>
      </c>
      <c r="B428" s="16">
        <v>604.74</v>
      </c>
    </row>
    <row r="429" spans="1:2">
      <c r="A429" s="10" t="s">
        <v>1599</v>
      </c>
      <c r="B429" s="16">
        <v>610.20000000000005</v>
      </c>
    </row>
    <row r="430" spans="1:2">
      <c r="A430" s="10" t="s">
        <v>1600</v>
      </c>
      <c r="B430" s="16">
        <v>613.85</v>
      </c>
    </row>
    <row r="431" spans="1:2">
      <c r="A431" s="10" t="s">
        <v>1601</v>
      </c>
      <c r="B431" s="16">
        <v>616.45000000000005</v>
      </c>
    </row>
    <row r="432" spans="1:2">
      <c r="A432" s="10" t="s">
        <v>1602</v>
      </c>
      <c r="B432" s="16">
        <v>614.04</v>
      </c>
    </row>
    <row r="433" spans="1:2">
      <c r="A433" s="10" t="s">
        <v>1603</v>
      </c>
      <c r="B433" s="16">
        <v>609.73</v>
      </c>
    </row>
    <row r="434" spans="1:2">
      <c r="A434" s="10" t="s">
        <v>1604</v>
      </c>
      <c r="B434" s="16">
        <v>610.64</v>
      </c>
    </row>
    <row r="435" spans="1:2">
      <c r="A435" s="10" t="s">
        <v>1605</v>
      </c>
      <c r="B435" s="16">
        <v>608.94000000000005</v>
      </c>
    </row>
    <row r="436" spans="1:2">
      <c r="A436" s="10" t="s">
        <v>1606</v>
      </c>
      <c r="B436" s="16">
        <v>607.55999999999995</v>
      </c>
    </row>
    <row r="437" spans="1:2">
      <c r="A437" s="10" t="s">
        <v>1607</v>
      </c>
      <c r="B437" s="16">
        <v>616.05999999999995</v>
      </c>
    </row>
    <row r="438" spans="1:2">
      <c r="A438" s="10" t="s">
        <v>1608</v>
      </c>
      <c r="B438" s="16">
        <v>620.19000000000005</v>
      </c>
    </row>
    <row r="439" spans="1:2">
      <c r="A439" s="10" t="s">
        <v>1609</v>
      </c>
      <c r="B439" s="16">
        <v>622.44000000000005</v>
      </c>
    </row>
    <row r="440" spans="1:2">
      <c r="A440" s="10" t="s">
        <v>1610</v>
      </c>
      <c r="B440" s="16">
        <v>623.02</v>
      </c>
    </row>
    <row r="441" spans="1:2">
      <c r="A441" s="10" t="s">
        <v>1611</v>
      </c>
      <c r="B441" s="16">
        <v>620.23</v>
      </c>
    </row>
    <row r="442" spans="1:2">
      <c r="A442" s="10" t="s">
        <v>1612</v>
      </c>
      <c r="B442" s="16">
        <v>621.96</v>
      </c>
    </row>
    <row r="443" spans="1:2">
      <c r="A443" s="10" t="s">
        <v>1613</v>
      </c>
      <c r="B443" s="16">
        <v>622.26</v>
      </c>
    </row>
    <row r="444" spans="1:2">
      <c r="A444" s="10" t="s">
        <v>1614</v>
      </c>
      <c r="B444" s="16">
        <v>620.98</v>
      </c>
    </row>
    <row r="445" spans="1:2">
      <c r="A445" s="10" t="s">
        <v>1615</v>
      </c>
      <c r="B445" s="16">
        <v>622.20000000000005</v>
      </c>
    </row>
    <row r="446" spans="1:2">
      <c r="A446" s="10" t="s">
        <v>1616</v>
      </c>
      <c r="B446" s="16">
        <v>621.02</v>
      </c>
    </row>
    <row r="447" spans="1:2">
      <c r="A447" s="10" t="s">
        <v>1617</v>
      </c>
      <c r="B447" s="16">
        <v>621.47</v>
      </c>
    </row>
    <row r="448" spans="1:2">
      <c r="A448" s="10" t="s">
        <v>1618</v>
      </c>
      <c r="B448" s="16">
        <v>624</v>
      </c>
    </row>
    <row r="449" spans="1:2">
      <c r="A449" s="10" t="s">
        <v>1619</v>
      </c>
      <c r="B449" s="16">
        <v>627.65</v>
      </c>
    </row>
    <row r="450" spans="1:2">
      <c r="A450" s="10" t="s">
        <v>1620</v>
      </c>
      <c r="B450" s="16">
        <v>626.99</v>
      </c>
    </row>
    <row r="451" spans="1:2">
      <c r="A451" s="10" t="s">
        <v>1621</v>
      </c>
      <c r="B451" s="16">
        <v>629.48</v>
      </c>
    </row>
    <row r="452" spans="1:2">
      <c r="A452" s="10" t="s">
        <v>1622</v>
      </c>
      <c r="B452" s="16">
        <v>634.34</v>
      </c>
    </row>
    <row r="453" spans="1:2">
      <c r="A453" s="10" t="s">
        <v>1623</v>
      </c>
      <c r="B453" s="16">
        <v>634.64</v>
      </c>
    </row>
    <row r="454" spans="1:2">
      <c r="A454" s="10" t="s">
        <v>1624</v>
      </c>
      <c r="B454" s="16">
        <v>632.76</v>
      </c>
    </row>
    <row r="455" spans="1:2">
      <c r="A455" s="10" t="s">
        <v>1625</v>
      </c>
      <c r="B455" s="16">
        <v>637.57000000000005</v>
      </c>
    </row>
    <row r="456" spans="1:2">
      <c r="A456" s="10" t="s">
        <v>1626</v>
      </c>
      <c r="B456" s="16">
        <v>635.9</v>
      </c>
    </row>
    <row r="457" spans="1:2">
      <c r="A457" s="10" t="s">
        <v>1627</v>
      </c>
      <c r="B457" s="16">
        <v>635.54</v>
      </c>
    </row>
    <row r="458" spans="1:2">
      <c r="A458" s="10" t="s">
        <v>1628</v>
      </c>
      <c r="B458" s="16">
        <v>633.28</v>
      </c>
    </row>
    <row r="459" spans="1:2">
      <c r="A459" s="10" t="s">
        <v>1629</v>
      </c>
      <c r="B459" s="16">
        <v>633.27</v>
      </c>
    </row>
    <row r="460" spans="1:2">
      <c r="A460" s="10" t="s">
        <v>1630</v>
      </c>
      <c r="B460" s="16">
        <v>631.1</v>
      </c>
    </row>
    <row r="461" spans="1:2">
      <c r="A461" s="10" t="s">
        <v>1631</v>
      </c>
      <c r="B461" s="16">
        <v>631.66</v>
      </c>
    </row>
    <row r="462" spans="1:2">
      <c r="A462" s="10" t="s">
        <v>1632</v>
      </c>
      <c r="B462" s="16">
        <v>633.64</v>
      </c>
    </row>
    <row r="463" spans="1:2">
      <c r="A463" s="10" t="s">
        <v>1633</v>
      </c>
      <c r="B463" s="16">
        <v>634.78</v>
      </c>
    </row>
    <row r="464" spans="1:2">
      <c r="A464" s="10" t="s">
        <v>1634</v>
      </c>
      <c r="B464" s="16">
        <v>635.76</v>
      </c>
    </row>
    <row r="465" spans="1:2">
      <c r="A465" s="10" t="s">
        <v>1635</v>
      </c>
      <c r="B465" s="16">
        <v>631.79999999999995</v>
      </c>
    </row>
    <row r="466" spans="1:2">
      <c r="A466" s="10" t="s">
        <v>1636</v>
      </c>
      <c r="B466" s="16">
        <v>635.14</v>
      </c>
    </row>
    <row r="467" spans="1:2">
      <c r="A467" s="10" t="s">
        <v>1637</v>
      </c>
      <c r="B467" s="16">
        <v>634.64</v>
      </c>
    </row>
    <row r="468" spans="1:2">
      <c r="A468" s="10" t="s">
        <v>1638</v>
      </c>
      <c r="B468" s="16">
        <v>634.78</v>
      </c>
    </row>
    <row r="469" spans="1:2">
      <c r="A469" s="10" t="s">
        <v>1639</v>
      </c>
      <c r="B469" s="16">
        <v>630.73</v>
      </c>
    </row>
    <row r="470" spans="1:2">
      <c r="A470" s="10" t="s">
        <v>1640</v>
      </c>
      <c r="B470" s="16">
        <v>637.62</v>
      </c>
    </row>
    <row r="471" spans="1:2">
      <c r="A471" s="10" t="s">
        <v>1641</v>
      </c>
      <c r="B471" s="16">
        <v>646.28</v>
      </c>
    </row>
    <row r="472" spans="1:2">
      <c r="A472" s="10" t="s">
        <v>1642</v>
      </c>
      <c r="B472" s="16">
        <v>643.92999999999995</v>
      </c>
    </row>
    <row r="473" spans="1:2">
      <c r="A473" s="10" t="s">
        <v>1643</v>
      </c>
      <c r="B473" s="16">
        <v>643.67999999999995</v>
      </c>
    </row>
    <row r="474" spans="1:2">
      <c r="A474" s="10" t="s">
        <v>1644</v>
      </c>
      <c r="B474" s="16">
        <v>647.78</v>
      </c>
    </row>
    <row r="475" spans="1:2">
      <c r="A475" s="10" t="s">
        <v>1645</v>
      </c>
      <c r="B475" s="16">
        <v>645.30999999999995</v>
      </c>
    </row>
    <row r="476" spans="1:2">
      <c r="A476" s="10" t="s">
        <v>1646</v>
      </c>
      <c r="B476" s="16">
        <v>648.97</v>
      </c>
    </row>
    <row r="477" spans="1:2">
      <c r="A477" s="10" t="s">
        <v>1647</v>
      </c>
      <c r="B477" s="16">
        <v>648.61</v>
      </c>
    </row>
    <row r="478" spans="1:2">
      <c r="A478" s="10" t="s">
        <v>1648</v>
      </c>
      <c r="B478" s="16">
        <v>647.80999999999995</v>
      </c>
    </row>
    <row r="479" spans="1:2">
      <c r="A479" s="10" t="s">
        <v>1649</v>
      </c>
      <c r="B479" s="16">
        <v>648.02</v>
      </c>
    </row>
    <row r="480" spans="1:2">
      <c r="A480" s="10" t="s">
        <v>1650</v>
      </c>
      <c r="B480" s="16">
        <v>642.09</v>
      </c>
    </row>
    <row r="481" spans="1:2">
      <c r="A481" s="10" t="s">
        <v>1651</v>
      </c>
      <c r="B481" s="16">
        <v>639.91999999999996</v>
      </c>
    </row>
    <row r="482" spans="1:2">
      <c r="A482" s="10" t="s">
        <v>1652</v>
      </c>
      <c r="B482" s="16">
        <v>637.94000000000005</v>
      </c>
    </row>
    <row r="483" spans="1:2">
      <c r="A483" s="10" t="s">
        <v>1653</v>
      </c>
      <c r="B483" s="16">
        <v>632.34</v>
      </c>
    </row>
    <row r="484" spans="1:2">
      <c r="A484" s="10" t="s">
        <v>1654</v>
      </c>
      <c r="B484" s="16">
        <v>628.23</v>
      </c>
    </row>
    <row r="485" spans="1:2">
      <c r="A485" s="10" t="s">
        <v>1655</v>
      </c>
      <c r="B485" s="16">
        <v>633.36</v>
      </c>
    </row>
    <row r="486" spans="1:2">
      <c r="A486" s="10" t="s">
        <v>1656</v>
      </c>
      <c r="B486" s="16">
        <v>630.29999999999995</v>
      </c>
    </row>
    <row r="487" spans="1:2">
      <c r="A487" s="10" t="s">
        <v>1657</v>
      </c>
      <c r="B487" s="16">
        <v>632.05999999999995</v>
      </c>
    </row>
    <row r="488" spans="1:2">
      <c r="A488" s="10" t="s">
        <v>1658</v>
      </c>
      <c r="B488" s="16">
        <v>637.14</v>
      </c>
    </row>
    <row r="489" spans="1:2">
      <c r="A489" s="10" t="s">
        <v>1659</v>
      </c>
      <c r="B489" s="16">
        <v>633.53</v>
      </c>
    </row>
    <row r="490" spans="1:2">
      <c r="A490" s="10" t="s">
        <v>1660</v>
      </c>
      <c r="B490" s="16">
        <v>632.19000000000005</v>
      </c>
    </row>
    <row r="491" spans="1:2">
      <c r="A491" s="10" t="s">
        <v>1661</v>
      </c>
      <c r="B491" s="16">
        <v>630.91</v>
      </c>
    </row>
    <row r="492" spans="1:2">
      <c r="A492" s="10" t="s">
        <v>1662</v>
      </c>
      <c r="B492" s="16">
        <v>629.15</v>
      </c>
    </row>
    <row r="493" spans="1:2">
      <c r="A493" s="10" t="s">
        <v>1663</v>
      </c>
      <c r="B493" s="16">
        <v>635.41999999999996</v>
      </c>
    </row>
    <row r="494" spans="1:2">
      <c r="A494" s="10" t="s">
        <v>1664</v>
      </c>
      <c r="B494" s="16">
        <v>635.28</v>
      </c>
    </row>
    <row r="495" spans="1:2">
      <c r="A495" s="10" t="s">
        <v>1665</v>
      </c>
      <c r="B495" s="16">
        <v>634.94000000000005</v>
      </c>
    </row>
    <row r="496" spans="1:2">
      <c r="A496" s="10" t="s">
        <v>1666</v>
      </c>
      <c r="B496" s="16">
        <v>632.69000000000005</v>
      </c>
    </row>
    <row r="497" spans="1:2">
      <c r="A497" s="10" t="s">
        <v>1667</v>
      </c>
      <c r="B497" s="16">
        <v>636.41</v>
      </c>
    </row>
    <row r="498" spans="1:2">
      <c r="A498" s="10" t="s">
        <v>1668</v>
      </c>
      <c r="B498" s="16">
        <v>635.20000000000005</v>
      </c>
    </row>
    <row r="499" spans="1:2">
      <c r="A499" s="10" t="s">
        <v>1669</v>
      </c>
      <c r="B499" s="16">
        <v>635.03</v>
      </c>
    </row>
    <row r="500" spans="1:2">
      <c r="A500" s="10" t="s">
        <v>1670</v>
      </c>
      <c r="B500" s="16">
        <v>636.45000000000005</v>
      </c>
    </row>
    <row r="501" spans="1:2">
      <c r="A501" s="10" t="s">
        <v>1671</v>
      </c>
      <c r="B501" s="16">
        <v>642.07000000000005</v>
      </c>
    </row>
    <row r="502" spans="1:2">
      <c r="A502" s="10" t="s">
        <v>1672</v>
      </c>
      <c r="B502" s="16">
        <v>641.94000000000005</v>
      </c>
    </row>
    <row r="503" spans="1:2">
      <c r="A503" s="10" t="s">
        <v>1673</v>
      </c>
      <c r="B503" s="16">
        <v>646.26</v>
      </c>
    </row>
    <row r="504" spans="1:2">
      <c r="A504" s="10" t="s">
        <v>1674</v>
      </c>
      <c r="B504" s="16">
        <v>643.22</v>
      </c>
    </row>
    <row r="505" spans="1:2">
      <c r="A505" s="10" t="s">
        <v>1675</v>
      </c>
      <c r="B505" s="16">
        <v>639.66</v>
      </c>
    </row>
    <row r="506" spans="1:2">
      <c r="A506" s="10" t="s">
        <v>1676</v>
      </c>
      <c r="B506" s="16">
        <v>643.39</v>
      </c>
    </row>
    <row r="507" spans="1:2">
      <c r="A507" s="10" t="s">
        <v>1677</v>
      </c>
      <c r="B507" s="16">
        <v>647.21</v>
      </c>
    </row>
    <row r="508" spans="1:2">
      <c r="A508" s="10" t="s">
        <v>1678</v>
      </c>
      <c r="B508" s="16">
        <v>644.30999999999995</v>
      </c>
    </row>
    <row r="509" spans="1:2">
      <c r="A509" s="10" t="s">
        <v>1679</v>
      </c>
      <c r="B509" s="16">
        <v>639.14</v>
      </c>
    </row>
    <row r="510" spans="1:2">
      <c r="A510" s="10" t="s">
        <v>1680</v>
      </c>
      <c r="B510" s="16">
        <v>642.45000000000005</v>
      </c>
    </row>
    <row r="511" spans="1:2">
      <c r="A511" s="10" t="s">
        <v>1681</v>
      </c>
      <c r="B511" s="16">
        <v>641.45000000000005</v>
      </c>
    </row>
    <row r="512" spans="1:2">
      <c r="A512" s="10" t="s">
        <v>1682</v>
      </c>
      <c r="B512" s="16">
        <v>637.64</v>
      </c>
    </row>
    <row r="513" spans="1:2">
      <c r="A513" s="10" t="s">
        <v>1683</v>
      </c>
      <c r="B513" s="16">
        <v>634.92999999999995</v>
      </c>
    </row>
    <row r="514" spans="1:2">
      <c r="A514" s="10" t="s">
        <v>1684</v>
      </c>
      <c r="B514" s="16">
        <v>629.25</v>
      </c>
    </row>
    <row r="515" spans="1:2">
      <c r="A515" s="10" t="s">
        <v>1685</v>
      </c>
      <c r="B515" s="16">
        <v>630.11</v>
      </c>
    </row>
    <row r="516" spans="1:2">
      <c r="A516" s="10" t="s">
        <v>1686</v>
      </c>
      <c r="B516" s="16">
        <v>633.87</v>
      </c>
    </row>
    <row r="517" spans="1:2">
      <c r="A517" s="10" t="s">
        <v>1687</v>
      </c>
      <c r="B517" s="16">
        <v>639.5</v>
      </c>
    </row>
    <row r="518" spans="1:2">
      <c r="A518" s="10" t="s">
        <v>1688</v>
      </c>
      <c r="B518" s="16">
        <v>646.07000000000005</v>
      </c>
    </row>
    <row r="519" spans="1:2">
      <c r="A519" s="10" t="s">
        <v>1689</v>
      </c>
      <c r="B519" s="16">
        <v>648.01</v>
      </c>
    </row>
    <row r="520" spans="1:2">
      <c r="A520" s="10" t="s">
        <v>1690</v>
      </c>
      <c r="B520" s="16">
        <v>650.9</v>
      </c>
    </row>
    <row r="521" spans="1:2">
      <c r="A521" s="10" t="s">
        <v>1691</v>
      </c>
      <c r="B521" s="16">
        <v>648.42999999999995</v>
      </c>
    </row>
    <row r="522" spans="1:2">
      <c r="A522" s="10" t="s">
        <v>1692</v>
      </c>
      <c r="B522" s="16">
        <v>647.96</v>
      </c>
    </row>
    <row r="523" spans="1:2">
      <c r="A523" s="10" t="s">
        <v>1693</v>
      </c>
      <c r="B523" s="16">
        <v>649.12</v>
      </c>
    </row>
    <row r="524" spans="1:2">
      <c r="A524" s="10" t="s">
        <v>1694</v>
      </c>
      <c r="B524" s="16">
        <v>644.92999999999995</v>
      </c>
    </row>
    <row r="525" spans="1:2">
      <c r="A525" s="10" t="s">
        <v>1695</v>
      </c>
      <c r="B525" s="16">
        <v>645.80999999999995</v>
      </c>
    </row>
    <row r="526" spans="1:2">
      <c r="A526" s="10" t="s">
        <v>1696</v>
      </c>
      <c r="B526" s="16">
        <v>648.44000000000005</v>
      </c>
    </row>
    <row r="527" spans="1:2">
      <c r="A527" s="10" t="s">
        <v>1697</v>
      </c>
      <c r="B527" s="16">
        <v>649.58000000000004</v>
      </c>
    </row>
    <row r="528" spans="1:2">
      <c r="A528" s="10" t="s">
        <v>1698</v>
      </c>
      <c r="B528" s="16">
        <v>653.55999999999995</v>
      </c>
    </row>
    <row r="529" spans="1:2">
      <c r="A529" s="10" t="s">
        <v>1699</v>
      </c>
      <c r="B529" s="16">
        <v>656.44</v>
      </c>
    </row>
    <row r="530" spans="1:2">
      <c r="A530" s="10" t="s">
        <v>1700</v>
      </c>
      <c r="B530" s="16">
        <v>655.68</v>
      </c>
    </row>
    <row r="531" spans="1:2">
      <c r="A531" s="10" t="s">
        <v>1701</v>
      </c>
      <c r="B531" s="16">
        <v>650.03</v>
      </c>
    </row>
    <row r="532" spans="1:2">
      <c r="A532" s="10" t="s">
        <v>1702</v>
      </c>
      <c r="B532" s="16">
        <v>645.66</v>
      </c>
    </row>
    <row r="533" spans="1:2">
      <c r="A533" s="10" t="s">
        <v>1703</v>
      </c>
      <c r="B533" s="16">
        <v>653.80999999999995</v>
      </c>
    </row>
    <row r="534" spans="1:2">
      <c r="A534" s="10" t="s">
        <v>1704</v>
      </c>
      <c r="B534" s="16">
        <v>652.80999999999995</v>
      </c>
    </row>
    <row r="535" spans="1:2">
      <c r="A535" s="10" t="s">
        <v>1705</v>
      </c>
      <c r="B535" s="16">
        <v>644.28</v>
      </c>
    </row>
    <row r="536" spans="1:2">
      <c r="A536" s="10" t="s">
        <v>1706</v>
      </c>
      <c r="B536" s="16">
        <v>643.24</v>
      </c>
    </row>
    <row r="537" spans="1:2">
      <c r="A537" s="10" t="s">
        <v>1707</v>
      </c>
      <c r="B537" s="16">
        <v>641.38</v>
      </c>
    </row>
    <row r="538" spans="1:2">
      <c r="A538" s="10" t="s">
        <v>1708</v>
      </c>
      <c r="B538" s="16">
        <v>629.79</v>
      </c>
    </row>
    <row r="539" spans="1:2">
      <c r="A539" s="10" t="s">
        <v>1709</v>
      </c>
      <c r="B539" s="16">
        <v>612.38</v>
      </c>
    </row>
    <row r="540" spans="1:2">
      <c r="A540" s="10" t="s">
        <v>1710</v>
      </c>
      <c r="B540" s="16">
        <v>615.15</v>
      </c>
    </row>
    <row r="541" spans="1:2">
      <c r="A541" s="10" t="s">
        <v>1711</v>
      </c>
      <c r="B541" s="16">
        <v>619.76</v>
      </c>
    </row>
    <row r="542" spans="1:2">
      <c r="A542" s="10" t="s">
        <v>1712</v>
      </c>
      <c r="B542" s="16">
        <v>600.45000000000005</v>
      </c>
    </row>
    <row r="543" spans="1:2">
      <c r="A543" s="10" t="s">
        <v>1713</v>
      </c>
      <c r="B543" s="16">
        <v>603.02</v>
      </c>
    </row>
    <row r="544" spans="1:2">
      <c r="A544" s="10" t="s">
        <v>1714</v>
      </c>
      <c r="B544" s="16">
        <v>610.04</v>
      </c>
    </row>
    <row r="545" spans="1:2">
      <c r="A545" s="10" t="s">
        <v>1715</v>
      </c>
      <c r="B545" s="16">
        <v>606.30999999999995</v>
      </c>
    </row>
    <row r="546" spans="1:2">
      <c r="A546" s="10" t="s">
        <v>1716</v>
      </c>
      <c r="B546" s="16">
        <v>611.9</v>
      </c>
    </row>
    <row r="547" spans="1:2">
      <c r="A547" s="10" t="s">
        <v>1717</v>
      </c>
      <c r="B547" s="16">
        <v>616.65</v>
      </c>
    </row>
    <row r="548" spans="1:2">
      <c r="A548" s="10" t="s">
        <v>1718</v>
      </c>
      <c r="B548" s="16">
        <v>620.16999999999996</v>
      </c>
    </row>
    <row r="549" spans="1:2">
      <c r="A549" s="10" t="s">
        <v>1719</v>
      </c>
      <c r="B549" s="16">
        <v>619.85</v>
      </c>
    </row>
    <row r="550" spans="1:2">
      <c r="A550" s="10" t="s">
        <v>1720</v>
      </c>
      <c r="B550" s="16">
        <v>621.78</v>
      </c>
    </row>
    <row r="551" spans="1:2">
      <c r="A551" s="10" t="s">
        <v>1721</v>
      </c>
      <c r="B551" s="16">
        <v>619.08000000000004</v>
      </c>
    </row>
    <row r="552" spans="1:2">
      <c r="A552" s="10" t="s">
        <v>1722</v>
      </c>
      <c r="B552" s="16">
        <v>619.5</v>
      </c>
    </row>
    <row r="553" spans="1:2">
      <c r="A553" s="10" t="s">
        <v>1723</v>
      </c>
      <c r="B553" s="16">
        <v>626.25</v>
      </c>
    </row>
    <row r="554" spans="1:2">
      <c r="A554" s="10" t="s">
        <v>1724</v>
      </c>
      <c r="B554" s="16">
        <v>632.85</v>
      </c>
    </row>
    <row r="555" spans="1:2">
      <c r="A555" s="10" t="s">
        <v>1725</v>
      </c>
      <c r="B555" s="16">
        <v>629.29</v>
      </c>
    </row>
    <row r="556" spans="1:2">
      <c r="A556" s="10" t="s">
        <v>1726</v>
      </c>
      <c r="B556" s="16">
        <v>625.29999999999995</v>
      </c>
    </row>
    <row r="557" spans="1:2">
      <c r="A557" s="10" t="s">
        <v>1727</v>
      </c>
      <c r="B557" s="16">
        <v>617.34</v>
      </c>
    </row>
    <row r="558" spans="1:2">
      <c r="A558" s="10" t="s">
        <v>1728</v>
      </c>
      <c r="B558" s="16">
        <v>609.28</v>
      </c>
    </row>
    <row r="559" spans="1:2">
      <c r="A559" s="10" t="s">
        <v>1729</v>
      </c>
      <c r="B559" s="16">
        <v>613.41</v>
      </c>
    </row>
    <row r="560" spans="1:2">
      <c r="A560" s="10" t="s">
        <v>1730</v>
      </c>
      <c r="B560" s="16">
        <v>612.42999999999995</v>
      </c>
    </row>
    <row r="561" spans="1:2">
      <c r="A561" s="10" t="s">
        <v>1731</v>
      </c>
      <c r="B561" s="16">
        <v>613.89</v>
      </c>
    </row>
    <row r="562" spans="1:2">
      <c r="A562" s="10" t="s">
        <v>1732</v>
      </c>
      <c r="B562" s="16">
        <v>620.61</v>
      </c>
    </row>
    <row r="563" spans="1:2">
      <c r="A563" s="10" t="s">
        <v>1733</v>
      </c>
      <c r="B563" s="16">
        <v>627.02</v>
      </c>
    </row>
    <row r="564" spans="1:2">
      <c r="A564" s="10" t="s">
        <v>1734</v>
      </c>
      <c r="B564" s="16">
        <v>627.59</v>
      </c>
    </row>
    <row r="565" spans="1:2">
      <c r="A565" s="10" t="s">
        <v>1735</v>
      </c>
      <c r="B565" s="16">
        <v>619.41</v>
      </c>
    </row>
    <row r="566" spans="1:2">
      <c r="A566" s="10" t="s">
        <v>1736</v>
      </c>
      <c r="B566" s="16">
        <v>617.77</v>
      </c>
    </row>
    <row r="567" spans="1:2">
      <c r="A567" s="10" t="s">
        <v>1737</v>
      </c>
      <c r="B567" s="16">
        <v>620.73</v>
      </c>
    </row>
    <row r="568" spans="1:2">
      <c r="A568" s="10" t="s">
        <v>1738</v>
      </c>
      <c r="B568" s="16">
        <v>623.9</v>
      </c>
    </row>
    <row r="569" spans="1:2">
      <c r="A569" s="10" t="s">
        <v>1739</v>
      </c>
      <c r="B569" s="16">
        <v>614.07000000000005</v>
      </c>
    </row>
    <row r="570" spans="1:2">
      <c r="A570" s="10" t="s">
        <v>1740</v>
      </c>
      <c r="B570" s="16">
        <v>617.41</v>
      </c>
    </row>
    <row r="571" spans="1:2">
      <c r="A571" s="10" t="s">
        <v>1741</v>
      </c>
      <c r="B571" s="16">
        <v>615.22</v>
      </c>
    </row>
    <row r="572" spans="1:2">
      <c r="A572" s="10" t="s">
        <v>1742</v>
      </c>
      <c r="B572" s="16">
        <v>599.94000000000005</v>
      </c>
    </row>
    <row r="573" spans="1:2">
      <c r="A573" s="10" t="s">
        <v>1743</v>
      </c>
      <c r="B573" s="16">
        <v>586.53</v>
      </c>
    </row>
    <row r="574" spans="1:2">
      <c r="A574" s="10" t="s">
        <v>1744</v>
      </c>
      <c r="B574" s="16">
        <v>592.78</v>
      </c>
    </row>
    <row r="575" spans="1:2">
      <c r="A575" s="10" t="s">
        <v>1745</v>
      </c>
      <c r="B575" s="16">
        <v>590.23</v>
      </c>
    </row>
    <row r="576" spans="1:2">
      <c r="A576" s="10" t="s">
        <v>1746</v>
      </c>
      <c r="B576" s="16">
        <v>591.59</v>
      </c>
    </row>
    <row r="577" spans="1:2">
      <c r="A577" s="10" t="s">
        <v>1747</v>
      </c>
      <c r="B577" s="16">
        <v>599.79999999999995</v>
      </c>
    </row>
    <row r="578" spans="1:2">
      <c r="A578" s="10" t="s">
        <v>1748</v>
      </c>
      <c r="B578" s="16">
        <v>594.75</v>
      </c>
    </row>
    <row r="579" spans="1:2">
      <c r="A579" s="10" t="s">
        <v>1749</v>
      </c>
      <c r="B579" s="16">
        <v>597.70000000000005</v>
      </c>
    </row>
    <row r="580" spans="1:2">
      <c r="A580" s="10" t="s">
        <v>1750</v>
      </c>
      <c r="B580" s="16">
        <v>607.67999999999995</v>
      </c>
    </row>
    <row r="581" spans="1:2">
      <c r="A581" s="10" t="s">
        <v>1751</v>
      </c>
      <c r="B581" s="16">
        <v>598.04</v>
      </c>
    </row>
    <row r="582" spans="1:2">
      <c r="A582" s="10" t="s">
        <v>1752</v>
      </c>
      <c r="B582" s="16">
        <v>598.94000000000005</v>
      </c>
    </row>
    <row r="583" spans="1:2">
      <c r="A583" s="10" t="s">
        <v>1753</v>
      </c>
      <c r="B583" s="16">
        <v>605.63</v>
      </c>
    </row>
    <row r="584" spans="1:2">
      <c r="A584" s="10" t="s">
        <v>1754</v>
      </c>
      <c r="B584" s="16">
        <v>600.59</v>
      </c>
    </row>
    <row r="585" spans="1:2">
      <c r="A585" s="10" t="s">
        <v>1755</v>
      </c>
      <c r="B585" s="16">
        <v>608.55999999999995</v>
      </c>
    </row>
    <row r="586" spans="1:2">
      <c r="A586" s="10" t="s">
        <v>1756</v>
      </c>
      <c r="B586" s="16">
        <v>607.15</v>
      </c>
    </row>
    <row r="587" spans="1:2">
      <c r="A587" s="10" t="s">
        <v>1757</v>
      </c>
      <c r="B587" s="16">
        <v>607.22</v>
      </c>
    </row>
    <row r="588" spans="1:2">
      <c r="A588" s="10" t="s">
        <v>1758</v>
      </c>
      <c r="B588" s="16">
        <v>614.47</v>
      </c>
    </row>
    <row r="589" spans="1:2">
      <c r="A589" s="10" t="s">
        <v>1759</v>
      </c>
      <c r="B589" s="16">
        <v>613.15</v>
      </c>
    </row>
    <row r="590" spans="1:2">
      <c r="A590" s="10" t="s">
        <v>1760</v>
      </c>
      <c r="B590" s="16">
        <v>610.77</v>
      </c>
    </row>
    <row r="591" spans="1:2">
      <c r="A591" s="10" t="s">
        <v>1761</v>
      </c>
      <c r="B591" s="16">
        <v>609.78</v>
      </c>
    </row>
    <row r="592" spans="1:2">
      <c r="A592" s="10" t="s">
        <v>1762</v>
      </c>
      <c r="B592" s="16">
        <v>612.47</v>
      </c>
    </row>
    <row r="593" spans="1:2">
      <c r="A593" s="10" t="s">
        <v>1763</v>
      </c>
      <c r="B593" s="16">
        <v>608.79999999999995</v>
      </c>
    </row>
    <row r="594" spans="1:2">
      <c r="A594" s="10" t="s">
        <v>1764</v>
      </c>
      <c r="B594" s="16">
        <v>607.54999999999995</v>
      </c>
    </row>
    <row r="595" spans="1:2">
      <c r="A595" s="10" t="s">
        <v>1765</v>
      </c>
      <c r="B595" s="16">
        <v>614.97</v>
      </c>
    </row>
    <row r="596" spans="1:2">
      <c r="A596" s="10" t="s">
        <v>1766</v>
      </c>
      <c r="B596" s="16">
        <v>616.59</v>
      </c>
    </row>
    <row r="597" spans="1:2">
      <c r="A597" s="10" t="s">
        <v>1767</v>
      </c>
      <c r="B597" s="16">
        <v>614.99</v>
      </c>
    </row>
    <row r="598" spans="1:2">
      <c r="A598" s="10" t="s">
        <v>1768</v>
      </c>
      <c r="B598" s="16">
        <v>619.49</v>
      </c>
    </row>
    <row r="599" spans="1:2">
      <c r="A599" s="10" t="s">
        <v>1769</v>
      </c>
      <c r="B599" s="16">
        <v>621.17999999999995</v>
      </c>
    </row>
    <row r="600" spans="1:2">
      <c r="A600" s="10" t="s">
        <v>1770</v>
      </c>
      <c r="B600" s="16">
        <v>618.84</v>
      </c>
    </row>
    <row r="601" spans="1:2">
      <c r="A601" s="10" t="s">
        <v>1771</v>
      </c>
      <c r="B601" s="16">
        <v>626.39</v>
      </c>
    </row>
    <row r="602" spans="1:2">
      <c r="A602" s="10" t="s">
        <v>1772</v>
      </c>
      <c r="B602" s="16">
        <v>629.84</v>
      </c>
    </row>
    <row r="603" spans="1:2">
      <c r="A603" s="10" t="s">
        <v>1773</v>
      </c>
      <c r="B603" s="16">
        <v>631.12</v>
      </c>
    </row>
    <row r="604" spans="1:2">
      <c r="A604" s="10" t="s">
        <v>1774</v>
      </c>
      <c r="B604" s="16">
        <v>635.20000000000005</v>
      </c>
    </row>
    <row r="605" spans="1:2">
      <c r="A605" s="10" t="s">
        <v>1775</v>
      </c>
      <c r="B605" s="16">
        <v>639.04</v>
      </c>
    </row>
    <row r="606" spans="1:2">
      <c r="A606" s="10" t="s">
        <v>1776</v>
      </c>
      <c r="B606" s="16">
        <v>637.82000000000005</v>
      </c>
    </row>
    <row r="607" spans="1:2">
      <c r="A607" s="10" t="s">
        <v>1777</v>
      </c>
      <c r="B607" s="16">
        <v>637.09</v>
      </c>
    </row>
    <row r="608" spans="1:2">
      <c r="A608" s="10" t="s">
        <v>1778</v>
      </c>
      <c r="B608" s="16">
        <v>637.44000000000005</v>
      </c>
    </row>
    <row r="609" spans="1:2">
      <c r="A609" s="10" t="s">
        <v>1779</v>
      </c>
      <c r="B609" s="16">
        <v>640.58000000000004</v>
      </c>
    </row>
    <row r="610" spans="1:2">
      <c r="A610" s="10" t="s">
        <v>1780</v>
      </c>
      <c r="B610" s="16">
        <v>640.59</v>
      </c>
    </row>
    <row r="611" spans="1:2">
      <c r="A611" s="10" t="s">
        <v>1781</v>
      </c>
      <c r="B611" s="16">
        <v>638.29999999999995</v>
      </c>
    </row>
    <row r="612" spans="1:2">
      <c r="A612" s="10" t="s">
        <v>1782</v>
      </c>
      <c r="B612" s="16">
        <v>641.62</v>
      </c>
    </row>
    <row r="613" spans="1:2">
      <c r="A613" s="10" t="s">
        <v>1783</v>
      </c>
      <c r="B613" s="16">
        <v>642.04999999999995</v>
      </c>
    </row>
    <row r="614" spans="1:2">
      <c r="A614" s="10" t="s">
        <v>1784</v>
      </c>
      <c r="B614" s="16">
        <v>641.88</v>
      </c>
    </row>
    <row r="615" spans="1:2">
      <c r="A615" s="10" t="s">
        <v>1785</v>
      </c>
      <c r="B615" s="16">
        <v>639.5</v>
      </c>
    </row>
    <row r="616" spans="1:2">
      <c r="A616" s="10" t="s">
        <v>1786</v>
      </c>
      <c r="B616" s="16">
        <v>640.70000000000005</v>
      </c>
    </row>
    <row r="617" spans="1:2">
      <c r="A617" s="10" t="s">
        <v>1787</v>
      </c>
      <c r="B617" s="16">
        <v>639.29999999999995</v>
      </c>
    </row>
    <row r="618" spans="1:2">
      <c r="A618" s="10" t="s">
        <v>1788</v>
      </c>
      <c r="B618" s="16">
        <v>631.41</v>
      </c>
    </row>
    <row r="619" spans="1:2">
      <c r="A619" s="10" t="s">
        <v>1789</v>
      </c>
      <c r="B619" s="16">
        <v>634.94000000000005</v>
      </c>
    </row>
    <row r="620" spans="1:2">
      <c r="A620" s="10" t="s">
        <v>1790</v>
      </c>
      <c r="B620" s="16">
        <v>628.14</v>
      </c>
    </row>
    <row r="621" spans="1:2">
      <c r="A621" s="10" t="s">
        <v>1791</v>
      </c>
      <c r="B621" s="16">
        <v>636.59</v>
      </c>
    </row>
    <row r="622" spans="1:2">
      <c r="A622" s="10" t="s">
        <v>1792</v>
      </c>
      <c r="B622" s="16">
        <v>638.99</v>
      </c>
    </row>
    <row r="623" spans="1:2">
      <c r="A623" s="10" t="s">
        <v>1793</v>
      </c>
      <c r="B623" s="16">
        <v>639.32000000000005</v>
      </c>
    </row>
    <row r="624" spans="1:2">
      <c r="A624" s="10" t="s">
        <v>1794</v>
      </c>
      <c r="B624" s="16">
        <v>639.73</v>
      </c>
    </row>
    <row r="625" spans="1:2">
      <c r="A625" s="10" t="s">
        <v>1795</v>
      </c>
      <c r="B625" s="16">
        <v>636.72</v>
      </c>
    </row>
    <row r="626" spans="1:2">
      <c r="A626" s="10" t="s">
        <v>1796</v>
      </c>
      <c r="B626" s="16">
        <v>638.33000000000004</v>
      </c>
    </row>
    <row r="627" spans="1:2">
      <c r="A627" s="10" t="s">
        <v>1797</v>
      </c>
      <c r="B627" s="16">
        <v>640.03</v>
      </c>
    </row>
    <row r="628" spans="1:2">
      <c r="A628" s="10" t="s">
        <v>1798</v>
      </c>
      <c r="B628" s="16">
        <v>640.96</v>
      </c>
    </row>
    <row r="629" spans="1:2">
      <c r="A629" s="10" t="s">
        <v>1799</v>
      </c>
      <c r="B629" s="16">
        <v>640.45000000000005</v>
      </c>
    </row>
    <row r="630" spans="1:2">
      <c r="A630" s="10" t="s">
        <v>1800</v>
      </c>
      <c r="B630" s="16">
        <v>647.49</v>
      </c>
    </row>
    <row r="631" spans="1:2">
      <c r="A631" s="10" t="s">
        <v>1801</v>
      </c>
      <c r="B631" s="16">
        <v>646.38</v>
      </c>
    </row>
    <row r="632" spans="1:2">
      <c r="A632" s="10" t="s">
        <v>1802</v>
      </c>
      <c r="B632" s="16">
        <v>642.28</v>
      </c>
    </row>
    <row r="633" spans="1:2">
      <c r="A633" s="10" t="s">
        <v>1803</v>
      </c>
      <c r="B633" s="16">
        <v>639.16999999999996</v>
      </c>
    </row>
    <row r="634" spans="1:2">
      <c r="A634" s="10" t="s">
        <v>1804</v>
      </c>
      <c r="B634" s="16">
        <v>638.48</v>
      </c>
    </row>
    <row r="635" spans="1:2">
      <c r="A635" s="10" t="s">
        <v>1805</v>
      </c>
      <c r="B635" s="16">
        <v>632.33000000000004</v>
      </c>
    </row>
    <row r="636" spans="1:2">
      <c r="A636" s="10" t="s">
        <v>1806</v>
      </c>
      <c r="B636" s="16">
        <v>632.91</v>
      </c>
    </row>
    <row r="637" spans="1:2">
      <c r="A637" s="10" t="s">
        <v>1807</v>
      </c>
      <c r="B637" s="16">
        <v>619.45000000000005</v>
      </c>
    </row>
    <row r="638" spans="1:2">
      <c r="A638" s="10" t="s">
        <v>1808</v>
      </c>
      <c r="B638" s="16">
        <v>621.09</v>
      </c>
    </row>
    <row r="639" spans="1:2">
      <c r="A639" s="10" t="s">
        <v>1809</v>
      </c>
      <c r="B639" s="16">
        <v>621.85</v>
      </c>
    </row>
    <row r="640" spans="1:2">
      <c r="A640" s="10" t="s">
        <v>1810</v>
      </c>
      <c r="B640" s="16">
        <v>622.41999999999996</v>
      </c>
    </row>
    <row r="641" spans="1:2">
      <c r="A641" s="10" t="s">
        <v>1811</v>
      </c>
      <c r="B641" s="16">
        <v>621.97</v>
      </c>
    </row>
    <row r="642" spans="1:2">
      <c r="A642" s="10" t="s">
        <v>1812</v>
      </c>
      <c r="B642" s="16">
        <v>623.17999999999995</v>
      </c>
    </row>
    <row r="643" spans="1:2">
      <c r="A643" s="10" t="s">
        <v>1813</v>
      </c>
      <c r="B643" s="16">
        <v>621.85</v>
      </c>
    </row>
    <row r="644" spans="1:2">
      <c r="A644" s="10" t="s">
        <v>1814</v>
      </c>
      <c r="B644" s="16">
        <v>621.6</v>
      </c>
    </row>
    <row r="645" spans="1:2">
      <c r="A645" s="10" t="s">
        <v>1815</v>
      </c>
      <c r="B645" s="16">
        <v>625.55999999999995</v>
      </c>
    </row>
    <row r="646" spans="1:2">
      <c r="A646" s="10" t="s">
        <v>1816</v>
      </c>
      <c r="B646" s="16">
        <v>627.70000000000005</v>
      </c>
    </row>
    <row r="647" spans="1:2">
      <c r="A647" s="10" t="s">
        <v>1817</v>
      </c>
      <c r="B647" s="16">
        <v>631.96</v>
      </c>
    </row>
    <row r="648" spans="1:2">
      <c r="A648" s="10" t="s">
        <v>1818</v>
      </c>
      <c r="B648" s="16">
        <v>635.58000000000004</v>
      </c>
    </row>
    <row r="649" spans="1:2">
      <c r="A649" s="10" t="s">
        <v>1819</v>
      </c>
      <c r="B649" s="16">
        <v>629.53</v>
      </c>
    </row>
    <row r="650" spans="1:2">
      <c r="A650" s="10" t="s">
        <v>1820</v>
      </c>
      <c r="B650" s="16">
        <v>636.22</v>
      </c>
    </row>
    <row r="651" spans="1:2">
      <c r="A651" s="10" t="s">
        <v>1821</v>
      </c>
      <c r="B651" s="16">
        <v>637.98</v>
      </c>
    </row>
    <row r="652" spans="1:2">
      <c r="A652" s="10" t="s">
        <v>1822</v>
      </c>
      <c r="B652" s="16">
        <v>636.94000000000005</v>
      </c>
    </row>
    <row r="653" spans="1:2">
      <c r="A653" s="10" t="s">
        <v>1823</v>
      </c>
      <c r="B653" s="16">
        <v>640.39</v>
      </c>
    </row>
    <row r="654" spans="1:2">
      <c r="A654" s="10" t="s">
        <v>1824</v>
      </c>
      <c r="B654" s="16">
        <v>644.47</v>
      </c>
    </row>
    <row r="655" spans="1:2">
      <c r="A655" s="10" t="s">
        <v>1825</v>
      </c>
      <c r="B655" s="16">
        <v>642.20000000000005</v>
      </c>
    </row>
    <row r="656" spans="1:2">
      <c r="A656" s="10" t="s">
        <v>1826</v>
      </c>
      <c r="B656" s="16">
        <v>637.73</v>
      </c>
    </row>
    <row r="657" spans="1:2">
      <c r="A657" s="10" t="s">
        <v>1827</v>
      </c>
      <c r="B657" s="16">
        <v>638.20000000000005</v>
      </c>
    </row>
    <row r="658" spans="1:2">
      <c r="A658" s="10" t="s">
        <v>1828</v>
      </c>
      <c r="B658" s="16">
        <v>642.91</v>
      </c>
    </row>
    <row r="659" spans="1:2">
      <c r="A659" s="10" t="s">
        <v>1829</v>
      </c>
      <c r="B659" s="16">
        <v>645.54999999999995</v>
      </c>
    </row>
    <row r="660" spans="1:2">
      <c r="A660" s="10" t="s">
        <v>1830</v>
      </c>
      <c r="B660" s="16">
        <v>648.65</v>
      </c>
    </row>
    <row r="661" spans="1:2">
      <c r="A661" s="10" t="s">
        <v>1831</v>
      </c>
      <c r="B661" s="16">
        <v>645.53</v>
      </c>
    </row>
    <row r="662" spans="1:2">
      <c r="A662" s="10" t="s">
        <v>1832</v>
      </c>
      <c r="B662" s="16">
        <v>640.85</v>
      </c>
    </row>
    <row r="663" spans="1:2">
      <c r="A663" s="10" t="s">
        <v>1833</v>
      </c>
      <c r="B663" s="16">
        <v>642.95000000000005</v>
      </c>
    </row>
    <row r="664" spans="1:2">
      <c r="A664" s="10" t="s">
        <v>1834</v>
      </c>
      <c r="B664" s="16">
        <v>644.73</v>
      </c>
    </row>
    <row r="665" spans="1:2">
      <c r="A665" s="10" t="s">
        <v>1835</v>
      </c>
      <c r="B665" s="16">
        <v>646.02</v>
      </c>
    </row>
    <row r="666" spans="1:2">
      <c r="A666" s="10" t="s">
        <v>1836</v>
      </c>
      <c r="B666" s="16">
        <v>649.82000000000005</v>
      </c>
    </row>
    <row r="667" spans="1:2">
      <c r="A667" s="10" t="s">
        <v>1837</v>
      </c>
      <c r="B667" s="16">
        <v>651.47</v>
      </c>
    </row>
    <row r="668" spans="1:2">
      <c r="A668" s="10" t="s">
        <v>1838</v>
      </c>
      <c r="B668" s="16">
        <v>652.47</v>
      </c>
    </row>
    <row r="669" spans="1:2">
      <c r="A669" s="10" t="s">
        <v>1839</v>
      </c>
      <c r="B669" s="16">
        <v>652.66999999999996</v>
      </c>
    </row>
    <row r="670" spans="1:2">
      <c r="A670" s="10" t="s">
        <v>1840</v>
      </c>
      <c r="B670" s="16">
        <v>653.79</v>
      </c>
    </row>
    <row r="671" spans="1:2">
      <c r="A671" s="10" t="s">
        <v>1841</v>
      </c>
      <c r="B671" s="16">
        <v>649.85</v>
      </c>
    </row>
    <row r="672" spans="1:2">
      <c r="A672" s="10" t="s">
        <v>1842</v>
      </c>
      <c r="B672" s="16">
        <v>648.34</v>
      </c>
    </row>
    <row r="673" spans="1:2">
      <c r="A673" s="10" t="s">
        <v>1843</v>
      </c>
      <c r="B673" s="16">
        <v>651.45000000000005</v>
      </c>
    </row>
    <row r="674" spans="1:2">
      <c r="A674" s="10" t="s">
        <v>1844</v>
      </c>
      <c r="B674" s="16">
        <v>647.70000000000005</v>
      </c>
    </row>
    <row r="675" spans="1:2">
      <c r="A675" s="10" t="s">
        <v>1845</v>
      </c>
      <c r="B675" s="16">
        <v>649.70000000000005</v>
      </c>
    </row>
    <row r="676" spans="1:2">
      <c r="A676" s="10" t="s">
        <v>1846</v>
      </c>
      <c r="B676" s="16">
        <v>649.4</v>
      </c>
    </row>
    <row r="677" spans="1:2">
      <c r="A677" s="10" t="s">
        <v>1847</v>
      </c>
      <c r="B677" s="16">
        <v>650.29999999999995</v>
      </c>
    </row>
    <row r="678" spans="1:2">
      <c r="A678" s="10" t="s">
        <v>1848</v>
      </c>
      <c r="B678" s="16">
        <v>649.71</v>
      </c>
    </row>
    <row r="679" spans="1:2">
      <c r="A679" s="10" t="s">
        <v>1849</v>
      </c>
      <c r="B679" s="16">
        <v>647.64</v>
      </c>
    </row>
    <row r="680" spans="1:2">
      <c r="A680" s="10" t="s">
        <v>1850</v>
      </c>
      <c r="B680" s="16">
        <v>648.28</v>
      </c>
    </row>
    <row r="681" spans="1:2">
      <c r="A681" s="10" t="s">
        <v>1851</v>
      </c>
      <c r="B681" s="16">
        <v>649.54</v>
      </c>
    </row>
    <row r="682" spans="1:2">
      <c r="A682" s="10" t="s">
        <v>1852</v>
      </c>
      <c r="B682" s="16">
        <v>653.30999999999995</v>
      </c>
    </row>
    <row r="683" spans="1:2">
      <c r="A683" s="10" t="s">
        <v>1853</v>
      </c>
      <c r="B683" s="16">
        <v>651.70000000000005</v>
      </c>
    </row>
    <row r="684" spans="1:2">
      <c r="A684" s="10" t="s">
        <v>1854</v>
      </c>
      <c r="B684" s="16">
        <v>654.96</v>
      </c>
    </row>
    <row r="685" spans="1:2">
      <c r="A685" s="10" t="s">
        <v>1855</v>
      </c>
      <c r="B685" s="16">
        <v>653.04</v>
      </c>
    </row>
    <row r="686" spans="1:2">
      <c r="A686" s="10" t="s">
        <v>1856</v>
      </c>
      <c r="B686" s="16">
        <v>651.22</v>
      </c>
    </row>
    <row r="687" spans="1:2">
      <c r="A687" s="10" t="s">
        <v>1857</v>
      </c>
      <c r="B687" s="16">
        <v>651.41</v>
      </c>
    </row>
    <row r="688" spans="1:2">
      <c r="A688" s="10" t="s">
        <v>1858</v>
      </c>
      <c r="B688" s="16">
        <v>650.28</v>
      </c>
    </row>
    <row r="689" spans="1:2">
      <c r="A689" s="10" t="s">
        <v>1859</v>
      </c>
      <c r="B689" s="16">
        <v>642.29999999999995</v>
      </c>
    </row>
    <row r="690" spans="1:2">
      <c r="A690" s="10" t="s">
        <v>1860</v>
      </c>
      <c r="B690" s="16">
        <v>639.08000000000004</v>
      </c>
    </row>
    <row r="691" spans="1:2">
      <c r="A691" s="10" t="s">
        <v>1861</v>
      </c>
      <c r="B691" s="16">
        <v>639.11</v>
      </c>
    </row>
    <row r="692" spans="1:2">
      <c r="A692" s="10" t="s">
        <v>1862</v>
      </c>
      <c r="B692" s="16">
        <v>640.41999999999996</v>
      </c>
    </row>
    <row r="693" spans="1:2">
      <c r="A693" s="10" t="s">
        <v>1863</v>
      </c>
      <c r="B693" s="16">
        <v>642.46</v>
      </c>
    </row>
    <row r="694" spans="1:2">
      <c r="A694" s="10" t="s">
        <v>1864</v>
      </c>
      <c r="B694" s="16">
        <v>641.63</v>
      </c>
    </row>
    <row r="695" spans="1:2">
      <c r="A695" s="10" t="s">
        <v>1865</v>
      </c>
      <c r="B695" s="16">
        <v>643.87</v>
      </c>
    </row>
    <row r="696" spans="1:2">
      <c r="A696" s="10" t="s">
        <v>1866</v>
      </c>
      <c r="B696" s="16">
        <v>644.72</v>
      </c>
    </row>
    <row r="697" spans="1:2">
      <c r="A697" s="10" t="s">
        <v>1867</v>
      </c>
      <c r="B697" s="16">
        <v>641.28</v>
      </c>
    </row>
    <row r="698" spans="1:2">
      <c r="A698" s="10" t="s">
        <v>1868</v>
      </c>
      <c r="B698" s="16">
        <v>643.38</v>
      </c>
    </row>
    <row r="699" spans="1:2">
      <c r="A699" s="10" t="s">
        <v>1869</v>
      </c>
      <c r="B699" s="16">
        <v>645.4</v>
      </c>
    </row>
    <row r="700" spans="1:2">
      <c r="A700" s="10" t="s">
        <v>1870</v>
      </c>
      <c r="B700" s="16">
        <v>648.83000000000004</v>
      </c>
    </row>
    <row r="701" spans="1:2">
      <c r="A701" s="10" t="s">
        <v>1871</v>
      </c>
      <c r="B701" s="16">
        <v>650.30999999999995</v>
      </c>
    </row>
    <row r="702" spans="1:2">
      <c r="A702" s="10" t="s">
        <v>1872</v>
      </c>
      <c r="B702" s="16">
        <v>647.19000000000005</v>
      </c>
    </row>
    <row r="703" spans="1:2">
      <c r="A703" s="10" t="s">
        <v>1873</v>
      </c>
      <c r="B703" s="16">
        <v>648.24</v>
      </c>
    </row>
    <row r="704" spans="1:2">
      <c r="A704" s="10" t="s">
        <v>1874</v>
      </c>
      <c r="B704" s="16">
        <v>648.42999999999995</v>
      </c>
    </row>
    <row r="705" spans="1:2">
      <c r="A705" s="10" t="s">
        <v>1875</v>
      </c>
      <c r="B705" s="16">
        <v>652.95000000000005</v>
      </c>
    </row>
    <row r="706" spans="1:2">
      <c r="A706" s="10" t="s">
        <v>1876</v>
      </c>
      <c r="B706" s="16">
        <v>649.95000000000005</v>
      </c>
    </row>
    <row r="707" spans="1:2">
      <c r="A707" s="10" t="s">
        <v>1877</v>
      </c>
      <c r="B707" s="16">
        <v>653.24</v>
      </c>
    </row>
    <row r="708" spans="1:2">
      <c r="A708" s="10" t="s">
        <v>1878</v>
      </c>
      <c r="B708" s="16">
        <v>652.85</v>
      </c>
    </row>
    <row r="709" spans="1:2">
      <c r="A709" s="10" t="s">
        <v>1879</v>
      </c>
      <c r="B709" s="16">
        <v>655.17999999999995</v>
      </c>
    </row>
    <row r="710" spans="1:2">
      <c r="A710" s="10" t="s">
        <v>1880</v>
      </c>
      <c r="B710" s="16">
        <v>650.04</v>
      </c>
    </row>
    <row r="711" spans="1:2">
      <c r="A711" s="10" t="s">
        <v>1881</v>
      </c>
      <c r="B711" s="16">
        <v>645.37</v>
      </c>
    </row>
    <row r="712" spans="1:2">
      <c r="A712" s="10" t="s">
        <v>1882</v>
      </c>
      <c r="B712" s="16">
        <v>641.74</v>
      </c>
    </row>
    <row r="713" spans="1:2">
      <c r="A713" s="10" t="s">
        <v>1883</v>
      </c>
      <c r="B713" s="16">
        <v>643.12</v>
      </c>
    </row>
    <row r="714" spans="1:2">
      <c r="A714" s="10" t="s">
        <v>1884</v>
      </c>
      <c r="B714" s="16">
        <v>623.63</v>
      </c>
    </row>
    <row r="715" spans="1:2">
      <c r="A715" s="10" t="s">
        <v>1885</v>
      </c>
      <c r="B715" s="16">
        <v>610.61</v>
      </c>
    </row>
    <row r="716" spans="1:2">
      <c r="A716" s="10" t="s">
        <v>1886</v>
      </c>
      <c r="B716" s="16">
        <v>616.08000000000004</v>
      </c>
    </row>
    <row r="717" spans="1:2">
      <c r="A717" s="10" t="s">
        <v>1887</v>
      </c>
      <c r="B717" s="16">
        <v>612.35</v>
      </c>
    </row>
    <row r="718" spans="1:2">
      <c r="A718" s="10" t="s">
        <v>1888</v>
      </c>
      <c r="B718" s="16">
        <v>624.62</v>
      </c>
    </row>
    <row r="719" spans="1:2">
      <c r="A719" s="10" t="s">
        <v>1889</v>
      </c>
      <c r="B719" s="16">
        <v>625.38</v>
      </c>
    </row>
    <row r="720" spans="1:2">
      <c r="A720" s="10" t="s">
        <v>1890</v>
      </c>
      <c r="B720" s="16">
        <v>618.13</v>
      </c>
    </row>
    <row r="721" spans="1:2">
      <c r="A721" s="10" t="s">
        <v>1891</v>
      </c>
      <c r="B721" s="16">
        <v>618.05999999999995</v>
      </c>
    </row>
    <row r="722" spans="1:2">
      <c r="A722" s="10" t="s">
        <v>1892</v>
      </c>
      <c r="B722" s="16">
        <v>616.08000000000004</v>
      </c>
    </row>
    <row r="723" spans="1:2">
      <c r="A723" s="10" t="s">
        <v>1893</v>
      </c>
      <c r="B723" s="16">
        <v>611.30999999999995</v>
      </c>
    </row>
    <row r="724" spans="1:2">
      <c r="A724" s="10" t="s">
        <v>1894</v>
      </c>
      <c r="B724" s="16">
        <v>599.29999999999995</v>
      </c>
    </row>
    <row r="725" spans="1:2">
      <c r="A725" s="10" t="s">
        <v>1895</v>
      </c>
      <c r="B725" s="16">
        <v>610.33000000000004</v>
      </c>
    </row>
    <row r="726" spans="1:2">
      <c r="A726" s="10" t="s">
        <v>1896</v>
      </c>
      <c r="B726" s="16">
        <v>603.04999999999995</v>
      </c>
    </row>
    <row r="727" spans="1:2">
      <c r="A727" s="10" t="s">
        <v>1897</v>
      </c>
      <c r="B727" s="16">
        <v>601.65</v>
      </c>
    </row>
    <row r="728" spans="1:2">
      <c r="A728" s="10" t="s">
        <v>1898</v>
      </c>
      <c r="B728" s="16">
        <v>605.36</v>
      </c>
    </row>
    <row r="729" spans="1:2">
      <c r="A729" s="10" t="s">
        <v>1899</v>
      </c>
      <c r="B729" s="16">
        <v>614.96</v>
      </c>
    </row>
    <row r="730" spans="1:2">
      <c r="A730" s="10" t="s">
        <v>1900</v>
      </c>
      <c r="B730" s="16">
        <v>616.37</v>
      </c>
    </row>
    <row r="731" spans="1:2">
      <c r="A731" s="10" t="s">
        <v>1901</v>
      </c>
      <c r="B731" s="16">
        <v>614.52</v>
      </c>
    </row>
    <row r="732" spans="1:2">
      <c r="A732" s="10" t="s">
        <v>1902</v>
      </c>
      <c r="B732" s="16">
        <v>614.01</v>
      </c>
    </row>
    <row r="733" spans="1:2">
      <c r="A733" s="10" t="s">
        <v>1903</v>
      </c>
      <c r="B733" s="16">
        <v>614.5</v>
      </c>
    </row>
    <row r="734" spans="1:2">
      <c r="A734" s="10" t="s">
        <v>1904</v>
      </c>
      <c r="B734" s="16">
        <v>623.77</v>
      </c>
    </row>
    <row r="735" spans="1:2">
      <c r="A735" s="10" t="s">
        <v>1905</v>
      </c>
      <c r="B735" s="16">
        <v>624.98</v>
      </c>
    </row>
    <row r="736" spans="1:2">
      <c r="A736" s="10" t="s">
        <v>1906</v>
      </c>
      <c r="B736" s="16">
        <v>623.75</v>
      </c>
    </row>
    <row r="737" spans="1:2">
      <c r="A737" s="10" t="s">
        <v>1907</v>
      </c>
      <c r="B737" s="16">
        <v>614.63</v>
      </c>
    </row>
    <row r="738" spans="1:2">
      <c r="A738" s="10" t="s">
        <v>1908</v>
      </c>
      <c r="B738" s="16">
        <v>616.88</v>
      </c>
    </row>
    <row r="739" spans="1:2">
      <c r="A739" s="10" t="s">
        <v>1909</v>
      </c>
      <c r="B739" s="16">
        <v>611.25</v>
      </c>
    </row>
    <row r="740" spans="1:2">
      <c r="A740" s="10" t="s">
        <v>1910</v>
      </c>
      <c r="B740" s="16">
        <v>614.75</v>
      </c>
    </row>
    <row r="741" spans="1:2">
      <c r="A741" s="10" t="s">
        <v>1911</v>
      </c>
      <c r="B741" s="16">
        <v>612.75</v>
      </c>
    </row>
    <row r="742" spans="1:2">
      <c r="A742" s="10" t="s">
        <v>1912</v>
      </c>
      <c r="B742" s="16">
        <v>601.64</v>
      </c>
    </row>
    <row r="743" spans="1:2">
      <c r="A743" s="10" t="s">
        <v>1913</v>
      </c>
      <c r="B743" s="16">
        <v>592.16</v>
      </c>
    </row>
    <row r="744" spans="1:2">
      <c r="A744" s="10" t="s">
        <v>1914</v>
      </c>
      <c r="B744" s="16">
        <v>595.97</v>
      </c>
    </row>
    <row r="745" spans="1:2">
      <c r="A745" s="10" t="s">
        <v>1915</v>
      </c>
      <c r="B745" s="16">
        <v>593.24</v>
      </c>
    </row>
    <row r="746" spans="1:2">
      <c r="A746" s="10" t="s">
        <v>1916</v>
      </c>
      <c r="B746" s="16">
        <v>593.71</v>
      </c>
    </row>
    <row r="747" spans="1:2">
      <c r="A747" s="10" t="s">
        <v>1917</v>
      </c>
      <c r="B747" s="16">
        <v>602.41</v>
      </c>
    </row>
    <row r="748" spans="1:2">
      <c r="A748" s="10" t="s">
        <v>1918</v>
      </c>
      <c r="B748" s="16">
        <v>605.51</v>
      </c>
    </row>
    <row r="749" spans="1:2">
      <c r="A749" s="10" t="s">
        <v>1919</v>
      </c>
      <c r="B749" s="16">
        <v>614.41</v>
      </c>
    </row>
    <row r="750" spans="1:2">
      <c r="A750" s="10" t="s">
        <v>1920</v>
      </c>
      <c r="B750" s="16">
        <v>609.85</v>
      </c>
    </row>
    <row r="751" spans="1:2">
      <c r="A751" s="10" t="s">
        <v>1921</v>
      </c>
      <c r="B751" s="16">
        <v>615.13</v>
      </c>
    </row>
    <row r="752" spans="1:2">
      <c r="A752" s="10" t="s">
        <v>1922</v>
      </c>
      <c r="B752" s="16">
        <v>620.96</v>
      </c>
    </row>
    <row r="753" spans="1:2">
      <c r="A753" s="10" t="s">
        <v>1923</v>
      </c>
      <c r="B753" s="16">
        <v>607.14</v>
      </c>
    </row>
    <row r="754" spans="1:2">
      <c r="A754" s="10" t="s">
        <v>1924</v>
      </c>
      <c r="B754" s="16">
        <v>604.1</v>
      </c>
    </row>
    <row r="755" spans="1:2">
      <c r="A755" s="10" t="s">
        <v>1925</v>
      </c>
      <c r="B755" s="16">
        <v>594</v>
      </c>
    </row>
    <row r="756" spans="1:2">
      <c r="A756" s="10" t="s">
        <v>1926</v>
      </c>
      <c r="B756" s="16">
        <v>585.52</v>
      </c>
    </row>
    <row r="757" spans="1:2">
      <c r="A757" s="10" t="s">
        <v>1927</v>
      </c>
      <c r="B757" s="16">
        <v>583.64</v>
      </c>
    </row>
    <row r="758" spans="1:2">
      <c r="A758" s="10" t="s">
        <v>1928</v>
      </c>
      <c r="B758" s="16">
        <v>587.55999999999995</v>
      </c>
    </row>
    <row r="759" spans="1:2">
      <c r="A759" s="10" t="s">
        <v>1929</v>
      </c>
      <c r="B759" s="16">
        <v>592.15</v>
      </c>
    </row>
    <row r="760" spans="1:2">
      <c r="A760" s="10" t="s">
        <v>1930</v>
      </c>
      <c r="B760" s="16">
        <v>593.6</v>
      </c>
    </row>
    <row r="761" spans="1:2">
      <c r="A761" s="10" t="s">
        <v>1931</v>
      </c>
      <c r="B761" s="16">
        <v>586.48</v>
      </c>
    </row>
    <row r="762" spans="1:2">
      <c r="A762" s="10" t="s">
        <v>1932</v>
      </c>
      <c r="B762" s="16">
        <v>575.41999999999996</v>
      </c>
    </row>
    <row r="763" spans="1:2">
      <c r="A763" s="10" t="s">
        <v>1933</v>
      </c>
      <c r="B763" s="16">
        <v>574</v>
      </c>
    </row>
    <row r="764" spans="1:2">
      <c r="A764" s="10" t="s">
        <v>1934</v>
      </c>
      <c r="B764" s="16">
        <v>569.53</v>
      </c>
    </row>
    <row r="765" spans="1:2">
      <c r="A765" s="10" t="s">
        <v>1935</v>
      </c>
      <c r="B765" s="16">
        <v>560.21</v>
      </c>
    </row>
    <row r="766" spans="1:2">
      <c r="A766" s="10" t="s">
        <v>1936</v>
      </c>
      <c r="B766" s="16">
        <v>552.41</v>
      </c>
    </row>
    <row r="767" spans="1:2">
      <c r="A767" s="10" t="s">
        <v>1937</v>
      </c>
      <c r="B767" s="16">
        <v>542.39</v>
      </c>
    </row>
    <row r="768" spans="1:2">
      <c r="A768" s="10" t="s">
        <v>1938</v>
      </c>
      <c r="B768" s="16">
        <v>557.16999999999996</v>
      </c>
    </row>
    <row r="769" spans="1:2">
      <c r="A769" s="10" t="s">
        <v>1939</v>
      </c>
      <c r="B769" s="16">
        <v>559.73</v>
      </c>
    </row>
    <row r="770" spans="1:2">
      <c r="A770" s="10" t="s">
        <v>1940</v>
      </c>
      <c r="B770" s="16">
        <v>563.37</v>
      </c>
    </row>
    <row r="771" spans="1:2">
      <c r="A771" s="10" t="s">
        <v>1941</v>
      </c>
      <c r="B771" s="16">
        <v>564.88</v>
      </c>
    </row>
    <row r="772" spans="1:2">
      <c r="A772" s="10" t="s">
        <v>1942</v>
      </c>
      <c r="B772" s="16">
        <v>550.49</v>
      </c>
    </row>
    <row r="773" spans="1:2">
      <c r="A773" s="10" t="s">
        <v>1943</v>
      </c>
      <c r="B773" s="16">
        <v>567.41</v>
      </c>
    </row>
    <row r="774" spans="1:2">
      <c r="A774" s="10" t="s">
        <v>1944</v>
      </c>
      <c r="B774" s="16">
        <v>566.76</v>
      </c>
    </row>
    <row r="775" spans="1:2">
      <c r="A775" s="10" t="s">
        <v>1945</v>
      </c>
      <c r="B775" s="16">
        <v>570.6</v>
      </c>
    </row>
    <row r="776" spans="1:2">
      <c r="A776" s="10" t="s">
        <v>1946</v>
      </c>
      <c r="B776" s="16">
        <v>570.88</v>
      </c>
    </row>
    <row r="777" spans="1:2">
      <c r="A777" s="10" t="s">
        <v>1947</v>
      </c>
      <c r="B777" s="16">
        <v>571.72</v>
      </c>
    </row>
    <row r="778" spans="1:2">
      <c r="A778" s="10" t="s">
        <v>1948</v>
      </c>
      <c r="B778" s="16">
        <v>572.53</v>
      </c>
    </row>
    <row r="779" spans="1:2">
      <c r="A779" s="10" t="s">
        <v>1949</v>
      </c>
      <c r="B779" s="16">
        <v>569.22</v>
      </c>
    </row>
    <row r="780" spans="1:2">
      <c r="A780" s="10" t="s">
        <v>1950</v>
      </c>
      <c r="B780" s="16">
        <v>575.4</v>
      </c>
    </row>
    <row r="781" spans="1:2">
      <c r="A781" s="10" t="s">
        <v>1951</v>
      </c>
      <c r="B781" s="16">
        <v>579.05999999999995</v>
      </c>
    </row>
    <row r="782" spans="1:2">
      <c r="A782" s="10" t="s">
        <v>1952</v>
      </c>
      <c r="B782" s="16">
        <v>580.9</v>
      </c>
    </row>
    <row r="783" spans="1:2">
      <c r="A783" s="10" t="s">
        <v>1953</v>
      </c>
      <c r="B783" s="16">
        <v>590.23</v>
      </c>
    </row>
    <row r="784" spans="1:2">
      <c r="A784" s="10" t="s">
        <v>1954</v>
      </c>
      <c r="B784" s="16">
        <v>589.12</v>
      </c>
    </row>
    <row r="785" spans="1:2">
      <c r="A785" s="10" t="s">
        <v>1955</v>
      </c>
      <c r="B785" s="16">
        <v>583.89</v>
      </c>
    </row>
    <row r="786" spans="1:2">
      <c r="A786" s="10" t="s">
        <v>1956</v>
      </c>
      <c r="B786" s="16">
        <v>584.75</v>
      </c>
    </row>
    <row r="787" spans="1:2">
      <c r="A787" s="10" t="s">
        <v>1957</v>
      </c>
      <c r="B787" s="16">
        <v>586.01</v>
      </c>
    </row>
    <row r="788" spans="1:2">
      <c r="A788" s="10" t="s">
        <v>1958</v>
      </c>
      <c r="B788" s="16">
        <v>589.84</v>
      </c>
    </row>
    <row r="789" spans="1:2">
      <c r="A789" s="10" t="s">
        <v>1959</v>
      </c>
      <c r="B789" s="16">
        <v>582.97</v>
      </c>
    </row>
    <row r="790" spans="1:2">
      <c r="A790" s="10" t="s">
        <v>1960</v>
      </c>
      <c r="B790" s="16">
        <v>583.03</v>
      </c>
    </row>
    <row r="791" spans="1:2">
      <c r="A791" s="10" t="s">
        <v>1961</v>
      </c>
      <c r="B791" s="16">
        <v>588.66999999999996</v>
      </c>
    </row>
    <row r="792" spans="1:2">
      <c r="A792" s="10" t="s">
        <v>1962</v>
      </c>
      <c r="B792" s="16">
        <v>588.54</v>
      </c>
    </row>
    <row r="793" spans="1:2">
      <c r="A793" s="10" t="s">
        <v>1963</v>
      </c>
      <c r="B793" s="16">
        <v>589.24</v>
      </c>
    </row>
    <row r="794" spans="1:2">
      <c r="A794" s="10" t="s">
        <v>1964</v>
      </c>
      <c r="B794" s="16">
        <v>592.98</v>
      </c>
    </row>
    <row r="795" spans="1:2">
      <c r="A795" s="10" t="s">
        <v>1965</v>
      </c>
      <c r="B795" s="16">
        <v>599.22</v>
      </c>
    </row>
    <row r="796" spans="1:2">
      <c r="A796" s="10" t="s">
        <v>1966</v>
      </c>
      <c r="B796" s="16">
        <v>600.15</v>
      </c>
    </row>
    <row r="797" spans="1:2">
      <c r="A797" s="10" t="s">
        <v>1967</v>
      </c>
      <c r="B797" s="16">
        <v>592.22</v>
      </c>
    </row>
    <row r="798" spans="1:2">
      <c r="A798" s="10" t="s">
        <v>1968</v>
      </c>
      <c r="B798" s="16">
        <v>591.63</v>
      </c>
    </row>
    <row r="799" spans="1:2">
      <c r="A799" s="10" t="s">
        <v>1969</v>
      </c>
      <c r="B799" s="16">
        <v>594.98</v>
      </c>
    </row>
    <row r="800" spans="1:2">
      <c r="A800" s="10" t="s">
        <v>1970</v>
      </c>
      <c r="B800" s="16">
        <v>600.32000000000005</v>
      </c>
    </row>
    <row r="801" spans="1:2">
      <c r="A801" s="10" t="s">
        <v>1971</v>
      </c>
      <c r="B801" s="16">
        <v>602.45000000000005</v>
      </c>
    </row>
    <row r="802" spans="1:2">
      <c r="A802" s="10" t="s">
        <v>1972</v>
      </c>
      <c r="B802" s="16">
        <v>601.33000000000004</v>
      </c>
    </row>
    <row r="803" spans="1:2">
      <c r="A803" s="10" t="s">
        <v>1973</v>
      </c>
      <c r="B803" s="16">
        <v>610.38</v>
      </c>
    </row>
    <row r="804" spans="1:2">
      <c r="A804" s="10" t="s">
        <v>1974</v>
      </c>
      <c r="B804" s="16">
        <v>609.27</v>
      </c>
    </row>
    <row r="805" spans="1:2">
      <c r="A805" s="10" t="s">
        <v>1975</v>
      </c>
      <c r="B805" s="16">
        <v>608.04999999999995</v>
      </c>
    </row>
    <row r="806" spans="1:2">
      <c r="A806" s="10" t="s">
        <v>1976</v>
      </c>
      <c r="B806" s="16">
        <v>609</v>
      </c>
    </row>
    <row r="807" spans="1:2">
      <c r="A807" s="10" t="s">
        <v>1977</v>
      </c>
      <c r="B807" s="16">
        <v>608.1</v>
      </c>
    </row>
    <row r="808" spans="1:2">
      <c r="A808" s="10" t="s">
        <v>1978</v>
      </c>
      <c r="B808" s="16">
        <v>611.96</v>
      </c>
    </row>
    <row r="809" spans="1:2">
      <c r="A809" s="10" t="s">
        <v>1979</v>
      </c>
      <c r="B809" s="16">
        <v>613</v>
      </c>
    </row>
    <row r="810" spans="1:2">
      <c r="A810" s="10" t="s">
        <v>1980</v>
      </c>
      <c r="B810" s="16">
        <v>613.65</v>
      </c>
    </row>
    <row r="811" spans="1:2">
      <c r="A811" s="10" t="s">
        <v>1981</v>
      </c>
      <c r="B811" s="16">
        <v>610.87</v>
      </c>
    </row>
    <row r="812" spans="1:2">
      <c r="A812" s="10" t="s">
        <v>1982</v>
      </c>
      <c r="B812" s="16">
        <v>610.73</v>
      </c>
    </row>
    <row r="813" spans="1:2">
      <c r="A813" s="10" t="s">
        <v>1983</v>
      </c>
      <c r="B813" s="16">
        <v>614.38</v>
      </c>
    </row>
    <row r="814" spans="1:2">
      <c r="A814" s="10" t="s">
        <v>1984</v>
      </c>
      <c r="B814" s="16">
        <v>614.80999999999995</v>
      </c>
    </row>
    <row r="815" spans="1:2">
      <c r="A815" s="10" t="s">
        <v>1985</v>
      </c>
      <c r="B815" s="16">
        <v>615.32000000000005</v>
      </c>
    </row>
    <row r="816" spans="1:2">
      <c r="A816" s="10" t="s">
        <v>1986</v>
      </c>
      <c r="B816" s="16">
        <v>612.55999999999995</v>
      </c>
    </row>
    <row r="817" spans="1:2">
      <c r="A817" s="10" t="s">
        <v>1987</v>
      </c>
      <c r="B817" s="16">
        <v>611.53</v>
      </c>
    </row>
    <row r="818" spans="1:2">
      <c r="A818" s="10" t="s">
        <v>1988</v>
      </c>
      <c r="B818" s="16">
        <v>608.9</v>
      </c>
    </row>
    <row r="819" spans="1:2">
      <c r="A819" s="10" t="s">
        <v>1989</v>
      </c>
      <c r="B819" s="16">
        <v>616.91999999999996</v>
      </c>
    </row>
    <row r="820" spans="1:2">
      <c r="A820" s="10" t="s">
        <v>1990</v>
      </c>
      <c r="B820" s="16">
        <v>617.08000000000004</v>
      </c>
    </row>
    <row r="821" spans="1:2">
      <c r="A821" s="10" t="s">
        <v>1991</v>
      </c>
      <c r="B821" s="16">
        <v>619.36</v>
      </c>
    </row>
    <row r="822" spans="1:2">
      <c r="A822" s="10" t="s">
        <v>1992</v>
      </c>
      <c r="B822" s="16">
        <v>622.29</v>
      </c>
    </row>
    <row r="823" spans="1:2">
      <c r="A823" s="10" t="s">
        <v>1993</v>
      </c>
      <c r="B823" s="16">
        <v>627.74</v>
      </c>
    </row>
    <row r="824" spans="1:2">
      <c r="A824" s="10" t="s">
        <v>1994</v>
      </c>
      <c r="B824" s="16">
        <v>628.37</v>
      </c>
    </row>
    <row r="825" spans="1:2">
      <c r="A825" s="10" t="s">
        <v>1995</v>
      </c>
      <c r="B825" s="16">
        <v>629.75</v>
      </c>
    </row>
    <row r="826" spans="1:2">
      <c r="A826" s="10" t="s">
        <v>1996</v>
      </c>
      <c r="B826" s="16">
        <v>625.75</v>
      </c>
    </row>
    <row r="827" spans="1:2">
      <c r="A827" s="10" t="s">
        <v>1997</v>
      </c>
      <c r="B827" s="16">
        <v>628.86</v>
      </c>
    </row>
    <row r="828" spans="1:2">
      <c r="A828" s="10" t="s">
        <v>1998</v>
      </c>
      <c r="B828" s="16">
        <v>620.11</v>
      </c>
    </row>
    <row r="829" spans="1:2">
      <c r="A829" s="10" t="s">
        <v>1999</v>
      </c>
      <c r="B829" s="16">
        <v>616.95000000000005</v>
      </c>
    </row>
    <row r="830" spans="1:2">
      <c r="A830" s="10" t="s">
        <v>2000</v>
      </c>
      <c r="B830" s="16">
        <v>622.04999999999995</v>
      </c>
    </row>
    <row r="831" spans="1:2">
      <c r="A831" s="10" t="s">
        <v>2001</v>
      </c>
      <c r="B831" s="16">
        <v>621.64</v>
      </c>
    </row>
    <row r="832" spans="1:2">
      <c r="A832" s="10" t="s">
        <v>2002</v>
      </c>
      <c r="B832" s="16">
        <v>622.42999999999995</v>
      </c>
    </row>
    <row r="833" spans="1:2">
      <c r="A833" s="10" t="s">
        <v>2003</v>
      </c>
      <c r="B833" s="16">
        <v>627.49</v>
      </c>
    </row>
    <row r="834" spans="1:2">
      <c r="A834" s="10" t="s">
        <v>2004</v>
      </c>
      <c r="B834" s="16">
        <v>633.92999999999995</v>
      </c>
    </row>
    <row r="835" spans="1:2">
      <c r="A835" s="10" t="s">
        <v>2005</v>
      </c>
      <c r="B835" s="16">
        <v>636.38</v>
      </c>
    </row>
    <row r="836" spans="1:2">
      <c r="A836" s="10" t="s">
        <v>2006</v>
      </c>
      <c r="B836" s="16">
        <v>639.89</v>
      </c>
    </row>
    <row r="837" spans="1:2">
      <c r="A837" s="10" t="s">
        <v>2007</v>
      </c>
      <c r="B837" s="16">
        <v>641.08000000000004</v>
      </c>
    </row>
    <row r="838" spans="1:2">
      <c r="A838" s="10" t="s">
        <v>2008</v>
      </c>
      <c r="B838" s="16">
        <v>641.58000000000004</v>
      </c>
    </row>
    <row r="839" spans="1:2">
      <c r="A839" s="10" t="s">
        <v>2009</v>
      </c>
      <c r="B839" s="16">
        <v>640.12</v>
      </c>
    </row>
    <row r="840" spans="1:2">
      <c r="A840" s="10" t="s">
        <v>2010</v>
      </c>
      <c r="B840" s="16">
        <v>636.24</v>
      </c>
    </row>
    <row r="841" spans="1:2">
      <c r="A841" s="10" t="s">
        <v>2011</v>
      </c>
      <c r="B841" s="16">
        <v>638.98</v>
      </c>
    </row>
    <row r="842" spans="1:2">
      <c r="A842" s="10" t="s">
        <v>2012</v>
      </c>
      <c r="B842" s="16">
        <v>638.53</v>
      </c>
    </row>
    <row r="843" spans="1:2">
      <c r="A843" s="10" t="s">
        <v>2013</v>
      </c>
      <c r="B843" s="16">
        <v>641.26</v>
      </c>
    </row>
    <row r="844" spans="1:2">
      <c r="A844" s="10" t="s">
        <v>2014</v>
      </c>
      <c r="B844" s="16">
        <v>641.71</v>
      </c>
    </row>
    <row r="845" spans="1:2">
      <c r="A845" s="10" t="s">
        <v>2015</v>
      </c>
      <c r="B845" s="16">
        <v>643.61</v>
      </c>
    </row>
    <row r="846" spans="1:2">
      <c r="A846" s="10" t="s">
        <v>2016</v>
      </c>
      <c r="B846" s="16">
        <v>645.71</v>
      </c>
    </row>
    <row r="847" spans="1:2">
      <c r="A847" s="10" t="s">
        <v>2017</v>
      </c>
      <c r="B847" s="16">
        <v>649.70000000000005</v>
      </c>
    </row>
    <row r="848" spans="1:2">
      <c r="A848" s="10" t="s">
        <v>2018</v>
      </c>
      <c r="B848" s="16">
        <v>653.76</v>
      </c>
    </row>
    <row r="849" spans="1:2">
      <c r="A849" s="10" t="s">
        <v>2019</v>
      </c>
      <c r="B849" s="16">
        <v>653.76</v>
      </c>
    </row>
    <row r="850" spans="1:2">
      <c r="A850" s="10" t="s">
        <v>2020</v>
      </c>
      <c r="B850" s="16">
        <v>655.30999999999995</v>
      </c>
    </row>
    <row r="851" spans="1:2">
      <c r="A851" s="10" t="s">
        <v>2021</v>
      </c>
      <c r="B851" s="16">
        <v>656.28</v>
      </c>
    </row>
    <row r="852" spans="1:2">
      <c r="A852" s="10" t="s">
        <v>2022</v>
      </c>
      <c r="B852" s="16">
        <v>657.26</v>
      </c>
    </row>
    <row r="853" spans="1:2">
      <c r="A853" s="10" t="s">
        <v>2023</v>
      </c>
      <c r="B853" s="16">
        <v>656.24</v>
      </c>
    </row>
    <row r="854" spans="1:2">
      <c r="A854" s="10" t="s">
        <v>2024</v>
      </c>
      <c r="B854" s="16">
        <v>653.17999999999995</v>
      </c>
    </row>
    <row r="855" spans="1:2">
      <c r="A855" s="10" t="s">
        <v>2025</v>
      </c>
      <c r="B855" s="16">
        <v>652.21</v>
      </c>
    </row>
    <row r="856" spans="1:2">
      <c r="A856" s="10" t="s">
        <v>2026</v>
      </c>
      <c r="B856" s="16">
        <v>656.67</v>
      </c>
    </row>
    <row r="857" spans="1:2">
      <c r="A857" s="10" t="s">
        <v>2027</v>
      </c>
      <c r="B857" s="16">
        <v>651.67999999999995</v>
      </c>
    </row>
    <row r="858" spans="1:2">
      <c r="A858" s="10" t="s">
        <v>2028</v>
      </c>
      <c r="B858" s="16">
        <v>641.20000000000005</v>
      </c>
    </row>
    <row r="859" spans="1:2">
      <c r="A859" s="10" t="s">
        <v>2029</v>
      </c>
      <c r="B859" s="16">
        <v>641.09</v>
      </c>
    </row>
    <row r="860" spans="1:2">
      <c r="A860" s="10" t="s">
        <v>2030</v>
      </c>
      <c r="B860" s="16">
        <v>633.66999999999996</v>
      </c>
    </row>
    <row r="861" spans="1:2">
      <c r="A861" s="10" t="s">
        <v>2031</v>
      </c>
      <c r="B861" s="16">
        <v>635.48</v>
      </c>
    </row>
    <row r="862" spans="1:2">
      <c r="A862" s="10" t="s">
        <v>2032</v>
      </c>
      <c r="B862" s="16">
        <v>622.45000000000005</v>
      </c>
    </row>
    <row r="863" spans="1:2">
      <c r="A863" s="10" t="s">
        <v>2033</v>
      </c>
      <c r="B863" s="16">
        <v>630.28</v>
      </c>
    </row>
    <row r="864" spans="1:2">
      <c r="A864" s="10" t="s">
        <v>2034</v>
      </c>
      <c r="B864" s="16">
        <v>634.24</v>
      </c>
    </row>
    <row r="865" spans="1:2">
      <c r="A865" s="10" t="s">
        <v>2035</v>
      </c>
      <c r="B865" s="16">
        <v>643.34</v>
      </c>
    </row>
    <row r="866" spans="1:2">
      <c r="A866" s="10" t="s">
        <v>2036</v>
      </c>
      <c r="B866" s="16">
        <v>641.14</v>
      </c>
    </row>
    <row r="867" spans="1:2">
      <c r="A867" s="10" t="s">
        <v>2037</v>
      </c>
      <c r="B867" s="16">
        <v>633.75</v>
      </c>
    </row>
    <row r="868" spans="1:2">
      <c r="A868" s="10" t="s">
        <v>2038</v>
      </c>
      <c r="B868" s="16">
        <v>638.14</v>
      </c>
    </row>
    <row r="869" spans="1:2">
      <c r="A869" s="10" t="s">
        <v>2039</v>
      </c>
      <c r="B869" s="16">
        <v>637.57000000000005</v>
      </c>
    </row>
    <row r="870" spans="1:2">
      <c r="A870" s="10" t="s">
        <v>2040</v>
      </c>
      <c r="B870" s="16">
        <v>629.19000000000005</v>
      </c>
    </row>
    <row r="871" spans="1:2">
      <c r="A871" s="10" t="s">
        <v>2041</v>
      </c>
      <c r="B871" s="16">
        <v>630.03</v>
      </c>
    </row>
    <row r="872" spans="1:2">
      <c r="A872" s="10" t="s">
        <v>2042</v>
      </c>
      <c r="B872" s="16">
        <v>631.19000000000005</v>
      </c>
    </row>
    <row r="873" spans="1:2">
      <c r="A873" s="10" t="s">
        <v>2043</v>
      </c>
      <c r="B873" s="16">
        <v>627.62</v>
      </c>
    </row>
    <row r="874" spans="1:2">
      <c r="A874" s="10" t="s">
        <v>2044</v>
      </c>
      <c r="B874" s="16">
        <v>622.53</v>
      </c>
    </row>
    <row r="875" spans="1:2">
      <c r="A875" s="10" t="s">
        <v>2045</v>
      </c>
      <c r="B875" s="16">
        <v>625.23</v>
      </c>
    </row>
    <row r="876" spans="1:2">
      <c r="A876" s="10" t="s">
        <v>2046</v>
      </c>
      <c r="B876" s="16">
        <v>616.54999999999995</v>
      </c>
    </row>
    <row r="877" spans="1:2">
      <c r="A877" s="10" t="s">
        <v>2047</v>
      </c>
      <c r="B877" s="16">
        <v>613.16</v>
      </c>
    </row>
    <row r="878" spans="1:2">
      <c r="A878" s="10" t="s">
        <v>2048</v>
      </c>
      <c r="B878" s="16">
        <v>622.79</v>
      </c>
    </row>
    <row r="879" spans="1:2">
      <c r="A879" s="10" t="s">
        <v>2049</v>
      </c>
      <c r="B879" s="16">
        <v>626.16</v>
      </c>
    </row>
    <row r="880" spans="1:2">
      <c r="A880" s="10" t="s">
        <v>2050</v>
      </c>
      <c r="B880" s="16">
        <v>627.88</v>
      </c>
    </row>
    <row r="881" spans="1:2">
      <c r="A881" s="10" t="s">
        <v>2051</v>
      </c>
      <c r="B881" s="16">
        <v>633.63</v>
      </c>
    </row>
    <row r="882" spans="1:2">
      <c r="A882" s="10" t="s">
        <v>2052</v>
      </c>
      <c r="B882" s="16">
        <v>636.36</v>
      </c>
    </row>
    <row r="883" spans="1:2">
      <c r="A883" s="10" t="s">
        <v>2053</v>
      </c>
      <c r="B883" s="16">
        <v>638.07000000000005</v>
      </c>
    </row>
    <row r="884" spans="1:2">
      <c r="A884" s="10" t="s">
        <v>2054</v>
      </c>
      <c r="B884" s="16">
        <v>636.21</v>
      </c>
    </row>
    <row r="885" spans="1:2">
      <c r="A885" s="10" t="s">
        <v>2055</v>
      </c>
      <c r="B885" s="16">
        <v>639.59</v>
      </c>
    </row>
    <row r="886" spans="1:2">
      <c r="A886" s="10" t="s">
        <v>2056</v>
      </c>
      <c r="B886" s="16">
        <v>639.16</v>
      </c>
    </row>
    <row r="887" spans="1:2">
      <c r="A887" s="10" t="s">
        <v>2057</v>
      </c>
      <c r="B887" s="16">
        <v>638.92999999999995</v>
      </c>
    </row>
    <row r="888" spans="1:2">
      <c r="A888" s="10" t="s">
        <v>2058</v>
      </c>
      <c r="B888" s="16">
        <v>649.6</v>
      </c>
    </row>
    <row r="889" spans="1:2">
      <c r="A889" s="10" t="s">
        <v>2059</v>
      </c>
      <c r="B889" s="16">
        <v>649.84</v>
      </c>
    </row>
    <row r="890" spans="1:2">
      <c r="A890" s="10" t="s">
        <v>2060</v>
      </c>
      <c r="B890" s="16">
        <v>651.79999999999995</v>
      </c>
    </row>
    <row r="891" spans="1:2">
      <c r="A891" s="10" t="s">
        <v>2061</v>
      </c>
      <c r="B891" s="16">
        <v>650.14</v>
      </c>
    </row>
    <row r="892" spans="1:2">
      <c r="A892" s="10" t="s">
        <v>2062</v>
      </c>
      <c r="B892" s="16">
        <v>646.41999999999996</v>
      </c>
    </row>
    <row r="893" spans="1:2">
      <c r="A893" s="10" t="s">
        <v>2063</v>
      </c>
      <c r="B893" s="16">
        <v>640.4</v>
      </c>
    </row>
    <row r="894" spans="1:2">
      <c r="A894" s="10" t="s">
        <v>2064</v>
      </c>
      <c r="B894" s="16">
        <v>640.9</v>
      </c>
    </row>
    <row r="895" spans="1:2">
      <c r="A895" s="10" t="s">
        <v>2065</v>
      </c>
      <c r="B895" s="16">
        <v>642.17999999999995</v>
      </c>
    </row>
    <row r="896" spans="1:2">
      <c r="A896" s="10" t="s">
        <v>2066</v>
      </c>
      <c r="B896" s="16">
        <v>645.52</v>
      </c>
    </row>
    <row r="897" spans="1:2">
      <c r="A897" s="10" t="s">
        <v>2067</v>
      </c>
      <c r="B897" s="16">
        <v>652.87</v>
      </c>
    </row>
    <row r="898" spans="1:2">
      <c r="A898" s="10" t="s">
        <v>2068</v>
      </c>
      <c r="B898" s="16">
        <v>656.66</v>
      </c>
    </row>
    <row r="899" spans="1:2">
      <c r="A899" s="10" t="s">
        <v>2069</v>
      </c>
      <c r="B899" s="16">
        <v>662.68</v>
      </c>
    </row>
    <row r="900" spans="1:2">
      <c r="A900" s="10" t="s">
        <v>2070</v>
      </c>
      <c r="B900" s="16">
        <v>663.37</v>
      </c>
    </row>
    <row r="901" spans="1:2">
      <c r="A901" s="10" t="s">
        <v>2071</v>
      </c>
      <c r="B901" s="16">
        <v>662.88</v>
      </c>
    </row>
    <row r="902" spans="1:2">
      <c r="A902" s="10" t="s">
        <v>2072</v>
      </c>
      <c r="B902" s="16">
        <v>660.14</v>
      </c>
    </row>
    <row r="903" spans="1:2">
      <c r="A903" s="10" t="s">
        <v>2073</v>
      </c>
      <c r="B903" s="16">
        <v>659.11</v>
      </c>
    </row>
    <row r="904" spans="1:2">
      <c r="A904" s="10" t="s">
        <v>2074</v>
      </c>
      <c r="B904" s="16">
        <v>659.1</v>
      </c>
    </row>
    <row r="905" spans="1:2">
      <c r="A905" s="10" t="s">
        <v>2075</v>
      </c>
      <c r="B905" s="16">
        <v>659.97</v>
      </c>
    </row>
    <row r="906" spans="1:2">
      <c r="A906" s="10" t="s">
        <v>2076</v>
      </c>
      <c r="B906" s="16">
        <v>661.48</v>
      </c>
    </row>
    <row r="907" spans="1:2">
      <c r="A907" s="10" t="s">
        <v>2077</v>
      </c>
      <c r="B907" s="16">
        <v>661.93</v>
      </c>
    </row>
    <row r="908" spans="1:2">
      <c r="A908" s="10" t="s">
        <v>2078</v>
      </c>
      <c r="B908" s="16">
        <v>662.88</v>
      </c>
    </row>
    <row r="909" spans="1:2">
      <c r="A909" s="10" t="s">
        <v>2079</v>
      </c>
      <c r="B909" s="16">
        <v>660.06</v>
      </c>
    </row>
    <row r="910" spans="1:2">
      <c r="A910" s="10" t="s">
        <v>2080</v>
      </c>
      <c r="B910" s="16">
        <v>660.13</v>
      </c>
    </row>
    <row r="911" spans="1:2">
      <c r="A911" s="10" t="s">
        <v>2081</v>
      </c>
      <c r="B911" s="16">
        <v>656.03</v>
      </c>
    </row>
    <row r="912" spans="1:2">
      <c r="A912" s="10" t="s">
        <v>2082</v>
      </c>
      <c r="B912" s="16">
        <v>658.65</v>
      </c>
    </row>
    <row r="913" spans="1:2">
      <c r="A913" s="10" t="s">
        <v>2083</v>
      </c>
      <c r="B913" s="16">
        <v>666.59</v>
      </c>
    </row>
    <row r="914" spans="1:2">
      <c r="A914" s="10" t="s">
        <v>2084</v>
      </c>
      <c r="B914" s="16">
        <v>669.51</v>
      </c>
    </row>
    <row r="915" spans="1:2">
      <c r="A915" s="10" t="s">
        <v>2085</v>
      </c>
      <c r="B915" s="16">
        <v>665.98</v>
      </c>
    </row>
    <row r="916" spans="1:2">
      <c r="A916" s="10" t="s">
        <v>2086</v>
      </c>
      <c r="B916" s="16">
        <v>671.94</v>
      </c>
    </row>
    <row r="917" spans="1:2">
      <c r="A917" s="10" t="s">
        <v>2087</v>
      </c>
      <c r="B917" s="16">
        <v>671.47</v>
      </c>
    </row>
    <row r="918" spans="1:2">
      <c r="A918" s="10" t="s">
        <v>2088</v>
      </c>
      <c r="B918" s="16">
        <v>664.38</v>
      </c>
    </row>
    <row r="919" spans="1:2">
      <c r="A919" s="10" t="s">
        <v>2089</v>
      </c>
      <c r="B919" s="16">
        <v>660.4</v>
      </c>
    </row>
    <row r="920" spans="1:2">
      <c r="A920" s="10" t="s">
        <v>2090</v>
      </c>
      <c r="B920" s="16">
        <v>662.33</v>
      </c>
    </row>
    <row r="921" spans="1:2">
      <c r="A921" s="10" t="s">
        <v>2091</v>
      </c>
      <c r="B921" s="16">
        <v>648.72</v>
      </c>
    </row>
    <row r="922" spans="1:2">
      <c r="A922" s="10" t="s">
        <v>2092</v>
      </c>
      <c r="B922" s="16">
        <v>627.85</v>
      </c>
    </row>
    <row r="923" spans="1:2">
      <c r="A923" s="10" t="s">
        <v>2093</v>
      </c>
      <c r="B923" s="16">
        <v>631.52</v>
      </c>
    </row>
    <row r="924" spans="1:2">
      <c r="A924" s="10" t="s">
        <v>2094</v>
      </c>
      <c r="B924" s="16">
        <v>631.6</v>
      </c>
    </row>
    <row r="925" spans="1:2">
      <c r="A925" s="10" t="s">
        <v>2095</v>
      </c>
      <c r="B925" s="16">
        <v>643.16</v>
      </c>
    </row>
    <row r="926" spans="1:2">
      <c r="A926" s="10" t="s">
        <v>2096</v>
      </c>
      <c r="B926" s="16">
        <v>636.65</v>
      </c>
    </row>
    <row r="927" spans="1:2">
      <c r="A927" s="10" t="s">
        <v>2097</v>
      </c>
      <c r="B927" s="16">
        <v>630.48</v>
      </c>
    </row>
    <row r="928" spans="1:2">
      <c r="A928" s="10" t="s">
        <v>2098</v>
      </c>
      <c r="B928" s="16">
        <v>639.62</v>
      </c>
    </row>
    <row r="929" spans="1:2">
      <c r="A929" s="10" t="s">
        <v>2099</v>
      </c>
      <c r="B929" s="16">
        <v>625.21</v>
      </c>
    </row>
    <row r="930" spans="1:2">
      <c r="A930" s="10" t="s">
        <v>2100</v>
      </c>
      <c r="B930" s="16">
        <v>625.49</v>
      </c>
    </row>
    <row r="931" spans="1:2">
      <c r="A931" s="10" t="s">
        <v>2101</v>
      </c>
      <c r="B931" s="16">
        <v>635.47</v>
      </c>
    </row>
    <row r="932" spans="1:2">
      <c r="A932" s="10" t="s">
        <v>2102</v>
      </c>
      <c r="B932" s="16">
        <v>643.45000000000005</v>
      </c>
    </row>
    <row r="933" spans="1:2">
      <c r="A933" s="10" t="s">
        <v>2103</v>
      </c>
      <c r="B933" s="16">
        <v>639.49</v>
      </c>
    </row>
    <row r="934" spans="1:2">
      <c r="A934" s="10" t="s">
        <v>2104</v>
      </c>
      <c r="B934" s="16">
        <v>646.44000000000005</v>
      </c>
    </row>
    <row r="935" spans="1:2">
      <c r="A935" s="10" t="s">
        <v>2105</v>
      </c>
      <c r="B935" s="16">
        <v>644.79</v>
      </c>
    </row>
    <row r="936" spans="1:2">
      <c r="A936" s="10" t="s">
        <v>2106</v>
      </c>
      <c r="B936" s="16">
        <v>630.96</v>
      </c>
    </row>
    <row r="937" spans="1:2">
      <c r="A937" s="10" t="s">
        <v>2107</v>
      </c>
      <c r="B937" s="16">
        <v>636.41</v>
      </c>
    </row>
    <row r="938" spans="1:2">
      <c r="A938" s="10" t="s">
        <v>2108</v>
      </c>
      <c r="B938" s="16">
        <v>637.97</v>
      </c>
    </row>
    <row r="939" spans="1:2">
      <c r="A939" s="10" t="s">
        <v>2109</v>
      </c>
      <c r="B939" s="16">
        <v>640.26</v>
      </c>
    </row>
    <row r="940" spans="1:2">
      <c r="A940" s="10" t="s">
        <v>2110</v>
      </c>
      <c r="B940" s="16">
        <v>648.85</v>
      </c>
    </row>
    <row r="941" spans="1:2">
      <c r="A941" s="10" t="s">
        <v>2111</v>
      </c>
      <c r="B941" s="16">
        <v>652.46</v>
      </c>
    </row>
    <row r="942" spans="1:2">
      <c r="A942" s="10" t="s">
        <v>2112</v>
      </c>
      <c r="B942" s="16">
        <v>654.33000000000004</v>
      </c>
    </row>
    <row r="943" spans="1:2">
      <c r="A943" s="10" t="s">
        <v>2113</v>
      </c>
      <c r="B943" s="16">
        <v>650.79999999999995</v>
      </c>
    </row>
    <row r="944" spans="1:2">
      <c r="A944" s="10" t="s">
        <v>2114</v>
      </c>
      <c r="B944" s="16">
        <v>655.43</v>
      </c>
    </row>
    <row r="945" spans="1:2">
      <c r="A945" s="10" t="s">
        <v>2115</v>
      </c>
      <c r="B945" s="16">
        <v>663.55</v>
      </c>
    </row>
    <row r="946" spans="1:2">
      <c r="A946" s="10" t="s">
        <v>2116</v>
      </c>
      <c r="B946" s="16">
        <v>664.46</v>
      </c>
    </row>
    <row r="947" spans="1:2">
      <c r="A947" s="10" t="s">
        <v>2117</v>
      </c>
      <c r="B947" s="16">
        <v>663.48</v>
      </c>
    </row>
    <row r="948" spans="1:2">
      <c r="A948" s="10" t="s">
        <v>2118</v>
      </c>
      <c r="B948" s="16">
        <v>663.61</v>
      </c>
    </row>
    <row r="949" spans="1:2">
      <c r="A949" s="10" t="s">
        <v>2119</v>
      </c>
      <c r="B949" s="16">
        <v>669.43</v>
      </c>
    </row>
    <row r="950" spans="1:2">
      <c r="A950" s="10" t="s">
        <v>2120</v>
      </c>
      <c r="B950" s="16">
        <v>671.57</v>
      </c>
    </row>
    <row r="951" spans="1:2">
      <c r="A951" s="10" t="s">
        <v>2121</v>
      </c>
      <c r="B951" s="16">
        <v>669.66</v>
      </c>
    </row>
    <row r="952" spans="1:2">
      <c r="A952" s="10" t="s">
        <v>2122</v>
      </c>
      <c r="B952" s="16">
        <v>667.12</v>
      </c>
    </row>
    <row r="953" spans="1:2">
      <c r="A953" s="10" t="s">
        <v>2123</v>
      </c>
      <c r="B953" s="16">
        <v>666.15</v>
      </c>
    </row>
    <row r="954" spans="1:2">
      <c r="A954" s="10" t="s">
        <v>2124</v>
      </c>
      <c r="B954" s="16">
        <v>667.01</v>
      </c>
    </row>
    <row r="955" spans="1:2">
      <c r="A955" s="10" t="s">
        <v>2125</v>
      </c>
      <c r="B955" s="16">
        <v>669.63</v>
      </c>
    </row>
    <row r="956" spans="1:2">
      <c r="A956" s="10" t="s">
        <v>2126</v>
      </c>
      <c r="B956" s="16">
        <v>669.96</v>
      </c>
    </row>
    <row r="957" spans="1:2">
      <c r="A957" s="10" t="s">
        <v>2127</v>
      </c>
      <c r="B957" s="16">
        <v>668.22</v>
      </c>
    </row>
    <row r="958" spans="1:2">
      <c r="A958" s="10" t="s">
        <v>2128</v>
      </c>
      <c r="B958" s="16">
        <v>665</v>
      </c>
    </row>
    <row r="959" spans="1:2">
      <c r="A959" s="10" t="s">
        <v>2129</v>
      </c>
      <c r="B959" s="16">
        <v>667.03</v>
      </c>
    </row>
    <row r="960" spans="1:2">
      <c r="A960" s="10" t="s">
        <v>2130</v>
      </c>
      <c r="B960" s="16">
        <v>669.41</v>
      </c>
    </row>
    <row r="961" spans="1:2">
      <c r="A961" s="10" t="s">
        <v>2131</v>
      </c>
      <c r="B961" s="16">
        <v>668.19</v>
      </c>
    </row>
    <row r="962" spans="1:2">
      <c r="A962" s="10" t="s">
        <v>2132</v>
      </c>
      <c r="B962" s="16">
        <v>673.94</v>
      </c>
    </row>
    <row r="963" spans="1:2">
      <c r="A963" s="10" t="s">
        <v>2133</v>
      </c>
      <c r="B963" s="16">
        <v>665.94</v>
      </c>
    </row>
    <row r="964" spans="1:2">
      <c r="A964" s="10" t="s">
        <v>2134</v>
      </c>
      <c r="B964" s="16">
        <v>649.6</v>
      </c>
    </row>
    <row r="965" spans="1:2">
      <c r="A965" s="10" t="s">
        <v>2135</v>
      </c>
      <c r="B965" s="16">
        <v>652.1</v>
      </c>
    </row>
    <row r="966" spans="1:2">
      <c r="A966" s="10" t="s">
        <v>2136</v>
      </c>
      <c r="B966" s="16">
        <v>660.67</v>
      </c>
    </row>
    <row r="967" spans="1:2">
      <c r="A967" s="10" t="s">
        <v>2137</v>
      </c>
      <c r="B967" s="16">
        <v>660.74</v>
      </c>
    </row>
    <row r="968" spans="1:2">
      <c r="A968" s="10" t="s">
        <v>2138</v>
      </c>
      <c r="B968" s="16">
        <v>652.91</v>
      </c>
    </row>
    <row r="969" spans="1:2">
      <c r="A969" s="10" t="s">
        <v>2139</v>
      </c>
      <c r="B969" s="16">
        <v>658.46</v>
      </c>
    </row>
    <row r="970" spans="1:2">
      <c r="A970" s="10" t="s">
        <v>2140</v>
      </c>
      <c r="B970" s="16">
        <v>661.91</v>
      </c>
    </row>
    <row r="971" spans="1:2">
      <c r="A971" s="10" t="s">
        <v>2141</v>
      </c>
      <c r="B971" s="16">
        <v>671.37</v>
      </c>
    </row>
    <row r="972" spans="1:2">
      <c r="A972" s="10" t="s">
        <v>2142</v>
      </c>
      <c r="B972" s="16">
        <v>670.08</v>
      </c>
    </row>
    <row r="973" spans="1:2">
      <c r="A973" s="10" t="s">
        <v>2143</v>
      </c>
      <c r="B973" s="16">
        <v>677.08</v>
      </c>
    </row>
    <row r="974" spans="1:2">
      <c r="A974" s="10" t="s">
        <v>2144</v>
      </c>
      <c r="B974" s="16">
        <v>675.12</v>
      </c>
    </row>
    <row r="975" spans="1:2">
      <c r="A975" s="10" t="s">
        <v>2145</v>
      </c>
      <c r="B975" s="16">
        <v>672.45</v>
      </c>
    </row>
    <row r="976" spans="1:2">
      <c r="A976" s="10" t="s">
        <v>2146</v>
      </c>
      <c r="B976" s="16">
        <v>670.12</v>
      </c>
    </row>
    <row r="977" spans="1:2">
      <c r="A977" s="10" t="s">
        <v>2147</v>
      </c>
      <c r="B977" s="16">
        <v>673.76</v>
      </c>
    </row>
    <row r="978" spans="1:2">
      <c r="A978" s="10" t="s">
        <v>2148</v>
      </c>
      <c r="B978" s="16">
        <v>673.4</v>
      </c>
    </row>
    <row r="979" spans="1:2">
      <c r="A979" s="10" t="s">
        <v>2149</v>
      </c>
      <c r="B979" s="16">
        <v>674.4</v>
      </c>
    </row>
    <row r="980" spans="1:2">
      <c r="A980" s="10" t="s">
        <v>2150</v>
      </c>
      <c r="B980" s="16">
        <v>676.72</v>
      </c>
    </row>
    <row r="981" spans="1:2">
      <c r="A981" s="10" t="s">
        <v>2151</v>
      </c>
      <c r="B981" s="16">
        <v>680.6</v>
      </c>
    </row>
    <row r="982" spans="1:2">
      <c r="A982" s="10" t="s">
        <v>2152</v>
      </c>
      <c r="B982" s="16">
        <v>684.1</v>
      </c>
    </row>
    <row r="983" spans="1:2">
      <c r="A983" s="10" t="s">
        <v>2153</v>
      </c>
      <c r="B983" s="16">
        <v>680.77</v>
      </c>
    </row>
    <row r="984" spans="1:2">
      <c r="A984" s="10" t="s">
        <v>2154</v>
      </c>
      <c r="B984" s="16">
        <v>682.92</v>
      </c>
    </row>
    <row r="985" spans="1:2">
      <c r="A985" s="10" t="s">
        <v>2155</v>
      </c>
      <c r="B985" s="16">
        <v>680.09</v>
      </c>
    </row>
    <row r="986" spans="1:2">
      <c r="A986" s="10" t="s">
        <v>2156</v>
      </c>
      <c r="B986" s="16">
        <v>684.57</v>
      </c>
    </row>
    <row r="987" spans="1:2">
      <c r="A987" s="10" t="s">
        <v>2157</v>
      </c>
      <c r="B987" s="16">
        <v>689.01</v>
      </c>
    </row>
    <row r="988" spans="1:2">
      <c r="A988" s="10" t="s">
        <v>2158</v>
      </c>
      <c r="B988" s="16">
        <v>691.32</v>
      </c>
    </row>
    <row r="989" spans="1:2">
      <c r="A989" s="10" t="s">
        <v>2159</v>
      </c>
      <c r="B989" s="16">
        <v>693.05</v>
      </c>
    </row>
    <row r="990" spans="1:2">
      <c r="A990" s="10" t="s">
        <v>2160</v>
      </c>
      <c r="B990" s="16">
        <v>697.66</v>
      </c>
    </row>
    <row r="991" spans="1:2">
      <c r="A991" s="10" t="s">
        <v>2161</v>
      </c>
      <c r="B991" s="16">
        <v>699.69</v>
      </c>
    </row>
    <row r="992" spans="1:2">
      <c r="A992" s="10" t="s">
        <v>2162</v>
      </c>
      <c r="B992" s="16">
        <v>697.62</v>
      </c>
    </row>
    <row r="993" spans="1:2">
      <c r="A993" s="10" t="s">
        <v>2163</v>
      </c>
      <c r="B993" s="16">
        <v>700.5</v>
      </c>
    </row>
    <row r="994" spans="1:2">
      <c r="A994" s="10" t="s">
        <v>2164</v>
      </c>
      <c r="B994" s="16">
        <v>700.55</v>
      </c>
    </row>
    <row r="995" spans="1:2">
      <c r="A995" s="10" t="s">
        <v>2165</v>
      </c>
      <c r="B995" s="16">
        <v>699.65</v>
      </c>
    </row>
    <row r="996" spans="1:2">
      <c r="A996" s="10" t="s">
        <v>2166</v>
      </c>
      <c r="B996" s="16">
        <v>703.39</v>
      </c>
    </row>
    <row r="997" spans="1:2">
      <c r="A997" s="10" t="s">
        <v>2167</v>
      </c>
      <c r="B997" s="16">
        <v>702.51</v>
      </c>
    </row>
    <row r="998" spans="1:2">
      <c r="A998" s="10" t="s">
        <v>2168</v>
      </c>
      <c r="B998" s="16">
        <v>700.91</v>
      </c>
    </row>
    <row r="999" spans="1:2">
      <c r="A999" s="10" t="s">
        <v>2169</v>
      </c>
      <c r="B999" s="16">
        <v>698.22</v>
      </c>
    </row>
    <row r="1000" spans="1:2">
      <c r="A1000" s="10" t="s">
        <v>2170</v>
      </c>
      <c r="B1000" s="16">
        <v>696.31</v>
      </c>
    </row>
    <row r="1001" spans="1:2">
      <c r="A1001" s="10" t="s">
        <v>2171</v>
      </c>
      <c r="B1001" s="16">
        <v>698.78</v>
      </c>
    </row>
    <row r="1002" spans="1:2">
      <c r="A1002" s="10" t="s">
        <v>2172</v>
      </c>
      <c r="B1002" s="16">
        <v>704.71</v>
      </c>
    </row>
    <row r="1003" spans="1:2">
      <c r="A1003" s="10" t="s">
        <v>2173</v>
      </c>
      <c r="B1003" s="16">
        <v>705.67</v>
      </c>
    </row>
    <row r="1004" spans="1:2">
      <c r="A1004" s="10" t="s">
        <v>2174</v>
      </c>
      <c r="B1004" s="16">
        <v>708.46</v>
      </c>
    </row>
    <row r="1005" spans="1:2">
      <c r="A1005" s="10" t="s">
        <v>2175</v>
      </c>
      <c r="B1005" s="16">
        <v>707.52</v>
      </c>
    </row>
    <row r="1006" spans="1:2">
      <c r="A1006" s="10" t="s">
        <v>2176</v>
      </c>
      <c r="B1006" s="16">
        <v>705.45</v>
      </c>
    </row>
    <row r="1007" spans="1:2">
      <c r="A1007" s="10" t="s">
        <v>2177</v>
      </c>
      <c r="B1007" s="16">
        <v>693.8</v>
      </c>
    </row>
    <row r="1008" spans="1:2">
      <c r="A1008" s="10" t="s">
        <v>2178</v>
      </c>
      <c r="B1008" s="16">
        <v>689.55</v>
      </c>
    </row>
    <row r="1009" spans="1:2">
      <c r="A1009" s="10" t="s">
        <v>2179</v>
      </c>
      <c r="B1009" s="16">
        <v>695.71</v>
      </c>
    </row>
    <row r="1010" spans="1:2">
      <c r="A1010" s="10" t="s">
        <v>2180</v>
      </c>
      <c r="B1010" s="16">
        <v>695.82</v>
      </c>
    </row>
    <row r="1011" spans="1:2">
      <c r="A1011" s="10" t="s">
        <v>2181</v>
      </c>
      <c r="B1011" s="16">
        <v>704.99</v>
      </c>
    </row>
    <row r="1012" spans="1:2">
      <c r="A1012" s="10" t="s">
        <v>2182</v>
      </c>
      <c r="B1012" s="16">
        <v>700.92</v>
      </c>
    </row>
    <row r="1013" spans="1:2">
      <c r="A1013" s="10" t="s">
        <v>2183</v>
      </c>
      <c r="B1013" s="16">
        <v>700.43</v>
      </c>
    </row>
    <row r="1014" spans="1:2">
      <c r="A1014" s="10" t="s">
        <v>2184</v>
      </c>
      <c r="B1014" s="16">
        <v>703.37</v>
      </c>
    </row>
    <row r="1015" spans="1:2">
      <c r="A1015" s="10" t="s">
        <v>2185</v>
      </c>
      <c r="B1015" s="16">
        <v>707.43</v>
      </c>
    </row>
    <row r="1016" spans="1:2">
      <c r="A1016" s="10" t="s">
        <v>2186</v>
      </c>
      <c r="B1016" s="16">
        <v>709.81</v>
      </c>
    </row>
    <row r="1017" spans="1:2">
      <c r="A1017" s="10" t="s">
        <v>2187</v>
      </c>
      <c r="B1017" s="16">
        <v>716.13</v>
      </c>
    </row>
    <row r="1018" spans="1:2">
      <c r="A1018" s="10" t="s">
        <v>2188</v>
      </c>
      <c r="B1018" s="16">
        <v>712.77</v>
      </c>
    </row>
    <row r="1019" spans="1:2">
      <c r="A1019" s="10" t="s">
        <v>2189</v>
      </c>
      <c r="B1019" s="16">
        <v>712.22</v>
      </c>
    </row>
    <row r="1020" spans="1:2">
      <c r="A1020" s="10" t="s">
        <v>2190</v>
      </c>
      <c r="B1020" s="16">
        <v>714.3</v>
      </c>
    </row>
    <row r="1021" spans="1:2">
      <c r="A1021" s="10" t="s">
        <v>2191</v>
      </c>
      <c r="B1021" s="16">
        <v>720.3</v>
      </c>
    </row>
    <row r="1022" spans="1:2">
      <c r="A1022" s="10" t="s">
        <v>2192</v>
      </c>
      <c r="B1022" s="16">
        <v>720.02</v>
      </c>
    </row>
    <row r="1023" spans="1:2">
      <c r="A1023" s="10" t="s">
        <v>2193</v>
      </c>
      <c r="B1023" s="16">
        <v>719.52</v>
      </c>
    </row>
    <row r="1024" spans="1:2">
      <c r="A1024" s="10" t="s">
        <v>2194</v>
      </c>
      <c r="B1024" s="16">
        <v>719.83</v>
      </c>
    </row>
    <row r="1025" spans="1:2">
      <c r="A1025" s="10" t="s">
        <v>2195</v>
      </c>
      <c r="B1025" s="16">
        <v>712.62</v>
      </c>
    </row>
    <row r="1026" spans="1:2">
      <c r="A1026" s="10" t="s">
        <v>2196</v>
      </c>
      <c r="B1026" s="16">
        <v>712.66</v>
      </c>
    </row>
    <row r="1027" spans="1:2">
      <c r="A1027" s="10" t="s">
        <v>2197</v>
      </c>
      <c r="B1027" s="16">
        <v>721.88</v>
      </c>
    </row>
    <row r="1028" spans="1:2">
      <c r="A1028" s="10" t="s">
        <v>2198</v>
      </c>
      <c r="B1028" s="16">
        <v>717.93</v>
      </c>
    </row>
    <row r="1029" spans="1:2">
      <c r="A1029" s="10" t="s">
        <v>2199</v>
      </c>
      <c r="B1029" s="16">
        <v>716.35</v>
      </c>
    </row>
    <row r="1030" spans="1:2">
      <c r="A1030" s="10" t="s">
        <v>2200</v>
      </c>
      <c r="B1030" s="16">
        <v>717.1</v>
      </c>
    </row>
    <row r="1031" spans="1:2">
      <c r="A1031" s="10" t="s">
        <v>2201</v>
      </c>
      <c r="B1031" s="16">
        <v>722.15</v>
      </c>
    </row>
    <row r="1032" spans="1:2">
      <c r="A1032" s="10" t="s">
        <v>2202</v>
      </c>
      <c r="B1032" s="16">
        <v>728.22</v>
      </c>
    </row>
    <row r="1033" spans="1:2">
      <c r="A1033" s="10" t="s">
        <v>2203</v>
      </c>
      <c r="B1033" s="16">
        <v>726.2</v>
      </c>
    </row>
    <row r="1034" spans="1:2">
      <c r="A1034" s="10" t="s">
        <v>2204</v>
      </c>
      <c r="B1034" s="16">
        <v>727.65</v>
      </c>
    </row>
    <row r="1035" spans="1:2">
      <c r="A1035" s="10" t="s">
        <v>2205</v>
      </c>
      <c r="B1035" s="16">
        <v>727.79</v>
      </c>
    </row>
    <row r="1036" spans="1:2">
      <c r="A1036" s="10" t="s">
        <v>2206</v>
      </c>
      <c r="B1036" s="16">
        <v>727.16</v>
      </c>
    </row>
    <row r="1037" spans="1:2">
      <c r="A1037" s="10" t="s">
        <v>2207</v>
      </c>
      <c r="B1037" s="16">
        <v>731.69</v>
      </c>
    </row>
    <row r="1038" spans="1:2">
      <c r="A1038" s="10" t="s">
        <v>2208</v>
      </c>
      <c r="B1038" s="16">
        <v>738.76</v>
      </c>
    </row>
    <row r="1039" spans="1:2">
      <c r="A1039" s="10" t="s">
        <v>2209</v>
      </c>
      <c r="B1039" s="16">
        <v>738.17</v>
      </c>
    </row>
    <row r="1040" spans="1:2">
      <c r="A1040" s="10" t="s">
        <v>2210</v>
      </c>
      <c r="B1040" s="16">
        <v>735.74</v>
      </c>
    </row>
    <row r="1041" spans="1:2">
      <c r="A1041" s="10" t="s">
        <v>2211</v>
      </c>
      <c r="B1041" s="16">
        <v>736.33</v>
      </c>
    </row>
    <row r="1042" spans="1:2">
      <c r="A1042" s="10" t="s">
        <v>2212</v>
      </c>
      <c r="B1042" s="16">
        <v>734.84</v>
      </c>
    </row>
    <row r="1043" spans="1:2">
      <c r="A1043" s="10" t="s">
        <v>2213</v>
      </c>
      <c r="B1043" s="16">
        <v>735.4</v>
      </c>
    </row>
    <row r="1044" spans="1:2">
      <c r="A1044" s="10" t="s">
        <v>2214</v>
      </c>
      <c r="B1044" s="16">
        <v>720.42</v>
      </c>
    </row>
    <row r="1045" spans="1:2">
      <c r="A1045" s="10" t="s">
        <v>2215</v>
      </c>
      <c r="B1045" s="16">
        <v>728.66</v>
      </c>
    </row>
    <row r="1046" spans="1:2">
      <c r="A1046" s="10" t="s">
        <v>2216</v>
      </c>
      <c r="B1046" s="16">
        <v>729.6</v>
      </c>
    </row>
    <row r="1047" spans="1:2">
      <c r="A1047" s="10" t="s">
        <v>2217</v>
      </c>
      <c r="B1047" s="16">
        <v>726.8</v>
      </c>
    </row>
    <row r="1048" spans="1:2">
      <c r="A1048" s="10" t="s">
        <v>2218</v>
      </c>
      <c r="B1048" s="16">
        <v>711.84</v>
      </c>
    </row>
    <row r="1049" spans="1:2">
      <c r="A1049" s="10" t="s">
        <v>2219</v>
      </c>
      <c r="B1049" s="16">
        <v>718.6</v>
      </c>
    </row>
    <row r="1050" spans="1:2">
      <c r="A1050" s="10" t="s">
        <v>2220</v>
      </c>
      <c r="B1050" s="16">
        <v>732.17</v>
      </c>
    </row>
    <row r="1051" spans="1:2">
      <c r="A1051" s="10" t="s">
        <v>2221</v>
      </c>
      <c r="B1051" s="16">
        <v>741.74</v>
      </c>
    </row>
    <row r="1052" spans="1:2">
      <c r="A1052" s="10" t="s">
        <v>2222</v>
      </c>
      <c r="B1052" s="16">
        <v>748.57</v>
      </c>
    </row>
    <row r="1053" spans="1:2">
      <c r="A1053" s="10" t="s">
        <v>2223</v>
      </c>
      <c r="B1053" s="16">
        <v>746.47</v>
      </c>
    </row>
    <row r="1054" spans="1:2">
      <c r="A1054" s="10" t="s">
        <v>2224</v>
      </c>
      <c r="B1054" s="16">
        <v>751.47</v>
      </c>
    </row>
    <row r="1055" spans="1:2">
      <c r="A1055" s="10" t="s">
        <v>2225</v>
      </c>
      <c r="B1055" s="16">
        <v>753.57</v>
      </c>
    </row>
    <row r="1056" spans="1:2">
      <c r="A1056" s="10" t="s">
        <v>2226</v>
      </c>
      <c r="B1056" s="16">
        <v>759.89</v>
      </c>
    </row>
    <row r="1057" spans="1:2">
      <c r="A1057" s="10" t="s">
        <v>2227</v>
      </c>
      <c r="B1057" s="16">
        <v>759.6</v>
      </c>
    </row>
    <row r="1058" spans="1:2">
      <c r="A1058" s="10" t="s">
        <v>2228</v>
      </c>
      <c r="B1058" s="16">
        <v>760.84</v>
      </c>
    </row>
    <row r="1059" spans="1:2">
      <c r="A1059" s="10" t="s">
        <v>2229</v>
      </c>
      <c r="B1059" s="16">
        <v>762.01</v>
      </c>
    </row>
    <row r="1060" spans="1:2">
      <c r="A1060" s="10" t="s">
        <v>2230</v>
      </c>
      <c r="B1060" s="16">
        <v>758.93</v>
      </c>
    </row>
    <row r="1061" spans="1:2">
      <c r="A1061" s="10" t="s">
        <v>2231</v>
      </c>
      <c r="B1061" s="16">
        <v>766.13</v>
      </c>
    </row>
    <row r="1062" spans="1:2">
      <c r="A1062" s="10" t="s">
        <v>2232</v>
      </c>
      <c r="B1062" s="16">
        <v>758.82</v>
      </c>
    </row>
    <row r="1063" spans="1:2">
      <c r="A1063" s="10" t="s">
        <v>2233</v>
      </c>
      <c r="B1063" s="16">
        <v>749.05</v>
      </c>
    </row>
    <row r="1064" spans="1:2">
      <c r="A1064" s="10" t="s">
        <v>2234</v>
      </c>
      <c r="B1064" s="16">
        <v>720.79</v>
      </c>
    </row>
    <row r="1065" spans="1:2">
      <c r="A1065" s="10" t="s">
        <v>2235</v>
      </c>
      <c r="B1065" s="16">
        <v>701.61</v>
      </c>
    </row>
    <row r="1066" spans="1:2">
      <c r="A1066" s="10" t="s">
        <v>2236</v>
      </c>
      <c r="B1066" s="16">
        <v>702.57</v>
      </c>
    </row>
    <row r="1067" spans="1:2">
      <c r="A1067" s="10" t="s">
        <v>2237</v>
      </c>
      <c r="B1067" s="16">
        <v>669.43</v>
      </c>
    </row>
    <row r="1068" spans="1:2">
      <c r="A1068" s="10" t="s">
        <v>2238</v>
      </c>
      <c r="B1068" s="16">
        <v>658.05</v>
      </c>
    </row>
    <row r="1069" spans="1:2">
      <c r="A1069" s="10" t="s">
        <v>2239</v>
      </c>
      <c r="B1069" s="16">
        <v>672.65</v>
      </c>
    </row>
    <row r="1070" spans="1:2">
      <c r="A1070" s="10" t="s">
        <v>2240</v>
      </c>
      <c r="B1070" s="16">
        <v>661.41</v>
      </c>
    </row>
    <row r="1071" spans="1:2">
      <c r="A1071" s="10" t="s">
        <v>2241</v>
      </c>
      <c r="B1071" s="16">
        <v>682.66</v>
      </c>
    </row>
    <row r="1072" spans="1:2">
      <c r="A1072" s="10" t="s">
        <v>2242</v>
      </c>
      <c r="B1072" s="16">
        <v>664.16</v>
      </c>
    </row>
    <row r="1073" spans="1:2">
      <c r="A1073" s="10" t="s">
        <v>2243</v>
      </c>
      <c r="B1073" s="16">
        <v>643.98</v>
      </c>
    </row>
    <row r="1074" spans="1:2">
      <c r="A1074" s="10" t="s">
        <v>2244</v>
      </c>
      <c r="B1074" s="16">
        <v>593.46</v>
      </c>
    </row>
    <row r="1075" spans="1:2">
      <c r="A1075" s="10" t="s">
        <v>2245</v>
      </c>
      <c r="B1075" s="16">
        <v>609.66</v>
      </c>
    </row>
    <row r="1076" spans="1:2">
      <c r="A1076" s="10" t="s">
        <v>2246</v>
      </c>
      <c r="B1076" s="16">
        <v>595.35</v>
      </c>
    </row>
    <row r="1077" spans="1:2">
      <c r="A1077" s="10" t="s">
        <v>2247</v>
      </c>
      <c r="B1077" s="16">
        <v>538.35</v>
      </c>
    </row>
    <row r="1078" spans="1:2">
      <c r="A1078" s="10" t="s">
        <v>2248</v>
      </c>
      <c r="B1078" s="16">
        <v>574.88</v>
      </c>
    </row>
    <row r="1079" spans="1:2">
      <c r="A1079" s="10" t="s">
        <v>2249</v>
      </c>
      <c r="B1079" s="16">
        <v>521.63</v>
      </c>
    </row>
    <row r="1080" spans="1:2">
      <c r="A1080" s="10" t="s">
        <v>2250</v>
      </c>
      <c r="B1080" s="16">
        <v>551.01</v>
      </c>
    </row>
    <row r="1081" spans="1:2">
      <c r="A1081" s="10" t="s">
        <v>2251</v>
      </c>
      <c r="B1081" s="16">
        <v>532.09</v>
      </c>
    </row>
    <row r="1082" spans="1:2">
      <c r="A1082" s="10" t="s">
        <v>2252</v>
      </c>
      <c r="B1082" s="16">
        <v>542.37</v>
      </c>
    </row>
    <row r="1083" spans="1:2">
      <c r="A1083" s="10" t="s">
        <v>2253</v>
      </c>
      <c r="B1083" s="16">
        <v>535.51</v>
      </c>
    </row>
    <row r="1084" spans="1:2">
      <c r="A1084" s="10" t="s">
        <v>2254</v>
      </c>
      <c r="B1084" s="16">
        <v>520.13</v>
      </c>
    </row>
    <row r="1085" spans="1:2">
      <c r="A1085" s="10" t="s">
        <v>2255</v>
      </c>
      <c r="B1085" s="16">
        <v>564.91</v>
      </c>
    </row>
    <row r="1086" spans="1:2">
      <c r="A1086" s="10" t="s">
        <v>2256</v>
      </c>
      <c r="B1086" s="16">
        <v>571.01</v>
      </c>
    </row>
    <row r="1087" spans="1:2">
      <c r="A1087" s="10" t="s">
        <v>2257</v>
      </c>
      <c r="B1087" s="16">
        <v>589.79</v>
      </c>
    </row>
    <row r="1088" spans="1:2">
      <c r="A1088" s="10" t="s">
        <v>2258</v>
      </c>
      <c r="B1088" s="16">
        <v>566.95000000000005</v>
      </c>
    </row>
    <row r="1089" spans="1:2">
      <c r="A1089" s="10" t="s">
        <v>2259</v>
      </c>
      <c r="B1089" s="16">
        <v>583.34</v>
      </c>
    </row>
    <row r="1090" spans="1:2">
      <c r="A1090" s="10" t="s">
        <v>2260</v>
      </c>
      <c r="B1090" s="16">
        <v>580.11</v>
      </c>
    </row>
    <row r="1091" spans="1:2">
      <c r="A1091" s="10" t="s">
        <v>2261</v>
      </c>
      <c r="B1091" s="16">
        <v>558.91</v>
      </c>
    </row>
    <row r="1092" spans="1:2">
      <c r="A1092" s="10" t="s">
        <v>2262</v>
      </c>
      <c r="B1092" s="16">
        <v>569.41</v>
      </c>
    </row>
    <row r="1093" spans="1:2">
      <c r="A1093" s="10" t="s">
        <v>2263</v>
      </c>
      <c r="B1093" s="16">
        <v>564.64</v>
      </c>
    </row>
    <row r="1094" spans="1:2">
      <c r="A1094" s="10" t="s">
        <v>2264</v>
      </c>
      <c r="B1094" s="16">
        <v>598.13</v>
      </c>
    </row>
    <row r="1095" spans="1:2">
      <c r="A1095" s="10" t="s">
        <v>2265</v>
      </c>
      <c r="B1095" s="16">
        <v>597.64</v>
      </c>
    </row>
    <row r="1096" spans="1:2">
      <c r="A1096" s="10" t="s">
        <v>2266</v>
      </c>
      <c r="B1096" s="16">
        <v>607</v>
      </c>
    </row>
    <row r="1097" spans="1:2">
      <c r="A1097" s="10" t="s">
        <v>2267</v>
      </c>
      <c r="B1097" s="16">
        <v>612.12</v>
      </c>
    </row>
    <row r="1098" spans="1:2">
      <c r="A1098" s="10" t="s">
        <v>2268</v>
      </c>
      <c r="B1098" s="16">
        <v>623.97</v>
      </c>
    </row>
    <row r="1099" spans="1:2">
      <c r="A1099" s="10" t="s">
        <v>2269</v>
      </c>
      <c r="B1099" s="16">
        <v>610.73</v>
      </c>
    </row>
    <row r="1100" spans="1:2">
      <c r="A1100" s="10" t="s">
        <v>2270</v>
      </c>
      <c r="B1100" s="16">
        <v>617.04</v>
      </c>
    </row>
    <row r="1101" spans="1:2">
      <c r="A1101" s="10" t="s">
        <v>2271</v>
      </c>
      <c r="B1101" s="16">
        <v>628.9</v>
      </c>
    </row>
    <row r="1102" spans="1:2">
      <c r="A1102" s="10" t="s">
        <v>2272</v>
      </c>
      <c r="B1102" s="16">
        <v>625.45000000000005</v>
      </c>
    </row>
    <row r="1103" spans="1:2">
      <c r="A1103" s="10" t="s">
        <v>2273</v>
      </c>
      <c r="B1103" s="16">
        <v>604.11</v>
      </c>
    </row>
    <row r="1104" spans="1:2">
      <c r="A1104" s="10" t="s">
        <v>2274</v>
      </c>
      <c r="B1104" s="16">
        <v>616.92999999999995</v>
      </c>
    </row>
    <row r="1105" spans="1:2">
      <c r="A1105" s="10" t="s">
        <v>2275</v>
      </c>
      <c r="B1105" s="16">
        <v>616.41999999999996</v>
      </c>
    </row>
    <row r="1106" spans="1:2">
      <c r="A1106" s="10" t="s">
        <v>2276</v>
      </c>
      <c r="B1106" s="16">
        <v>618.91</v>
      </c>
    </row>
    <row r="1107" spans="1:2">
      <c r="A1107" s="10" t="s">
        <v>2277</v>
      </c>
      <c r="B1107" s="16">
        <v>628.89</v>
      </c>
    </row>
    <row r="1108" spans="1:2">
      <c r="A1108" s="10" t="s">
        <v>2278</v>
      </c>
      <c r="B1108" s="16">
        <v>629.33000000000004</v>
      </c>
    </row>
    <row r="1109" spans="1:2">
      <c r="A1109" s="10" t="s">
        <v>2279</v>
      </c>
      <c r="B1109" s="16">
        <v>643.09</v>
      </c>
    </row>
    <row r="1110" spans="1:2">
      <c r="A1110" s="10" t="s">
        <v>2280</v>
      </c>
      <c r="B1110" s="16">
        <v>632.92999999999995</v>
      </c>
    </row>
    <row r="1111" spans="1:2">
      <c r="A1111" s="10" t="s">
        <v>2281</v>
      </c>
      <c r="B1111" s="16">
        <v>623.09</v>
      </c>
    </row>
    <row r="1112" spans="1:2">
      <c r="A1112" s="10" t="s">
        <v>2282</v>
      </c>
      <c r="B1112" s="16">
        <v>618.5</v>
      </c>
    </row>
    <row r="1113" spans="1:2">
      <c r="A1113" s="10" t="s">
        <v>2283</v>
      </c>
      <c r="B1113" s="16">
        <v>629.71</v>
      </c>
    </row>
    <row r="1114" spans="1:2">
      <c r="A1114" s="10" t="s">
        <v>2284</v>
      </c>
      <c r="B1114" s="16">
        <v>628.20000000000005</v>
      </c>
    </row>
    <row r="1115" spans="1:2">
      <c r="A1115" s="10" t="s">
        <v>2285</v>
      </c>
      <c r="B1115" s="16">
        <v>635.94000000000005</v>
      </c>
    </row>
    <row r="1116" spans="1:2">
      <c r="A1116" s="10" t="s">
        <v>2286</v>
      </c>
      <c r="B1116" s="16">
        <v>640.45000000000005</v>
      </c>
    </row>
    <row r="1117" spans="1:2">
      <c r="A1117" s="10" t="s">
        <v>2287</v>
      </c>
      <c r="B1117" s="16">
        <v>641.73</v>
      </c>
    </row>
    <row r="1118" spans="1:2">
      <c r="A1118" s="10" t="s">
        <v>2288</v>
      </c>
      <c r="B1118" s="16">
        <v>634.30999999999995</v>
      </c>
    </row>
    <row r="1119" spans="1:2">
      <c r="A1119" s="10" t="s">
        <v>2289</v>
      </c>
      <c r="B1119" s="16">
        <v>624.04</v>
      </c>
    </row>
    <row r="1120" spans="1:2">
      <c r="A1120" s="10" t="s">
        <v>2290</v>
      </c>
      <c r="B1120" s="16">
        <v>623.64</v>
      </c>
    </row>
    <row r="1121" spans="1:2">
      <c r="A1121" s="10" t="s">
        <v>2291</v>
      </c>
      <c r="B1121" s="16">
        <v>626.26</v>
      </c>
    </row>
    <row r="1122" spans="1:2">
      <c r="A1122" s="10" t="s">
        <v>2292</v>
      </c>
      <c r="B1122" s="16">
        <v>644.11</v>
      </c>
    </row>
    <row r="1123" spans="1:2">
      <c r="A1123" s="10" t="s">
        <v>2293</v>
      </c>
      <c r="B1123" s="16">
        <v>636.82000000000005</v>
      </c>
    </row>
    <row r="1124" spans="1:2">
      <c r="A1124" s="10" t="s">
        <v>2294</v>
      </c>
      <c r="B1124" s="16">
        <v>644.55999999999995</v>
      </c>
    </row>
    <row r="1125" spans="1:2">
      <c r="A1125" s="10" t="s">
        <v>2295</v>
      </c>
      <c r="B1125" s="16">
        <v>639.97</v>
      </c>
    </row>
    <row r="1126" spans="1:2">
      <c r="A1126" s="10" t="s">
        <v>2296</v>
      </c>
      <c r="B1126" s="16">
        <v>643.37</v>
      </c>
    </row>
    <row r="1127" spans="1:2">
      <c r="A1127" s="10" t="s">
        <v>2297</v>
      </c>
      <c r="B1127" s="16">
        <v>648.07000000000005</v>
      </c>
    </row>
    <row r="1128" spans="1:2">
      <c r="A1128" s="10" t="s">
        <v>2298</v>
      </c>
      <c r="B1128" s="16">
        <v>649.28</v>
      </c>
    </row>
    <row r="1129" spans="1:2">
      <c r="A1129" s="10" t="s">
        <v>2299</v>
      </c>
      <c r="B1129" s="16">
        <v>657.81</v>
      </c>
    </row>
    <row r="1130" spans="1:2">
      <c r="A1130" s="10" t="s">
        <v>2300</v>
      </c>
      <c r="B1130" s="16">
        <v>659.45</v>
      </c>
    </row>
    <row r="1131" spans="1:2">
      <c r="A1131" s="10" t="s">
        <v>2301</v>
      </c>
      <c r="B1131" s="16">
        <v>656.52</v>
      </c>
    </row>
    <row r="1132" spans="1:2">
      <c r="A1132" s="10" t="s">
        <v>2302</v>
      </c>
      <c r="B1132" s="16">
        <v>657.19</v>
      </c>
    </row>
    <row r="1133" spans="1:2">
      <c r="A1133" s="10" t="s">
        <v>2303</v>
      </c>
      <c r="B1133" s="16">
        <v>664.09</v>
      </c>
    </row>
    <row r="1134" spans="1:2">
      <c r="A1134" s="10" t="s">
        <v>2304</v>
      </c>
      <c r="B1134" s="16">
        <v>675.56</v>
      </c>
    </row>
    <row r="1135" spans="1:2">
      <c r="A1135" s="10" t="s">
        <v>2305</v>
      </c>
      <c r="B1135" s="16">
        <v>669.13</v>
      </c>
    </row>
    <row r="1136" spans="1:2">
      <c r="A1136" s="10" t="s">
        <v>2306</v>
      </c>
      <c r="B1136" s="16">
        <v>687.04</v>
      </c>
    </row>
    <row r="1137" spans="1:2">
      <c r="A1137" s="10" t="s">
        <v>2307</v>
      </c>
      <c r="B1137" s="16">
        <v>687.73</v>
      </c>
    </row>
    <row r="1138" spans="1:2">
      <c r="A1138" s="10" t="s">
        <v>2308</v>
      </c>
      <c r="B1138" s="16">
        <v>683.21</v>
      </c>
    </row>
    <row r="1139" spans="1:2">
      <c r="A1139" s="10" t="s">
        <v>2309</v>
      </c>
      <c r="B1139" s="16">
        <v>683.72</v>
      </c>
    </row>
    <row r="1140" spans="1:2">
      <c r="A1140" s="10" t="s">
        <v>2310</v>
      </c>
      <c r="B1140" s="16">
        <v>649.36</v>
      </c>
    </row>
    <row r="1141" spans="1:2">
      <c r="A1141" s="10" t="s">
        <v>2311</v>
      </c>
      <c r="B1141" s="16">
        <v>658.34</v>
      </c>
    </row>
    <row r="1142" spans="1:2">
      <c r="A1142" s="10" t="s">
        <v>2312</v>
      </c>
      <c r="B1142" s="16">
        <v>657.16</v>
      </c>
    </row>
    <row r="1143" spans="1:2">
      <c r="A1143" s="10" t="s">
        <v>2313</v>
      </c>
      <c r="B1143" s="16">
        <v>674.68</v>
      </c>
    </row>
    <row r="1144" spans="1:2">
      <c r="A1144" s="10" t="s">
        <v>2314</v>
      </c>
      <c r="B1144" s="16">
        <v>677.21</v>
      </c>
    </row>
    <row r="1145" spans="1:2">
      <c r="A1145" s="10" t="s">
        <v>2315</v>
      </c>
      <c r="B1145" s="16">
        <v>676.27</v>
      </c>
    </row>
    <row r="1146" spans="1:2">
      <c r="A1146" s="10" t="s">
        <v>2316</v>
      </c>
      <c r="B1146" s="16">
        <v>678.68</v>
      </c>
    </row>
    <row r="1147" spans="1:2">
      <c r="A1147" s="10" t="s">
        <v>2317</v>
      </c>
      <c r="B1147" s="16">
        <v>677.78</v>
      </c>
    </row>
    <row r="1148" spans="1:2">
      <c r="A1148" s="10" t="s">
        <v>2318</v>
      </c>
      <c r="B1148" s="16">
        <v>682.31</v>
      </c>
    </row>
    <row r="1149" spans="1:2">
      <c r="A1149" s="10" t="s">
        <v>2319</v>
      </c>
      <c r="B1149" s="16">
        <v>667.88</v>
      </c>
    </row>
    <row r="1150" spans="1:2">
      <c r="A1150" s="10" t="s">
        <v>2320</v>
      </c>
      <c r="B1150" s="16">
        <v>676.78</v>
      </c>
    </row>
    <row r="1151" spans="1:2">
      <c r="A1151" s="10" t="s">
        <v>2321</v>
      </c>
      <c r="B1151" s="16">
        <v>667.42</v>
      </c>
    </row>
    <row r="1152" spans="1:2">
      <c r="A1152" s="10" t="s">
        <v>2322</v>
      </c>
      <c r="B1152" s="16">
        <v>672.41</v>
      </c>
    </row>
    <row r="1153" spans="1:2">
      <c r="A1153" s="10" t="s">
        <v>2323</v>
      </c>
      <c r="B1153" s="16">
        <v>680.09</v>
      </c>
    </row>
    <row r="1154" spans="1:2">
      <c r="A1154" s="10" t="s">
        <v>2324</v>
      </c>
      <c r="B1154" s="16">
        <v>679.38</v>
      </c>
    </row>
    <row r="1155" spans="1:2">
      <c r="A1155" s="10" t="s">
        <v>2325</v>
      </c>
      <c r="B1155" s="16">
        <v>690.35</v>
      </c>
    </row>
    <row r="1156" spans="1:2">
      <c r="A1156" s="10" t="s">
        <v>2326</v>
      </c>
      <c r="B1156" s="16">
        <v>687.8</v>
      </c>
    </row>
    <row r="1157" spans="1:2">
      <c r="A1157" s="10" t="s">
        <v>2327</v>
      </c>
      <c r="B1157" s="16">
        <v>695.98</v>
      </c>
    </row>
    <row r="1158" spans="1:2">
      <c r="A1158" s="10" t="s">
        <v>2328</v>
      </c>
      <c r="B1158" s="16">
        <v>690.78</v>
      </c>
    </row>
    <row r="1159" spans="1:2">
      <c r="A1159" s="10" t="s">
        <v>2329</v>
      </c>
      <c r="B1159" s="16">
        <v>691.14</v>
      </c>
    </row>
    <row r="1160" spans="1:2">
      <c r="A1160" s="10" t="s">
        <v>2330</v>
      </c>
      <c r="B1160" s="16">
        <v>690.12</v>
      </c>
    </row>
    <row r="1161" spans="1:2">
      <c r="A1161" s="10" t="s">
        <v>2331</v>
      </c>
      <c r="B1161" s="16">
        <v>694.9</v>
      </c>
    </row>
    <row r="1162" spans="1:2">
      <c r="A1162" s="10" t="s">
        <v>2332</v>
      </c>
      <c r="B1162" s="16">
        <v>693.67</v>
      </c>
    </row>
    <row r="1163" spans="1:2">
      <c r="A1163" s="10" t="s">
        <v>2333</v>
      </c>
      <c r="B1163" s="16">
        <v>694.48</v>
      </c>
    </row>
    <row r="1164" spans="1:2">
      <c r="A1164" s="10" t="s">
        <v>2334</v>
      </c>
      <c r="B1164" s="16">
        <v>699.5</v>
      </c>
    </row>
    <row r="1165" spans="1:2">
      <c r="A1165" s="10" t="s">
        <v>2335</v>
      </c>
      <c r="B1165" s="16">
        <v>695.48</v>
      </c>
    </row>
    <row r="1166" spans="1:2">
      <c r="A1166" s="10" t="s">
        <v>2336</v>
      </c>
      <c r="B1166" s="16">
        <v>697.45</v>
      </c>
    </row>
    <row r="1167" spans="1:2">
      <c r="A1167" s="10" t="s">
        <v>2337</v>
      </c>
      <c r="B1167" s="16">
        <v>705.15</v>
      </c>
    </row>
    <row r="1168" spans="1:2">
      <c r="A1168" s="10" t="s">
        <v>2338</v>
      </c>
      <c r="B1168" s="16">
        <v>703.37</v>
      </c>
    </row>
    <row r="1169" spans="1:2">
      <c r="A1169" s="10" t="s">
        <v>2339</v>
      </c>
      <c r="B1169" s="16">
        <v>700.3</v>
      </c>
    </row>
    <row r="1170" spans="1:2">
      <c r="A1170" s="10" t="s">
        <v>2340</v>
      </c>
      <c r="B1170" s="16">
        <v>693.59</v>
      </c>
    </row>
    <row r="1171" spans="1:2">
      <c r="A1171" s="10" t="s">
        <v>2341</v>
      </c>
      <c r="B1171" s="16">
        <v>683.48</v>
      </c>
    </row>
    <row r="1172" spans="1:2">
      <c r="A1172" s="10" t="s">
        <v>2342</v>
      </c>
      <c r="B1172" s="16">
        <v>681.54</v>
      </c>
    </row>
    <row r="1173" spans="1:2">
      <c r="A1173" s="10" t="s">
        <v>2343</v>
      </c>
      <c r="B1173" s="16">
        <v>679.98</v>
      </c>
    </row>
    <row r="1174" spans="1:2">
      <c r="A1174" s="10" t="s">
        <v>2344</v>
      </c>
      <c r="B1174" s="16">
        <v>683.68</v>
      </c>
    </row>
    <row r="1175" spans="1:2">
      <c r="A1175" s="10" t="s">
        <v>2345</v>
      </c>
      <c r="B1175" s="16">
        <v>673.66</v>
      </c>
    </row>
    <row r="1176" spans="1:2">
      <c r="A1176" s="10" t="s">
        <v>2346</v>
      </c>
      <c r="B1176" s="16">
        <v>675.06</v>
      </c>
    </row>
    <row r="1177" spans="1:2">
      <c r="A1177" s="10" t="s">
        <v>2347</v>
      </c>
      <c r="B1177" s="16">
        <v>690.07</v>
      </c>
    </row>
    <row r="1178" spans="1:2">
      <c r="A1178" s="10" t="s">
        <v>2348</v>
      </c>
      <c r="B1178" s="16">
        <v>690.11</v>
      </c>
    </row>
    <row r="1179" spans="1:2">
      <c r="A1179" s="10" t="s">
        <v>2349</v>
      </c>
      <c r="B1179" s="16">
        <v>688.37</v>
      </c>
    </row>
    <row r="1180" spans="1:2">
      <c r="A1180" s="10" t="s">
        <v>2350</v>
      </c>
      <c r="B1180" s="16">
        <v>690.93</v>
      </c>
    </row>
    <row r="1181" spans="1:2">
      <c r="A1181" s="10" t="s">
        <v>2351</v>
      </c>
      <c r="B1181" s="16">
        <v>692.28</v>
      </c>
    </row>
    <row r="1182" spans="1:2">
      <c r="A1182" s="10" t="s">
        <v>2352</v>
      </c>
      <c r="B1182" s="16">
        <v>692.62</v>
      </c>
    </row>
    <row r="1183" spans="1:2">
      <c r="A1183" s="10" t="s">
        <v>2353</v>
      </c>
      <c r="B1183" s="16">
        <v>694.14</v>
      </c>
    </row>
    <row r="1184" spans="1:2">
      <c r="A1184" s="10" t="s">
        <v>2354</v>
      </c>
      <c r="B1184" s="16">
        <v>703.93</v>
      </c>
    </row>
    <row r="1185" spans="1:2">
      <c r="A1185" s="10" t="s">
        <v>2355</v>
      </c>
      <c r="B1185" s="16">
        <v>701.34</v>
      </c>
    </row>
    <row r="1186" spans="1:2">
      <c r="A1186" s="10" t="s">
        <v>2356</v>
      </c>
      <c r="B1186" s="16">
        <v>697.58</v>
      </c>
    </row>
    <row r="1187" spans="1:2">
      <c r="A1187" s="10" t="s">
        <v>2357</v>
      </c>
      <c r="B1187" s="16">
        <v>698.3</v>
      </c>
    </row>
    <row r="1188" spans="1:2">
      <c r="A1188" s="10" t="s">
        <v>2358</v>
      </c>
      <c r="B1188" s="16">
        <v>696.26</v>
      </c>
    </row>
    <row r="1189" spans="1:2">
      <c r="A1189" s="10" t="s">
        <v>2359</v>
      </c>
      <c r="B1189" s="16">
        <v>698.34</v>
      </c>
    </row>
    <row r="1190" spans="1:2">
      <c r="A1190" s="10" t="s">
        <v>2360</v>
      </c>
      <c r="B1190" s="16">
        <v>699.96</v>
      </c>
    </row>
    <row r="1191" spans="1:2">
      <c r="A1191" s="10" t="s">
        <v>2361</v>
      </c>
      <c r="B1191" s="16">
        <v>704.73</v>
      </c>
    </row>
    <row r="1192" spans="1:2">
      <c r="A1192" s="10" t="s">
        <v>2362</v>
      </c>
      <c r="B1192" s="16">
        <v>711.85</v>
      </c>
    </row>
    <row r="1193" spans="1:2">
      <c r="A1193" s="10" t="s">
        <v>2363</v>
      </c>
      <c r="B1193" s="16">
        <v>713.62</v>
      </c>
    </row>
    <row r="1194" spans="1:2">
      <c r="A1194" s="10" t="s">
        <v>2364</v>
      </c>
      <c r="B1194" s="16">
        <v>721.92</v>
      </c>
    </row>
    <row r="1195" spans="1:2">
      <c r="A1195" s="10" t="s">
        <v>2365</v>
      </c>
      <c r="B1195" s="16">
        <v>721.11</v>
      </c>
    </row>
    <row r="1196" spans="1:2">
      <c r="A1196" s="10" t="s">
        <v>2366</v>
      </c>
      <c r="B1196" s="16">
        <v>718.68</v>
      </c>
    </row>
    <row r="1197" spans="1:2">
      <c r="A1197" s="10" t="s">
        <v>2367</v>
      </c>
      <c r="B1197" s="16">
        <v>712.79</v>
      </c>
    </row>
    <row r="1198" spans="1:2">
      <c r="A1198" s="10" t="s">
        <v>2368</v>
      </c>
      <c r="B1198" s="16">
        <v>717.36</v>
      </c>
    </row>
    <row r="1199" spans="1:2">
      <c r="A1199" s="10" t="s">
        <v>2369</v>
      </c>
      <c r="B1199" s="16">
        <v>732.17</v>
      </c>
    </row>
    <row r="1200" spans="1:2">
      <c r="A1200" s="10" t="s">
        <v>2370</v>
      </c>
      <c r="B1200" s="16">
        <v>710.05</v>
      </c>
    </row>
    <row r="1201" spans="1:2">
      <c r="A1201" s="10" t="s">
        <v>2371</v>
      </c>
      <c r="B1201" s="16">
        <v>703.09</v>
      </c>
    </row>
    <row r="1202" spans="1:2">
      <c r="A1202" s="10" t="s">
        <v>2372</v>
      </c>
      <c r="B1202" s="16">
        <v>705.97</v>
      </c>
    </row>
    <row r="1203" spans="1:2">
      <c r="A1203" s="10" t="s">
        <v>2373</v>
      </c>
      <c r="B1203" s="16">
        <v>689.11</v>
      </c>
    </row>
    <row r="1204" spans="1:2">
      <c r="A1204" s="10" t="s">
        <v>2374</v>
      </c>
      <c r="B1204" s="16">
        <v>704.6</v>
      </c>
    </row>
    <row r="1205" spans="1:2">
      <c r="A1205" s="10" t="s">
        <v>2375</v>
      </c>
      <c r="B1205" s="16">
        <v>694.27</v>
      </c>
    </row>
    <row r="1206" spans="1:2">
      <c r="A1206" s="10" t="s">
        <v>2376</v>
      </c>
      <c r="B1206" s="16">
        <v>695.57</v>
      </c>
    </row>
    <row r="1207" spans="1:2">
      <c r="A1207" s="10" t="s">
        <v>2377</v>
      </c>
      <c r="B1207" s="16">
        <v>700.32</v>
      </c>
    </row>
    <row r="1208" spans="1:2">
      <c r="A1208" s="10" t="s">
        <v>2378</v>
      </c>
      <c r="B1208" s="16">
        <v>703.91</v>
      </c>
    </row>
    <row r="1209" spans="1:2">
      <c r="A1209" s="10" t="s">
        <v>2379</v>
      </c>
      <c r="B1209" s="16">
        <v>701.58</v>
      </c>
    </row>
    <row r="1210" spans="1:2">
      <c r="A1210" s="10" t="s">
        <v>2380</v>
      </c>
      <c r="B1210" s="16">
        <v>696.63</v>
      </c>
    </row>
    <row r="1211" spans="1:2">
      <c r="A1211" s="10" t="s">
        <v>2381</v>
      </c>
      <c r="B1211" s="16">
        <v>687.29</v>
      </c>
    </row>
    <row r="1212" spans="1:2">
      <c r="A1212" s="10" t="s">
        <v>2382</v>
      </c>
      <c r="B1212" s="16">
        <v>679.3</v>
      </c>
    </row>
    <row r="1213" spans="1:2">
      <c r="A1213" s="10" t="s">
        <v>2383</v>
      </c>
      <c r="B1213" s="16">
        <v>684.24</v>
      </c>
    </row>
    <row r="1214" spans="1:2">
      <c r="A1214" s="10" t="s">
        <v>2384</v>
      </c>
      <c r="B1214" s="16">
        <v>677.09</v>
      </c>
    </row>
    <row r="1215" spans="1:2">
      <c r="A1215" s="10" t="s">
        <v>2385</v>
      </c>
      <c r="B1215" s="16">
        <v>678.16</v>
      </c>
    </row>
    <row r="1216" spans="1:2">
      <c r="A1216" s="10" t="s">
        <v>2386</v>
      </c>
      <c r="B1216" s="16">
        <v>683.42</v>
      </c>
    </row>
    <row r="1217" spans="1:2">
      <c r="A1217" s="10" t="s">
        <v>2387</v>
      </c>
      <c r="B1217" s="16">
        <v>696.41</v>
      </c>
    </row>
    <row r="1218" spans="1:2">
      <c r="A1218" s="10" t="s">
        <v>2388</v>
      </c>
      <c r="B1218" s="16">
        <v>691.7</v>
      </c>
    </row>
    <row r="1219" spans="1:2">
      <c r="A1219" s="10" t="s">
        <v>2389</v>
      </c>
      <c r="B1219" s="16">
        <v>694.3</v>
      </c>
    </row>
    <row r="1220" spans="1:2">
      <c r="A1220" s="10" t="s">
        <v>2390</v>
      </c>
      <c r="B1220" s="16">
        <v>698.96</v>
      </c>
    </row>
    <row r="1221" spans="1:2">
      <c r="A1221" s="10" t="s">
        <v>2391</v>
      </c>
      <c r="B1221" s="16">
        <v>692.51</v>
      </c>
    </row>
    <row r="1222" spans="1:2">
      <c r="A1222" s="10" t="s">
        <v>2392</v>
      </c>
      <c r="B1222" s="16">
        <v>699.74</v>
      </c>
    </row>
    <row r="1223" spans="1:2">
      <c r="A1223" s="10" t="s">
        <v>2393</v>
      </c>
      <c r="B1223" s="16">
        <v>694.41</v>
      </c>
    </row>
    <row r="1224" spans="1:2">
      <c r="A1224" s="10" t="s">
        <v>2394</v>
      </c>
      <c r="B1224" s="16">
        <v>702.07</v>
      </c>
    </row>
    <row r="1225" spans="1:2">
      <c r="A1225" s="10" t="s">
        <v>2395</v>
      </c>
      <c r="B1225" s="16">
        <v>705.89</v>
      </c>
    </row>
    <row r="1226" spans="1:2">
      <c r="A1226" s="10" t="s">
        <v>2396</v>
      </c>
      <c r="B1226" s="16">
        <v>709.88</v>
      </c>
    </row>
    <row r="1227" spans="1:2">
      <c r="A1227" s="10" t="s">
        <v>2397</v>
      </c>
      <c r="B1227" s="16">
        <v>721.21</v>
      </c>
    </row>
    <row r="1228" spans="1:2">
      <c r="A1228" s="10" t="s">
        <v>2398</v>
      </c>
      <c r="B1228" s="16">
        <v>719.52</v>
      </c>
    </row>
    <row r="1229" spans="1:2">
      <c r="A1229" s="10" t="s">
        <v>2399</v>
      </c>
      <c r="B1229" s="16">
        <v>716.11</v>
      </c>
    </row>
    <row r="1230" spans="1:2">
      <c r="A1230" s="10" t="s">
        <v>2400</v>
      </c>
      <c r="B1230" s="16">
        <v>708.96</v>
      </c>
    </row>
    <row r="1231" spans="1:2">
      <c r="A1231" s="10" t="s">
        <v>2401</v>
      </c>
      <c r="B1231" s="16">
        <v>713.37</v>
      </c>
    </row>
    <row r="1232" spans="1:2">
      <c r="A1232" s="10" t="s">
        <v>2402</v>
      </c>
      <c r="B1232" s="16">
        <v>703.36</v>
      </c>
    </row>
    <row r="1233" spans="1:2">
      <c r="A1233" s="10" t="s">
        <v>2403</v>
      </c>
      <c r="B1233" s="16">
        <v>702.47</v>
      </c>
    </row>
    <row r="1234" spans="1:2">
      <c r="A1234" s="10" t="s">
        <v>2404</v>
      </c>
      <c r="B1234" s="16">
        <v>695.24</v>
      </c>
    </row>
    <row r="1235" spans="1:2">
      <c r="A1235" s="10" t="s">
        <v>2405</v>
      </c>
      <c r="B1235" s="16">
        <v>697.65</v>
      </c>
    </row>
    <row r="1236" spans="1:2">
      <c r="A1236" s="10" t="s">
        <v>2406</v>
      </c>
      <c r="B1236" s="16">
        <v>699.37</v>
      </c>
    </row>
    <row r="1237" spans="1:2">
      <c r="A1237" s="10" t="s">
        <v>2407</v>
      </c>
      <c r="B1237" s="16">
        <v>682.63</v>
      </c>
    </row>
    <row r="1238" spans="1:2">
      <c r="A1238" s="10" t="s">
        <v>2408</v>
      </c>
      <c r="B1238" s="16">
        <v>679.19</v>
      </c>
    </row>
    <row r="1239" spans="1:2">
      <c r="A1239" s="10" t="s">
        <v>2409</v>
      </c>
      <c r="B1239" s="16">
        <v>656.51</v>
      </c>
    </row>
    <row r="1240" spans="1:2">
      <c r="A1240" s="10" t="s">
        <v>2410</v>
      </c>
      <c r="B1240" s="16">
        <v>663.61</v>
      </c>
    </row>
    <row r="1241" spans="1:2">
      <c r="A1241" s="10" t="s">
        <v>2411</v>
      </c>
      <c r="B1241" s="16">
        <v>658.73</v>
      </c>
    </row>
    <row r="1242" spans="1:2">
      <c r="A1242" s="10" t="s">
        <v>2412</v>
      </c>
      <c r="B1242" s="16">
        <v>667.06</v>
      </c>
    </row>
    <row r="1243" spans="1:2">
      <c r="A1243" s="10" t="s">
        <v>2413</v>
      </c>
      <c r="B1243" s="16">
        <v>678.27</v>
      </c>
    </row>
    <row r="1244" spans="1:2">
      <c r="A1244" s="10" t="s">
        <v>2414</v>
      </c>
      <c r="B1244" s="16">
        <v>695.89</v>
      </c>
    </row>
    <row r="1245" spans="1:2">
      <c r="A1245" s="10" t="s">
        <v>2415</v>
      </c>
      <c r="B1245" s="16">
        <v>705.71</v>
      </c>
    </row>
    <row r="1246" spans="1:2">
      <c r="A1246" s="10" t="s">
        <v>2416</v>
      </c>
      <c r="B1246" s="16">
        <v>703.42</v>
      </c>
    </row>
    <row r="1247" spans="1:2">
      <c r="A1247" s="10" t="s">
        <v>2417</v>
      </c>
      <c r="B1247" s="16">
        <v>722.35</v>
      </c>
    </row>
    <row r="1248" spans="1:2">
      <c r="A1248" s="10" t="s">
        <v>2418</v>
      </c>
      <c r="B1248" s="16">
        <v>721.3</v>
      </c>
    </row>
    <row r="1249" spans="1:2">
      <c r="A1249" s="10" t="s">
        <v>2419</v>
      </c>
      <c r="B1249" s="16">
        <v>732.44</v>
      </c>
    </row>
    <row r="1250" spans="1:2">
      <c r="A1250" s="10" t="s">
        <v>2420</v>
      </c>
      <c r="B1250" s="16">
        <v>724.11</v>
      </c>
    </row>
    <row r="1251" spans="1:2">
      <c r="A1251" s="10" t="s">
        <v>2421</v>
      </c>
      <c r="B1251" s="16">
        <v>727.54</v>
      </c>
    </row>
    <row r="1252" spans="1:2">
      <c r="A1252" s="10" t="s">
        <v>2422</v>
      </c>
      <c r="B1252" s="16">
        <v>732.06</v>
      </c>
    </row>
    <row r="1253" spans="1:2">
      <c r="A1253" s="10" t="s">
        <v>2423</v>
      </c>
      <c r="B1253" s="16">
        <v>727.91</v>
      </c>
    </row>
    <row r="1254" spans="1:2">
      <c r="A1254" s="10" t="s">
        <v>2424</v>
      </c>
      <c r="B1254" s="16">
        <v>724.16</v>
      </c>
    </row>
    <row r="1255" spans="1:2">
      <c r="A1255" s="10" t="s">
        <v>2425</v>
      </c>
      <c r="B1255" s="16">
        <v>724.82</v>
      </c>
    </row>
    <row r="1256" spans="1:2">
      <c r="A1256" s="10" t="s">
        <v>2426</v>
      </c>
      <c r="B1256" s="16">
        <v>722.52</v>
      </c>
    </row>
    <row r="1257" spans="1:2">
      <c r="A1257" s="10" t="s">
        <v>2427</v>
      </c>
      <c r="B1257" s="16">
        <v>721.42</v>
      </c>
    </row>
    <row r="1258" spans="1:2">
      <c r="A1258" s="10" t="s">
        <v>2428</v>
      </c>
      <c r="B1258" s="16">
        <v>727.84</v>
      </c>
    </row>
    <row r="1259" spans="1:2">
      <c r="A1259" s="10" t="s">
        <v>2429</v>
      </c>
      <c r="B1259" s="16">
        <v>728.28</v>
      </c>
    </row>
    <row r="1260" spans="1:2">
      <c r="A1260" s="10" t="s">
        <v>2430</v>
      </c>
      <c r="B1260" s="16">
        <v>727.9</v>
      </c>
    </row>
    <row r="1261" spans="1:2">
      <c r="A1261" s="10" t="s">
        <v>2431</v>
      </c>
      <c r="B1261" s="16">
        <v>730.76</v>
      </c>
    </row>
    <row r="1262" spans="1:2">
      <c r="A1262" s="10" t="s">
        <v>2432</v>
      </c>
      <c r="B1262" s="16">
        <v>728.16</v>
      </c>
    </row>
    <row r="1263" spans="1:2">
      <c r="A1263" s="10" t="s">
        <v>2433</v>
      </c>
      <c r="B1263" s="16">
        <v>733.09</v>
      </c>
    </row>
    <row r="1264" spans="1:2">
      <c r="A1264" s="10" t="s">
        <v>2434</v>
      </c>
      <c r="B1264" s="16">
        <v>732.12</v>
      </c>
    </row>
    <row r="1265" spans="1:2">
      <c r="A1265" s="10" t="s">
        <v>2435</v>
      </c>
      <c r="B1265" s="16">
        <v>727.68</v>
      </c>
    </row>
    <row r="1266" spans="1:2">
      <c r="A1266" s="10" t="s">
        <v>2436</v>
      </c>
      <c r="B1266" s="16">
        <v>732.84</v>
      </c>
    </row>
    <row r="1267" spans="1:2">
      <c r="A1267" s="10" t="s">
        <v>2437</v>
      </c>
      <c r="B1267" s="16">
        <v>731.79</v>
      </c>
    </row>
    <row r="1268" spans="1:2">
      <c r="A1268" s="10" t="s">
        <v>2438</v>
      </c>
      <c r="B1268" s="16">
        <v>733.78</v>
      </c>
    </row>
    <row r="1269" spans="1:2">
      <c r="A1269" s="10" t="s">
        <v>2439</v>
      </c>
      <c r="B1269" s="16">
        <v>729.93</v>
      </c>
    </row>
    <row r="1270" spans="1:2">
      <c r="A1270" s="10" t="s">
        <v>2440</v>
      </c>
      <c r="B1270" s="16">
        <v>726.24</v>
      </c>
    </row>
    <row r="1271" spans="1:2">
      <c r="A1271" s="10" t="s">
        <v>2441</v>
      </c>
      <c r="B1271" s="16">
        <v>722.42</v>
      </c>
    </row>
    <row r="1272" spans="1:2">
      <c r="A1272" s="10" t="s">
        <v>2442</v>
      </c>
      <c r="B1272" s="16">
        <v>722.62</v>
      </c>
    </row>
    <row r="1273" spans="1:2">
      <c r="A1273" s="10" t="s">
        <v>2443</v>
      </c>
      <c r="B1273" s="16">
        <v>729.52</v>
      </c>
    </row>
    <row r="1274" spans="1:2">
      <c r="A1274" s="10" t="s">
        <v>2444</v>
      </c>
      <c r="B1274" s="16">
        <v>731.07</v>
      </c>
    </row>
    <row r="1275" spans="1:2">
      <c r="A1275" s="10" t="s">
        <v>2445</v>
      </c>
      <c r="B1275" s="16">
        <v>732.76</v>
      </c>
    </row>
    <row r="1276" spans="1:2">
      <c r="A1276" s="10" t="s">
        <v>2446</v>
      </c>
      <c r="B1276" s="16">
        <v>729.67</v>
      </c>
    </row>
    <row r="1277" spans="1:2">
      <c r="A1277" s="10" t="s">
        <v>2447</v>
      </c>
      <c r="B1277" s="16">
        <v>722.79</v>
      </c>
    </row>
    <row r="1278" spans="1:2">
      <c r="A1278" s="10" t="s">
        <v>2448</v>
      </c>
      <c r="B1278" s="16">
        <v>729.28</v>
      </c>
    </row>
    <row r="1279" spans="1:2">
      <c r="A1279" s="10" t="s">
        <v>2449</v>
      </c>
      <c r="B1279" s="16">
        <v>730.56</v>
      </c>
    </row>
    <row r="1280" spans="1:2">
      <c r="A1280" s="10" t="s">
        <v>2450</v>
      </c>
      <c r="B1280" s="16">
        <v>733.01</v>
      </c>
    </row>
    <row r="1281" spans="1:2">
      <c r="A1281" s="10" t="s">
        <v>2451</v>
      </c>
      <c r="B1281" s="16">
        <v>739.94</v>
      </c>
    </row>
    <row r="1282" spans="1:2">
      <c r="A1282" s="10" t="s">
        <v>2452</v>
      </c>
      <c r="B1282" s="16">
        <v>738.71</v>
      </c>
    </row>
    <row r="1283" spans="1:2">
      <c r="A1283" s="10" t="s">
        <v>2453</v>
      </c>
      <c r="B1283" s="16">
        <v>735.5</v>
      </c>
    </row>
    <row r="1284" spans="1:2">
      <c r="A1284" s="10" t="s">
        <v>2454</v>
      </c>
      <c r="B1284" s="16">
        <v>738.23</v>
      </c>
    </row>
    <row r="1285" spans="1:2">
      <c r="A1285" s="10" t="s">
        <v>2455</v>
      </c>
      <c r="B1285" s="16">
        <v>733.56</v>
      </c>
    </row>
    <row r="1286" spans="1:2">
      <c r="A1286" s="10" t="s">
        <v>2456</v>
      </c>
      <c r="B1286" s="16">
        <v>733.25</v>
      </c>
    </row>
    <row r="1287" spans="1:2">
      <c r="A1287" s="10" t="s">
        <v>2457</v>
      </c>
      <c r="B1287" s="16">
        <v>736.48</v>
      </c>
    </row>
    <row r="1288" spans="1:2">
      <c r="A1288" s="10" t="s">
        <v>2458</v>
      </c>
      <c r="B1288" s="16">
        <v>747.57</v>
      </c>
    </row>
    <row r="1289" spans="1:2">
      <c r="A1289" s="10" t="s">
        <v>2459</v>
      </c>
      <c r="B1289" s="16">
        <v>752.75</v>
      </c>
    </row>
    <row r="1290" spans="1:2">
      <c r="A1290" s="10" t="s">
        <v>2460</v>
      </c>
      <c r="B1290" s="16">
        <v>751.65</v>
      </c>
    </row>
    <row r="1291" spans="1:2">
      <c r="A1291" s="10" t="s">
        <v>2461</v>
      </c>
      <c r="B1291" s="16">
        <v>749.07</v>
      </c>
    </row>
    <row r="1292" spans="1:2">
      <c r="A1292" s="10" t="s">
        <v>2462</v>
      </c>
      <c r="B1292" s="16">
        <v>751.32</v>
      </c>
    </row>
    <row r="1293" spans="1:2">
      <c r="A1293" s="10" t="s">
        <v>2463</v>
      </c>
      <c r="B1293" s="16">
        <v>750.03</v>
      </c>
    </row>
    <row r="1294" spans="1:2">
      <c r="A1294" s="10" t="s">
        <v>2464</v>
      </c>
      <c r="B1294" s="16">
        <v>744.3</v>
      </c>
    </row>
    <row r="1295" spans="1:2">
      <c r="A1295" s="10" t="s">
        <v>2465</v>
      </c>
      <c r="B1295" s="16">
        <v>745.49</v>
      </c>
    </row>
    <row r="1296" spans="1:2">
      <c r="A1296" s="10" t="s">
        <v>2466</v>
      </c>
      <c r="B1296" s="16">
        <v>745.67</v>
      </c>
    </row>
    <row r="1297" spans="1:2">
      <c r="A1297" s="10" t="s">
        <v>2467</v>
      </c>
      <c r="B1297" s="16">
        <v>756.28</v>
      </c>
    </row>
    <row r="1298" spans="1:2">
      <c r="A1298" s="10" t="s">
        <v>2468</v>
      </c>
      <c r="B1298" s="16">
        <v>758.58</v>
      </c>
    </row>
    <row r="1299" spans="1:2">
      <c r="A1299" s="10" t="s">
        <v>2469</v>
      </c>
      <c r="B1299" s="16">
        <v>754.98</v>
      </c>
    </row>
    <row r="1300" spans="1:2">
      <c r="A1300" s="10" t="s">
        <v>2470</v>
      </c>
      <c r="B1300" s="16">
        <v>755.55</v>
      </c>
    </row>
    <row r="1301" spans="1:2">
      <c r="A1301" s="10" t="s">
        <v>2471</v>
      </c>
      <c r="B1301" s="16">
        <v>757.75</v>
      </c>
    </row>
    <row r="1302" spans="1:2">
      <c r="A1302" s="10" t="s">
        <v>2472</v>
      </c>
      <c r="B1302" s="16">
        <v>745.33</v>
      </c>
    </row>
    <row r="1303" spans="1:2">
      <c r="A1303" s="10" t="s">
        <v>2473</v>
      </c>
      <c r="B1303" s="16">
        <v>749.21</v>
      </c>
    </row>
    <row r="1304" spans="1:2">
      <c r="A1304" s="10" t="s">
        <v>2474</v>
      </c>
      <c r="B1304" s="16">
        <v>732.96</v>
      </c>
    </row>
    <row r="1305" spans="1:2">
      <c r="A1305" s="10" t="s">
        <v>2475</v>
      </c>
      <c r="B1305" s="16">
        <v>746.6</v>
      </c>
    </row>
    <row r="1306" spans="1:2">
      <c r="A1306" s="10" t="s">
        <v>2476</v>
      </c>
      <c r="B1306" s="16">
        <v>758.21</v>
      </c>
    </row>
    <row r="1307" spans="1:2">
      <c r="A1307" s="10" t="s">
        <v>2477</v>
      </c>
      <c r="B1307" s="16">
        <v>761.35</v>
      </c>
    </row>
    <row r="1308" spans="1:2">
      <c r="A1308" s="10" t="s">
        <v>2478</v>
      </c>
      <c r="B1308" s="16">
        <v>769.3</v>
      </c>
    </row>
    <row r="1309" spans="1:2">
      <c r="A1309" s="10" t="s">
        <v>2479</v>
      </c>
      <c r="B1309" s="16">
        <v>768.63</v>
      </c>
    </row>
    <row r="1310" spans="1:2">
      <c r="A1310" s="10" t="s">
        <v>2480</v>
      </c>
      <c r="B1310" s="16">
        <v>770.95</v>
      </c>
    </row>
    <row r="1311" spans="1:2">
      <c r="A1311" s="10" t="s">
        <v>2481</v>
      </c>
      <c r="B1311" s="16">
        <v>767.85</v>
      </c>
    </row>
    <row r="1312" spans="1:2">
      <c r="A1312" s="10" t="s">
        <v>2482</v>
      </c>
      <c r="B1312" s="16">
        <v>765</v>
      </c>
    </row>
    <row r="1313" spans="1:2">
      <c r="A1313" s="10" t="s">
        <v>2483</v>
      </c>
      <c r="B1313" s="16">
        <v>769.79</v>
      </c>
    </row>
    <row r="1314" spans="1:2">
      <c r="A1314" s="10" t="s">
        <v>2484</v>
      </c>
      <c r="B1314" s="16">
        <v>773.98</v>
      </c>
    </row>
    <row r="1315" spans="1:2">
      <c r="A1315" s="10" t="s">
        <v>2485</v>
      </c>
      <c r="B1315" s="16">
        <v>776.07</v>
      </c>
    </row>
    <row r="1316" spans="1:2">
      <c r="A1316" s="10" t="s">
        <v>2486</v>
      </c>
      <c r="B1316" s="16">
        <v>774.99</v>
      </c>
    </row>
    <row r="1317" spans="1:2">
      <c r="A1317" s="10" t="s">
        <v>2487</v>
      </c>
      <c r="B1317" s="16">
        <v>773.11</v>
      </c>
    </row>
    <row r="1318" spans="1:2">
      <c r="A1318" s="10" t="s">
        <v>2488</v>
      </c>
      <c r="B1318" s="16">
        <v>768.41</v>
      </c>
    </row>
    <row r="1319" spans="1:2">
      <c r="A1319" t="s">
        <v>2489</v>
      </c>
      <c r="B1319" s="16">
        <v>768.38</v>
      </c>
    </row>
    <row r="1320" spans="1:2">
      <c r="A1320" t="s">
        <v>2490</v>
      </c>
      <c r="B1320" s="16">
        <v>758.77</v>
      </c>
    </row>
    <row r="1321" spans="1:2">
      <c r="A1321" t="s">
        <v>2491</v>
      </c>
      <c r="B1321" s="16">
        <v>755.83</v>
      </c>
    </row>
    <row r="1322" spans="1:2">
      <c r="A1322" t="s">
        <v>2492</v>
      </c>
      <c r="B1322" s="16">
        <v>761.67</v>
      </c>
    </row>
    <row r="1323" spans="1:2">
      <c r="A1323" t="s">
        <v>2493</v>
      </c>
      <c r="B1323" s="16">
        <v>748.81</v>
      </c>
    </row>
    <row r="1324" spans="1:2">
      <c r="A1324" t="s">
        <v>2494</v>
      </c>
      <c r="B1324" s="16">
        <v>747.34</v>
      </c>
    </row>
    <row r="1325" spans="1:2">
      <c r="A1325" t="s">
        <v>2495</v>
      </c>
      <c r="B1325" s="16">
        <v>765.21</v>
      </c>
    </row>
    <row r="1326" spans="1:2">
      <c r="A1326" t="s">
        <v>2496</v>
      </c>
      <c r="B1326" s="16">
        <v>760.73</v>
      </c>
    </row>
    <row r="1327" spans="1:2">
      <c r="A1327" t="s">
        <v>2497</v>
      </c>
      <c r="B1327" s="16">
        <v>754.36</v>
      </c>
    </row>
    <row r="1328" spans="1:2">
      <c r="A1328" t="s">
        <v>2498</v>
      </c>
      <c r="B1328" s="16">
        <v>746.5</v>
      </c>
    </row>
    <row r="1329" spans="1:2">
      <c r="A1329" t="s">
        <v>2499</v>
      </c>
      <c r="B1329" s="16">
        <v>755.87</v>
      </c>
    </row>
    <row r="1330" spans="1:2">
      <c r="A1330" t="s">
        <v>2500</v>
      </c>
      <c r="B1330" s="16">
        <v>760.77</v>
      </c>
    </row>
    <row r="1331" spans="1:2">
      <c r="A1331" t="s">
        <v>2501</v>
      </c>
      <c r="B1331" s="16">
        <v>770.39</v>
      </c>
    </row>
    <row r="1332" spans="1:2">
      <c r="A1332" t="s">
        <v>2502</v>
      </c>
      <c r="B1332" s="16">
        <v>773.44</v>
      </c>
    </row>
    <row r="1333" spans="1:2">
      <c r="A1333" t="s">
        <v>2503</v>
      </c>
      <c r="B1333" s="16">
        <v>779.37</v>
      </c>
    </row>
    <row r="1334" spans="1:2">
      <c r="A1334" t="s">
        <v>2504</v>
      </c>
      <c r="B1334" s="16">
        <v>777.84</v>
      </c>
    </row>
    <row r="1335" spans="1:2">
      <c r="A1335" t="s">
        <v>2505</v>
      </c>
      <c r="B1335" s="16">
        <v>781.3</v>
      </c>
    </row>
    <row r="1336" spans="1:2">
      <c r="A1336" t="s">
        <v>2506</v>
      </c>
      <c r="B1336" s="16">
        <v>786.43</v>
      </c>
    </row>
    <row r="1337" spans="1:2">
      <c r="A1337" t="s">
        <v>2507</v>
      </c>
      <c r="B1337" s="16">
        <v>785.05</v>
      </c>
    </row>
    <row r="1338" spans="1:2">
      <c r="A1338" t="s">
        <v>2508</v>
      </c>
      <c r="B1338" s="16">
        <v>779.43</v>
      </c>
    </row>
    <row r="1339" spans="1:2">
      <c r="A1339" t="s">
        <v>2509</v>
      </c>
      <c r="B1339" s="16">
        <v>775.68</v>
      </c>
    </row>
    <row r="1340" spans="1:2">
      <c r="A1340" t="s">
        <v>2510</v>
      </c>
      <c r="B1340" s="16">
        <v>779.49</v>
      </c>
    </row>
    <row r="1341" spans="1:2">
      <c r="A1341" t="s">
        <v>2511</v>
      </c>
      <c r="B1341" s="16">
        <v>779.3</v>
      </c>
    </row>
    <row r="1342" spans="1:2">
      <c r="A1342" t="s">
        <v>2512</v>
      </c>
      <c r="B1342" s="16">
        <v>778.4</v>
      </c>
    </row>
    <row r="1343" spans="1:2">
      <c r="A1343" t="s">
        <v>2513</v>
      </c>
      <c r="B1343" s="16">
        <v>782.16</v>
      </c>
    </row>
    <row r="1344" spans="1:2">
      <c r="A1344" t="s">
        <v>2514</v>
      </c>
      <c r="B1344" s="16">
        <v>793.14</v>
      </c>
    </row>
    <row r="1345" spans="1:2">
      <c r="A1345" t="s">
        <v>2515</v>
      </c>
      <c r="B1345" s="16">
        <v>794.77</v>
      </c>
    </row>
    <row r="1346" spans="1:2">
      <c r="A1346" t="s">
        <v>2516</v>
      </c>
      <c r="B1346" s="16">
        <v>796.61</v>
      </c>
    </row>
    <row r="1347" spans="1:2">
      <c r="A1347" t="s">
        <v>2517</v>
      </c>
      <c r="B1347" s="16">
        <v>797.7</v>
      </c>
    </row>
    <row r="1348" spans="1:2">
      <c r="A1348" t="s">
        <v>2518</v>
      </c>
      <c r="B1348" s="16">
        <v>805.51</v>
      </c>
    </row>
    <row r="1349" spans="1:2">
      <c r="A1349" t="s">
        <v>2519</v>
      </c>
      <c r="B1349" s="16">
        <v>810.7</v>
      </c>
    </row>
    <row r="1350" spans="1:2">
      <c r="A1350" t="s">
        <v>2520</v>
      </c>
      <c r="B1350" s="16">
        <v>809.92</v>
      </c>
    </row>
    <row r="1351" spans="1:2">
      <c r="A1351" t="s">
        <v>2521</v>
      </c>
      <c r="B1351" s="16">
        <v>815.77</v>
      </c>
    </row>
    <row r="1352" spans="1:2">
      <c r="A1352" t="s">
        <v>2522</v>
      </c>
      <c r="B1352" s="16">
        <v>821.48</v>
      </c>
    </row>
    <row r="1353" spans="1:2">
      <c r="A1353" t="s">
        <v>2523</v>
      </c>
      <c r="B1353" s="16">
        <v>817.65</v>
      </c>
    </row>
    <row r="1354" spans="1:2">
      <c r="A1354" t="s">
        <v>2524</v>
      </c>
      <c r="B1354" s="16">
        <v>820.29</v>
      </c>
    </row>
    <row r="1355" spans="1:2">
      <c r="A1355" t="s">
        <v>2525</v>
      </c>
      <c r="B1355" s="16">
        <v>815.88</v>
      </c>
    </row>
    <row r="1356" spans="1:2">
      <c r="A1356" t="s">
        <v>2526</v>
      </c>
      <c r="B1356" s="16">
        <v>823.47</v>
      </c>
    </row>
    <row r="1357" spans="1:2">
      <c r="A1357" t="s">
        <v>2527</v>
      </c>
      <c r="B1357" s="16">
        <v>828.28</v>
      </c>
    </row>
    <row r="1358" spans="1:2">
      <c r="A1358" t="s">
        <v>2528</v>
      </c>
      <c r="B1358" s="16">
        <v>823.84</v>
      </c>
    </row>
    <row r="1359" spans="1:2">
      <c r="A1359" t="s">
        <v>2529</v>
      </c>
      <c r="B1359" s="16">
        <v>812.94</v>
      </c>
    </row>
    <row r="1360" spans="1:2">
      <c r="A1360" t="s">
        <v>2530</v>
      </c>
      <c r="B1360" s="16">
        <v>820.66</v>
      </c>
    </row>
    <row r="1361" spans="1:2">
      <c r="A1361" t="s">
        <v>2531</v>
      </c>
      <c r="B1361" s="16">
        <v>820.02</v>
      </c>
    </row>
    <row r="1362" spans="1:2">
      <c r="A1362" t="s">
        <v>2532</v>
      </c>
      <c r="B1362" s="16">
        <v>824.41</v>
      </c>
    </row>
    <row r="1363" spans="1:2">
      <c r="A1363" t="s">
        <v>2533</v>
      </c>
      <c r="B1363" s="16">
        <v>823.6</v>
      </c>
    </row>
    <row r="1364" spans="1:2">
      <c r="A1364" t="s">
        <v>2534</v>
      </c>
      <c r="B1364" s="16">
        <v>823.4</v>
      </c>
    </row>
    <row r="1365" spans="1:2">
      <c r="A1365" t="s">
        <v>2535</v>
      </c>
      <c r="B1365" s="16">
        <v>821.26</v>
      </c>
    </row>
    <row r="1366" spans="1:2">
      <c r="A1366" t="s">
        <v>2536</v>
      </c>
      <c r="B1366" s="16">
        <v>821.25</v>
      </c>
    </row>
    <row r="1367" spans="1:2">
      <c r="A1367" t="s">
        <v>2537</v>
      </c>
      <c r="B1367" s="16">
        <v>818.68</v>
      </c>
    </row>
    <row r="1368" spans="1:2">
      <c r="A1368" t="s">
        <v>2538</v>
      </c>
      <c r="B1368" s="16">
        <v>820.95</v>
      </c>
    </row>
    <row r="1369" spans="1:2">
      <c r="A1369" t="s">
        <v>2539</v>
      </c>
      <c r="B1369" s="16">
        <v>810.76</v>
      </c>
    </row>
    <row r="1370" spans="1:2">
      <c r="A1370" t="s">
        <v>2540</v>
      </c>
      <c r="B1370" s="16">
        <v>820.55</v>
      </c>
    </row>
    <row r="1371" spans="1:2">
      <c r="A1371" t="s">
        <v>2541</v>
      </c>
      <c r="B1371" s="16">
        <v>823.24</v>
      </c>
    </row>
    <row r="1372" spans="1:2">
      <c r="A1372" t="s">
        <v>2542</v>
      </c>
      <c r="B1372" s="16">
        <v>826.7</v>
      </c>
    </row>
    <row r="1373" spans="1:2">
      <c r="A1373" t="s">
        <v>2543</v>
      </c>
      <c r="B1373" s="16">
        <v>819.22</v>
      </c>
    </row>
    <row r="1374" spans="1:2">
      <c r="A1374" t="s">
        <v>2544</v>
      </c>
      <c r="B1374" s="16">
        <v>808.56</v>
      </c>
    </row>
    <row r="1375" spans="1:2">
      <c r="A1375" t="s">
        <v>2545</v>
      </c>
      <c r="B1375" s="16">
        <v>800.99</v>
      </c>
    </row>
    <row r="1376" spans="1:2">
      <c r="A1376" t="s">
        <v>2546</v>
      </c>
      <c r="B1376" s="16">
        <v>808.97</v>
      </c>
    </row>
    <row r="1377" spans="1:2">
      <c r="A1377" t="s">
        <v>2547</v>
      </c>
      <c r="B1377" s="16">
        <v>818.94</v>
      </c>
    </row>
    <row r="1378" spans="1:2">
      <c r="A1378" t="s">
        <v>2548</v>
      </c>
      <c r="B1378" s="16">
        <v>815.52</v>
      </c>
    </row>
    <row r="1379" spans="1:2">
      <c r="A1379" t="s">
        <v>2549</v>
      </c>
      <c r="B1379" s="16">
        <v>809.04</v>
      </c>
    </row>
    <row r="1380" spans="1:2">
      <c r="A1380" t="s">
        <v>2550</v>
      </c>
      <c r="B1380" s="16">
        <v>803.08</v>
      </c>
    </row>
    <row r="1381" spans="1:2">
      <c r="A1381" t="s">
        <v>2551</v>
      </c>
      <c r="B1381" s="16">
        <v>813.91</v>
      </c>
    </row>
    <row r="1382" spans="1:2">
      <c r="A1382" t="s">
        <v>2552</v>
      </c>
      <c r="B1382" s="16">
        <v>816.28</v>
      </c>
    </row>
    <row r="1383" spans="1:2">
      <c r="A1383" t="s">
        <v>2553</v>
      </c>
      <c r="B1383" s="16">
        <v>821.18</v>
      </c>
    </row>
    <row r="1384" spans="1:2">
      <c r="A1384" t="s">
        <v>2554</v>
      </c>
      <c r="B1384" s="16">
        <v>820.11</v>
      </c>
    </row>
    <row r="1385" spans="1:2">
      <c r="A1385" t="s">
        <v>2555</v>
      </c>
      <c r="B1385" s="16">
        <v>820.12</v>
      </c>
    </row>
    <row r="1386" spans="1:2">
      <c r="A1386" t="s">
        <v>2556</v>
      </c>
      <c r="B1386" s="16">
        <v>819.57</v>
      </c>
    </row>
    <row r="1387" spans="1:2">
      <c r="A1387" t="s">
        <v>2557</v>
      </c>
      <c r="B1387" s="16">
        <v>824.98</v>
      </c>
    </row>
    <row r="1388" spans="1:2">
      <c r="A1388" t="s">
        <v>2558</v>
      </c>
      <c r="B1388" s="16">
        <v>820.27</v>
      </c>
    </row>
    <row r="1389" spans="1:2">
      <c r="A1389" t="s">
        <v>2559</v>
      </c>
      <c r="B1389" s="16">
        <v>819.42</v>
      </c>
    </row>
    <row r="1390" spans="1:2">
      <c r="A1390" t="s">
        <v>2560</v>
      </c>
      <c r="B1390" s="16">
        <v>823.51</v>
      </c>
    </row>
    <row r="1391" spans="1:2">
      <c r="A1391" t="s">
        <v>2561</v>
      </c>
      <c r="B1391" s="16">
        <v>823.65</v>
      </c>
    </row>
    <row r="1392" spans="1:2">
      <c r="A1392" t="s">
        <v>2562</v>
      </c>
      <c r="B1392" s="16">
        <v>828.98</v>
      </c>
    </row>
    <row r="1393" spans="1:2">
      <c r="A1393" t="s">
        <v>2563</v>
      </c>
      <c r="B1393" s="16">
        <v>828.58</v>
      </c>
    </row>
    <row r="1394" spans="1:2">
      <c r="A1394" t="s">
        <v>2564</v>
      </c>
      <c r="B1394" s="16">
        <v>827.58</v>
      </c>
    </row>
    <row r="1395" spans="1:2">
      <c r="A1395" t="s">
        <v>2565</v>
      </c>
      <c r="B1395" s="16">
        <v>827.44</v>
      </c>
    </row>
    <row r="1396" spans="1:2">
      <c r="A1396" t="s">
        <v>2566</v>
      </c>
      <c r="B1396" s="16">
        <v>830.53</v>
      </c>
    </row>
    <row r="1397" spans="1:2">
      <c r="A1397" t="s">
        <v>2567</v>
      </c>
      <c r="B1397" s="16">
        <v>836.48</v>
      </c>
    </row>
    <row r="1398" spans="1:2">
      <c r="A1398" t="s">
        <v>2568</v>
      </c>
      <c r="B1398" s="16">
        <v>838.68</v>
      </c>
    </row>
    <row r="1399" spans="1:2">
      <c r="A1399" t="s">
        <v>2569</v>
      </c>
      <c r="B1399" s="16">
        <v>837.77</v>
      </c>
    </row>
    <row r="1400" spans="1:2">
      <c r="A1400" t="s">
        <v>2570</v>
      </c>
      <c r="B1400" s="16">
        <v>836.02</v>
      </c>
    </row>
    <row r="1401" spans="1:2">
      <c r="A1401" t="s">
        <v>2571</v>
      </c>
      <c r="B1401" s="16">
        <v>845.51</v>
      </c>
    </row>
    <row r="1402" spans="1:2">
      <c r="A1402" t="s">
        <v>2572</v>
      </c>
      <c r="B1402" s="16">
        <v>836.21</v>
      </c>
    </row>
    <row r="1403" spans="1:2">
      <c r="A1403" t="s">
        <v>2573</v>
      </c>
      <c r="B1403" s="16">
        <v>841.52</v>
      </c>
    </row>
    <row r="1404" spans="1:2">
      <c r="A1404" t="s">
        <v>2574</v>
      </c>
      <c r="B1404" s="16">
        <v>845.87</v>
      </c>
    </row>
    <row r="1405" spans="1:2">
      <c r="A1405" t="s">
        <v>2575</v>
      </c>
      <c r="B1405" s="16">
        <v>838.47</v>
      </c>
    </row>
    <row r="1406" spans="1:2">
      <c r="A1406" t="s">
        <v>2576</v>
      </c>
      <c r="B1406" s="16">
        <v>846.46</v>
      </c>
    </row>
    <row r="1407" spans="1:2">
      <c r="A1407" t="s">
        <v>2577</v>
      </c>
      <c r="B1407" s="16">
        <v>847.47</v>
      </c>
    </row>
    <row r="1408" spans="1:2">
      <c r="A1408" t="s">
        <v>2578</v>
      </c>
      <c r="B1408" s="16">
        <v>849.43</v>
      </c>
    </row>
    <row r="1409" spans="1:2">
      <c r="A1409" t="s">
        <v>2579</v>
      </c>
      <c r="B1409" s="16">
        <v>854.07</v>
      </c>
    </row>
    <row r="1410" spans="1:2">
      <c r="A1410" t="s">
        <v>2580</v>
      </c>
      <c r="B1410" s="16">
        <v>851.63</v>
      </c>
    </row>
    <row r="1411" spans="1:2">
      <c r="A1411" t="s">
        <v>2581</v>
      </c>
      <c r="B1411" s="16">
        <v>854.94</v>
      </c>
    </row>
    <row r="1412" spans="1:2">
      <c r="A1412" t="s">
        <v>2582</v>
      </c>
      <c r="B1412" s="16">
        <v>861.53</v>
      </c>
    </row>
    <row r="1413" spans="1:2">
      <c r="A1413" t="s">
        <v>2583</v>
      </c>
      <c r="B1413" s="16">
        <v>861.41</v>
      </c>
    </row>
    <row r="1414" spans="1:2">
      <c r="A1414" t="s">
        <v>2584</v>
      </c>
      <c r="B1414" s="16">
        <v>860.12</v>
      </c>
    </row>
    <row r="1415" spans="1:2">
      <c r="A1415" t="s">
        <v>2585</v>
      </c>
      <c r="B1415" s="16">
        <v>866.88</v>
      </c>
    </row>
    <row r="1416" spans="1:2">
      <c r="A1416" t="s">
        <v>2586</v>
      </c>
      <c r="B1416" s="16">
        <v>851.85</v>
      </c>
    </row>
    <row r="1417" spans="1:2">
      <c r="A1417" t="s">
        <v>2587</v>
      </c>
      <c r="B1417" s="16">
        <v>862.94</v>
      </c>
    </row>
    <row r="1418" spans="1:2">
      <c r="A1418" t="s">
        <v>2588</v>
      </c>
      <c r="B1418" s="16">
        <v>866.62</v>
      </c>
    </row>
    <row r="1419" spans="1:2">
      <c r="A1419" t="s">
        <v>2589</v>
      </c>
      <c r="B1419" s="16">
        <v>870.11</v>
      </c>
    </row>
    <row r="1420" spans="1:2">
      <c r="A1420" t="s">
        <v>2590</v>
      </c>
      <c r="B1420" s="16">
        <v>873.16</v>
      </c>
    </row>
    <row r="1421" spans="1:2">
      <c r="A1421" t="s">
        <v>2591</v>
      </c>
      <c r="B1421" s="16">
        <v>867.46</v>
      </c>
    </row>
    <row r="1422" spans="1:2">
      <c r="A1422" t="s">
        <v>2592</v>
      </c>
      <c r="B1422" s="16">
        <v>862.11</v>
      </c>
    </row>
    <row r="1423" spans="1:2">
      <c r="A1423" t="s">
        <v>2593</v>
      </c>
      <c r="B1423" s="16">
        <v>845.73</v>
      </c>
    </row>
    <row r="1424" spans="1:2">
      <c r="A1424" t="s">
        <v>2594</v>
      </c>
      <c r="B1424" s="16">
        <v>856.32</v>
      </c>
    </row>
    <row r="1425" spans="1:2">
      <c r="A1425" t="s">
        <v>2595</v>
      </c>
      <c r="B1425" s="16">
        <v>864.97</v>
      </c>
    </row>
    <row r="1426" spans="1:2">
      <c r="A1426" t="s">
        <v>2596</v>
      </c>
      <c r="B1426" s="16">
        <v>870.7</v>
      </c>
    </row>
    <row r="1427" spans="1:2">
      <c r="A1427" t="s">
        <v>2597</v>
      </c>
      <c r="B1427" s="16">
        <v>881.65</v>
      </c>
    </row>
    <row r="1428" spans="1:2">
      <c r="A1428" t="s">
        <v>2598</v>
      </c>
      <c r="B1428" s="16">
        <v>879.33</v>
      </c>
    </row>
    <row r="1429" spans="1:2">
      <c r="A1429" t="s">
        <v>2599</v>
      </c>
      <c r="B1429" s="16">
        <v>871.46</v>
      </c>
    </row>
    <row r="1430" spans="1:2">
      <c r="A1430" t="s">
        <v>2600</v>
      </c>
      <c r="B1430" s="16">
        <v>874.65</v>
      </c>
    </row>
    <row r="1431" spans="1:2">
      <c r="A1431" t="s">
        <v>2601</v>
      </c>
      <c r="B1431" s="16">
        <v>874.95</v>
      </c>
    </row>
    <row r="1432" spans="1:2">
      <c r="A1432" t="s">
        <v>2602</v>
      </c>
      <c r="B1432" s="16">
        <v>873.41</v>
      </c>
    </row>
    <row r="1433" spans="1:2">
      <c r="A1433" t="s">
        <v>2603</v>
      </c>
      <c r="B1433" s="16">
        <v>874.46</v>
      </c>
    </row>
    <row r="1434" spans="1:2">
      <c r="A1434" t="s">
        <v>2604</v>
      </c>
      <c r="B1434" s="16">
        <v>880.39</v>
      </c>
    </row>
    <row r="1435" spans="1:2">
      <c r="A1435" t="s">
        <v>2605</v>
      </c>
      <c r="B1435" s="16">
        <v>882.89</v>
      </c>
    </row>
    <row r="1436" spans="1:2">
      <c r="A1436" t="s">
        <v>2606</v>
      </c>
      <c r="B1436" s="16">
        <v>886.84</v>
      </c>
    </row>
    <row r="1437" spans="1:2">
      <c r="A1437" t="s">
        <v>2607</v>
      </c>
      <c r="B1437" s="16">
        <v>891.34</v>
      </c>
    </row>
    <row r="1438" spans="1:2">
      <c r="A1438" t="s">
        <v>2608</v>
      </c>
      <c r="B1438" s="16">
        <v>891.76</v>
      </c>
    </row>
    <row r="1439" spans="1:2">
      <c r="A1439" t="s">
        <v>2609</v>
      </c>
      <c r="B1439" s="16">
        <v>893.17</v>
      </c>
    </row>
    <row r="1440" spans="1:2">
      <c r="A1440" t="s">
        <v>2610</v>
      </c>
      <c r="B1440" s="16">
        <v>894.07</v>
      </c>
    </row>
    <row r="1441" spans="1:2">
      <c r="A1441" t="s">
        <v>2611</v>
      </c>
      <c r="B1441" s="16">
        <v>899.29</v>
      </c>
    </row>
    <row r="1442" spans="1:2">
      <c r="A1442" t="s">
        <v>2612</v>
      </c>
      <c r="B1442" s="16">
        <v>899.05</v>
      </c>
    </row>
    <row r="1443" spans="1:2">
      <c r="A1443" t="s">
        <v>2613</v>
      </c>
      <c r="B1443" s="16">
        <v>899.77</v>
      </c>
    </row>
    <row r="1444" spans="1:2">
      <c r="A1444" t="s">
        <v>2614</v>
      </c>
      <c r="B1444" s="16">
        <v>899.45</v>
      </c>
    </row>
    <row r="1445" spans="1:2">
      <c r="A1445" t="s">
        <v>2615</v>
      </c>
      <c r="B1445" s="16">
        <v>892.77</v>
      </c>
    </row>
    <row r="1446" spans="1:2">
      <c r="A1446" t="s">
        <v>2616</v>
      </c>
      <c r="B1446" s="16">
        <v>890.96</v>
      </c>
    </row>
    <row r="1447" spans="1:2">
      <c r="A1447" t="s">
        <v>2617</v>
      </c>
      <c r="B1447" s="16">
        <v>898.42</v>
      </c>
    </row>
    <row r="1448" spans="1:2">
      <c r="A1448" t="s">
        <v>2618</v>
      </c>
      <c r="B1448" s="16">
        <v>902.48</v>
      </c>
    </row>
    <row r="1449" spans="1:2">
      <c r="A1449" t="s">
        <v>2619</v>
      </c>
      <c r="B1449" s="16">
        <v>899.5</v>
      </c>
    </row>
    <row r="1450" spans="1:2">
      <c r="A1450" t="s">
        <v>2620</v>
      </c>
      <c r="B1450" s="16">
        <v>900.04</v>
      </c>
    </row>
    <row r="1451" spans="1:2">
      <c r="A1451" t="s">
        <v>2621</v>
      </c>
      <c r="B1451" s="16">
        <v>895.91</v>
      </c>
    </row>
    <row r="1452" spans="1:2">
      <c r="A1452" t="s">
        <v>2622</v>
      </c>
      <c r="B1452" s="16">
        <v>899.5</v>
      </c>
    </row>
    <row r="1453" spans="1:2">
      <c r="A1453" t="s">
        <v>2623</v>
      </c>
      <c r="B1453" s="16">
        <v>902.76</v>
      </c>
    </row>
    <row r="1454" spans="1:2">
      <c r="A1454" t="s">
        <v>2624</v>
      </c>
      <c r="B1454" s="16">
        <v>899.55</v>
      </c>
    </row>
    <row r="1455" spans="1:2">
      <c r="A1455" t="s">
        <v>2625</v>
      </c>
      <c r="B1455" s="16">
        <v>900.33</v>
      </c>
    </row>
    <row r="1456" spans="1:2">
      <c r="A1456" t="s">
        <v>2626</v>
      </c>
      <c r="B1456" s="16">
        <v>901.47</v>
      </c>
    </row>
    <row r="1457" spans="1:2">
      <c r="A1457" t="s">
        <v>2627</v>
      </c>
      <c r="B1457" s="16">
        <v>899.15</v>
      </c>
    </row>
    <row r="1458" spans="1:2">
      <c r="A1458" t="s">
        <v>2628</v>
      </c>
      <c r="B1458" s="16">
        <v>903.95</v>
      </c>
    </row>
    <row r="1459" spans="1:2">
      <c r="A1459" t="s">
        <v>2629</v>
      </c>
      <c r="B1459" s="16">
        <v>901.56</v>
      </c>
    </row>
    <row r="1460" spans="1:2">
      <c r="A1460" t="s">
        <v>2630</v>
      </c>
      <c r="B1460" s="16">
        <v>896.82</v>
      </c>
    </row>
    <row r="1461" spans="1:2">
      <c r="A1461" t="s">
        <v>2631</v>
      </c>
      <c r="B1461" s="16">
        <v>894.13</v>
      </c>
    </row>
    <row r="1462" spans="1:2">
      <c r="A1462" t="s">
        <v>2632</v>
      </c>
      <c r="B1462" s="16">
        <v>887.98</v>
      </c>
    </row>
    <row r="1463" spans="1:2">
      <c r="A1463" t="s">
        <v>2633</v>
      </c>
      <c r="B1463" s="16">
        <v>890.85</v>
      </c>
    </row>
    <row r="1464" spans="1:2">
      <c r="A1464" t="s">
        <v>2634</v>
      </c>
      <c r="B1464" s="16">
        <v>889.09</v>
      </c>
    </row>
    <row r="1465" spans="1:2">
      <c r="A1465" t="s">
        <v>2635</v>
      </c>
      <c r="B1465" s="16">
        <v>887.96</v>
      </c>
    </row>
    <row r="1466" spans="1:2">
      <c r="A1466" t="s">
        <v>2636</v>
      </c>
      <c r="B1466" s="16">
        <v>891.72</v>
      </c>
    </row>
    <row r="1467" spans="1:2">
      <c r="A1467" t="s">
        <v>2637</v>
      </c>
      <c r="B1467" s="16">
        <v>883.79</v>
      </c>
    </row>
    <row r="1468" spans="1:2">
      <c r="A1468" t="s">
        <v>2638</v>
      </c>
      <c r="B1468" s="16">
        <v>871.4</v>
      </c>
    </row>
    <row r="1469" spans="1:2">
      <c r="A1469" t="s">
        <v>2639</v>
      </c>
      <c r="B1469" s="16">
        <v>875.84</v>
      </c>
    </row>
    <row r="1470" spans="1:2">
      <c r="A1470" t="s">
        <v>2640</v>
      </c>
      <c r="B1470" s="16">
        <v>885.12</v>
      </c>
    </row>
    <row r="1471" spans="1:2">
      <c r="A1471" t="s">
        <v>2641</v>
      </c>
      <c r="B1471" s="16">
        <v>895.49</v>
      </c>
    </row>
    <row r="1472" spans="1:2">
      <c r="A1472" t="s">
        <v>2642</v>
      </c>
      <c r="B1472" s="16">
        <v>893.46</v>
      </c>
    </row>
    <row r="1473" spans="1:2">
      <c r="A1473" t="s">
        <v>2643</v>
      </c>
      <c r="B1473" s="16">
        <v>890.25</v>
      </c>
    </row>
    <row r="1474" spans="1:2">
      <c r="A1474" t="s">
        <v>2644</v>
      </c>
      <c r="B1474" s="16">
        <v>869.17</v>
      </c>
    </row>
    <row r="1475" spans="1:2">
      <c r="A1475" t="s">
        <v>2645</v>
      </c>
      <c r="B1475" s="16">
        <v>873.6</v>
      </c>
    </row>
    <row r="1476" spans="1:2">
      <c r="A1476" t="s">
        <v>2646</v>
      </c>
      <c r="B1476" s="16">
        <v>866.87</v>
      </c>
    </row>
    <row r="1477" spans="1:2">
      <c r="A1477" t="s">
        <v>2647</v>
      </c>
      <c r="B1477" s="16">
        <v>870.65</v>
      </c>
    </row>
    <row r="1478" spans="1:2">
      <c r="A1478" t="s">
        <v>2648</v>
      </c>
      <c r="B1478" s="16">
        <v>857.79</v>
      </c>
    </row>
    <row r="1479" spans="1:2">
      <c r="A1479" t="s">
        <v>2649</v>
      </c>
      <c r="B1479" s="16">
        <v>871.77</v>
      </c>
    </row>
    <row r="1480" spans="1:2">
      <c r="A1480" t="s">
        <v>2650</v>
      </c>
      <c r="B1480" s="16">
        <v>871.39</v>
      </c>
    </row>
    <row r="1481" spans="1:2">
      <c r="A1481" t="s">
        <v>2651</v>
      </c>
      <c r="B1481" s="16">
        <v>883.3</v>
      </c>
    </row>
    <row r="1482" spans="1:2">
      <c r="A1482" t="s">
        <v>2652</v>
      </c>
      <c r="B1482" s="16">
        <v>878.76</v>
      </c>
    </row>
    <row r="1483" spans="1:2">
      <c r="A1483" t="s">
        <v>2653</v>
      </c>
      <c r="B1483" s="16">
        <v>873.99</v>
      </c>
    </row>
    <row r="1484" spans="1:2">
      <c r="A1484" t="s">
        <v>2654</v>
      </c>
      <c r="B1484" s="16">
        <v>871.62</v>
      </c>
    </row>
    <row r="1485" spans="1:2">
      <c r="A1485" t="s">
        <v>2655</v>
      </c>
      <c r="B1485" s="16">
        <v>873.88</v>
      </c>
    </row>
    <row r="1486" spans="1:2">
      <c r="A1486" t="s">
        <v>2656</v>
      </c>
      <c r="B1486" s="16">
        <v>889.3</v>
      </c>
    </row>
    <row r="1487" spans="1:2">
      <c r="A1487" t="s">
        <v>2657</v>
      </c>
      <c r="B1487" s="16">
        <v>896</v>
      </c>
    </row>
    <row r="1488" spans="1:2">
      <c r="A1488" t="s">
        <v>2658</v>
      </c>
      <c r="B1488" s="16">
        <v>895.41</v>
      </c>
    </row>
    <row r="1489" spans="1:2">
      <c r="A1489" t="s">
        <v>2659</v>
      </c>
      <c r="B1489" s="16">
        <v>900.19</v>
      </c>
    </row>
    <row r="1490" spans="1:2">
      <c r="A1490" t="s">
        <v>2660</v>
      </c>
      <c r="B1490" s="16">
        <v>901.02</v>
      </c>
    </row>
    <row r="1491" spans="1:2">
      <c r="A1491" t="s">
        <v>2661</v>
      </c>
      <c r="B1491" s="16">
        <v>900.68</v>
      </c>
    </row>
    <row r="1492" spans="1:2">
      <c r="A1492" t="s">
        <v>2662</v>
      </c>
      <c r="B1492" s="16">
        <v>904.59</v>
      </c>
    </row>
    <row r="1493" spans="1:2">
      <c r="A1493" t="s">
        <v>2663</v>
      </c>
      <c r="B1493" s="16">
        <v>907.19</v>
      </c>
    </row>
    <row r="1494" spans="1:2">
      <c r="A1494" t="s">
        <v>2664</v>
      </c>
      <c r="B1494" s="16">
        <v>913.04</v>
      </c>
    </row>
    <row r="1495" spans="1:2">
      <c r="A1495" t="s">
        <v>2665</v>
      </c>
      <c r="B1495" s="16">
        <v>911.5</v>
      </c>
    </row>
    <row r="1496" spans="1:2">
      <c r="A1496" t="s">
        <v>2666</v>
      </c>
      <c r="B1496" s="16">
        <v>914.13</v>
      </c>
    </row>
    <row r="1497" spans="1:2">
      <c r="A1497" t="s">
        <v>2667</v>
      </c>
      <c r="B1497" s="16">
        <v>921.82</v>
      </c>
    </row>
    <row r="1498" spans="1:2">
      <c r="A1498" t="s">
        <v>2668</v>
      </c>
      <c r="B1498" s="16">
        <v>923.17</v>
      </c>
    </row>
    <row r="1499" spans="1:2">
      <c r="A1499" t="s">
        <v>2669</v>
      </c>
      <c r="B1499" s="16">
        <v>929.37</v>
      </c>
    </row>
    <row r="1500" spans="1:2">
      <c r="A1500" t="s">
        <v>2670</v>
      </c>
      <c r="B1500" s="16">
        <v>933.28</v>
      </c>
    </row>
    <row r="1501" spans="1:2">
      <c r="A1501" t="s">
        <v>2671</v>
      </c>
      <c r="B1501" s="16">
        <v>940.89</v>
      </c>
    </row>
    <row r="1502" spans="1:2">
      <c r="A1502" t="s">
        <v>2672</v>
      </c>
      <c r="B1502" s="16">
        <v>942.94</v>
      </c>
    </row>
    <row r="1503" spans="1:2">
      <c r="A1503" t="s">
        <v>2673</v>
      </c>
      <c r="B1503" s="16">
        <v>943.59</v>
      </c>
    </row>
    <row r="1504" spans="1:2">
      <c r="A1504" t="s">
        <v>2674</v>
      </c>
      <c r="B1504" s="16">
        <v>940.26</v>
      </c>
    </row>
    <row r="1505" spans="1:2">
      <c r="A1505" t="s">
        <v>2675</v>
      </c>
      <c r="B1505" s="16">
        <v>938.52</v>
      </c>
    </row>
    <row r="1506" spans="1:2">
      <c r="A1506" t="s">
        <v>2676</v>
      </c>
      <c r="B1506" s="16">
        <v>942.6</v>
      </c>
    </row>
    <row r="1507" spans="1:2">
      <c r="A1507" t="s">
        <v>2677</v>
      </c>
      <c r="B1507" s="16">
        <v>949.2</v>
      </c>
    </row>
    <row r="1508" spans="1:2">
      <c r="A1508" t="s">
        <v>2678</v>
      </c>
      <c r="B1508" s="16">
        <v>950.37</v>
      </c>
    </row>
    <row r="1509" spans="1:2">
      <c r="A1509" t="s">
        <v>2679</v>
      </c>
      <c r="B1509" s="16">
        <v>958.18</v>
      </c>
    </row>
    <row r="1510" spans="1:2">
      <c r="A1510" t="s">
        <v>2680</v>
      </c>
      <c r="B1510" s="16">
        <v>959.83</v>
      </c>
    </row>
    <row r="1511" spans="1:2">
      <c r="A1511" t="s">
        <v>2681</v>
      </c>
      <c r="B1511" s="16">
        <v>960.86</v>
      </c>
    </row>
    <row r="1512" spans="1:2">
      <c r="A1512" t="s">
        <v>2682</v>
      </c>
      <c r="B1512" s="16">
        <v>961.03</v>
      </c>
    </row>
    <row r="1513" spans="1:2">
      <c r="A1513" t="s">
        <v>2683</v>
      </c>
      <c r="B1513" s="16">
        <v>960.75</v>
      </c>
    </row>
    <row r="1514" spans="1:2">
      <c r="A1514" t="s">
        <v>2684</v>
      </c>
      <c r="B1514" s="16">
        <v>953.91</v>
      </c>
    </row>
    <row r="1515" spans="1:2">
      <c r="A1515" t="s">
        <v>2685</v>
      </c>
      <c r="B1515" s="16">
        <v>959.01</v>
      </c>
    </row>
    <row r="1516" spans="1:2">
      <c r="A1516" t="s">
        <v>2686</v>
      </c>
      <c r="B1516" s="16">
        <v>959.47</v>
      </c>
    </row>
    <row r="1517" spans="1:2">
      <c r="A1517" t="s">
        <v>2687</v>
      </c>
      <c r="B1517" s="16">
        <v>924.59</v>
      </c>
    </row>
    <row r="1518" spans="1:2">
      <c r="A1518" t="s">
        <v>2688</v>
      </c>
      <c r="B1518" s="16">
        <v>936.76</v>
      </c>
    </row>
    <row r="1519" spans="1:2">
      <c r="A1519" t="s">
        <v>2689</v>
      </c>
      <c r="B1519" s="16">
        <v>928</v>
      </c>
    </row>
    <row r="1520" spans="1:2">
      <c r="A1520" t="s">
        <v>2690</v>
      </c>
      <c r="B1520" s="16">
        <v>931.95</v>
      </c>
    </row>
    <row r="1521" spans="1:2">
      <c r="A1521" t="s">
        <v>2691</v>
      </c>
      <c r="B1521" s="16">
        <v>929.17</v>
      </c>
    </row>
    <row r="1522" spans="1:2">
      <c r="A1522" t="s">
        <v>2692</v>
      </c>
      <c r="B1522" s="16">
        <v>923.5</v>
      </c>
    </row>
    <row r="1523" spans="1:2">
      <c r="A1523" t="s">
        <v>2693</v>
      </c>
      <c r="B1523" s="16">
        <v>932.52</v>
      </c>
    </row>
    <row r="1524" spans="1:2">
      <c r="A1524" t="s">
        <v>2694</v>
      </c>
      <c r="B1524" s="16">
        <v>959.02</v>
      </c>
    </row>
    <row r="1525" spans="1:2">
      <c r="A1525" t="s">
        <v>2695</v>
      </c>
      <c r="B1525" s="16">
        <v>952.41</v>
      </c>
    </row>
    <row r="1526" spans="1:2">
      <c r="A1526" t="s">
        <v>2696</v>
      </c>
      <c r="B1526" s="16">
        <v>950.51</v>
      </c>
    </row>
    <row r="1527" spans="1:2">
      <c r="A1527" t="s">
        <v>2697</v>
      </c>
      <c r="B1527" s="16">
        <v>955.97</v>
      </c>
    </row>
    <row r="1528" spans="1:2">
      <c r="A1528" t="s">
        <v>2698</v>
      </c>
      <c r="B1528" s="16">
        <v>950.42</v>
      </c>
    </row>
    <row r="1529" spans="1:2">
      <c r="A1529" t="s">
        <v>2699</v>
      </c>
      <c r="B1529" s="16">
        <v>941.43</v>
      </c>
    </row>
    <row r="1530" spans="1:2">
      <c r="A1530" t="s">
        <v>2700</v>
      </c>
      <c r="B1530" s="16">
        <v>955.66</v>
      </c>
    </row>
    <row r="1531" spans="1:2">
      <c r="A1531" t="s">
        <v>2701</v>
      </c>
      <c r="B1531" s="16">
        <v>949.29</v>
      </c>
    </row>
    <row r="1532" spans="1:2">
      <c r="A1532" t="s">
        <v>2702</v>
      </c>
      <c r="B1532" s="16">
        <v>939.6</v>
      </c>
    </row>
    <row r="1533" spans="1:2">
      <c r="A1533" t="s">
        <v>2703</v>
      </c>
      <c r="B1533" s="16">
        <v>928.38</v>
      </c>
    </row>
    <row r="1534" spans="1:2">
      <c r="A1534" t="s">
        <v>2704</v>
      </c>
      <c r="B1534" s="16">
        <v>945.08</v>
      </c>
    </row>
    <row r="1535" spans="1:2">
      <c r="A1535" t="s">
        <v>2705</v>
      </c>
      <c r="B1535" s="16">
        <v>951.39</v>
      </c>
    </row>
    <row r="1536" spans="1:2">
      <c r="A1536" t="s">
        <v>2706</v>
      </c>
      <c r="B1536" s="16">
        <v>958.69</v>
      </c>
    </row>
    <row r="1537" spans="1:2">
      <c r="A1537" t="s">
        <v>2707</v>
      </c>
      <c r="B1537" s="16">
        <v>957.05</v>
      </c>
    </row>
    <row r="1538" spans="1:2">
      <c r="A1538" t="s">
        <v>2708</v>
      </c>
      <c r="B1538" s="16">
        <v>969.11</v>
      </c>
    </row>
    <row r="1539" spans="1:2">
      <c r="A1539" t="s">
        <v>2709</v>
      </c>
      <c r="B1539" s="16">
        <v>971.44</v>
      </c>
    </row>
    <row r="1540" spans="1:2">
      <c r="A1540" t="s">
        <v>2710</v>
      </c>
      <c r="B1540" s="16">
        <v>966.53</v>
      </c>
    </row>
    <row r="1541" spans="1:2">
      <c r="A1541" t="s">
        <v>2711</v>
      </c>
      <c r="B1541" s="16">
        <v>966.88</v>
      </c>
    </row>
    <row r="1542" spans="1:2">
      <c r="A1542" t="s">
        <v>2712</v>
      </c>
      <c r="B1542" s="16">
        <v>962.04</v>
      </c>
    </row>
    <row r="1543" spans="1:2">
      <c r="A1543" t="s">
        <v>2713</v>
      </c>
      <c r="B1543" s="16">
        <v>972.32</v>
      </c>
    </row>
    <row r="1544" spans="1:2">
      <c r="A1544" t="s">
        <v>2714</v>
      </c>
      <c r="B1544" s="16">
        <v>970.09</v>
      </c>
    </row>
    <row r="1545" spans="1:2">
      <c r="A1545" t="s">
        <v>2715</v>
      </c>
      <c r="B1545" s="16">
        <v>959.02</v>
      </c>
    </row>
    <row r="1546" spans="1:2">
      <c r="A1546" t="s">
        <v>2716</v>
      </c>
      <c r="B1546" s="16">
        <v>952.66</v>
      </c>
    </row>
    <row r="1547" spans="1:2">
      <c r="A1547" t="s">
        <v>2717</v>
      </c>
      <c r="B1547" s="16">
        <v>947.67</v>
      </c>
    </row>
    <row r="1548" spans="1:2">
      <c r="A1548" t="s">
        <v>2718</v>
      </c>
      <c r="B1548" s="16">
        <v>941.08</v>
      </c>
    </row>
    <row r="1549" spans="1:2">
      <c r="A1549" t="s">
        <v>2719</v>
      </c>
      <c r="B1549" s="16">
        <v>947.55</v>
      </c>
    </row>
    <row r="1550" spans="1:2">
      <c r="A1550" t="s">
        <v>2720</v>
      </c>
      <c r="B1550" s="16">
        <v>948.07</v>
      </c>
    </row>
    <row r="1551" spans="1:2">
      <c r="A1551" t="s">
        <v>2721</v>
      </c>
      <c r="B1551" s="16">
        <v>937.63</v>
      </c>
    </row>
    <row r="1552" spans="1:2">
      <c r="A1552" t="s">
        <v>2722</v>
      </c>
      <c r="B1552" s="16">
        <v>933.82</v>
      </c>
    </row>
    <row r="1553" spans="1:2">
      <c r="A1553" t="s">
        <v>2723</v>
      </c>
      <c r="B1553" s="16">
        <v>937.85</v>
      </c>
    </row>
    <row r="1554" spans="1:2">
      <c r="A1554" t="s">
        <v>2724</v>
      </c>
      <c r="B1554" s="16">
        <v>925.89</v>
      </c>
    </row>
    <row r="1555" spans="1:2">
      <c r="A1555" t="s">
        <v>2725</v>
      </c>
      <c r="B1555" s="16">
        <v>919.28</v>
      </c>
    </row>
    <row r="1556" spans="1:2">
      <c r="A1556" t="s">
        <v>2726</v>
      </c>
      <c r="B1556" s="16">
        <v>916.84</v>
      </c>
    </row>
    <row r="1557" spans="1:2">
      <c r="A1557" t="s">
        <v>2727</v>
      </c>
      <c r="B1557" s="16">
        <v>901.62</v>
      </c>
    </row>
    <row r="1558" spans="1:2">
      <c r="A1558" t="s">
        <v>2728</v>
      </c>
      <c r="B1558" s="16">
        <v>886.46</v>
      </c>
    </row>
    <row r="1559" spans="1:2">
      <c r="A1559" t="s">
        <v>2729</v>
      </c>
      <c r="B1559" s="16">
        <v>884.83</v>
      </c>
    </row>
    <row r="1560" spans="1:2">
      <c r="A1560" t="s">
        <v>2730</v>
      </c>
      <c r="B1560" s="16">
        <v>893.31</v>
      </c>
    </row>
    <row r="1561" spans="1:2">
      <c r="A1561" t="s">
        <v>2731</v>
      </c>
      <c r="B1561" s="16">
        <v>899.05</v>
      </c>
    </row>
    <row r="1562" spans="1:2">
      <c r="A1562" t="s">
        <v>2732</v>
      </c>
      <c r="B1562" s="16">
        <v>909.63</v>
      </c>
    </row>
    <row r="1563" spans="1:2">
      <c r="A1563" t="s">
        <v>2733</v>
      </c>
      <c r="B1563" s="16">
        <v>920.82</v>
      </c>
    </row>
    <row r="1564" spans="1:2">
      <c r="A1564" t="s">
        <v>2734</v>
      </c>
      <c r="B1564" s="16">
        <v>924.43</v>
      </c>
    </row>
    <row r="1565" spans="1:2">
      <c r="A1565" t="s">
        <v>2735</v>
      </c>
      <c r="B1565" s="16">
        <v>926.99</v>
      </c>
    </row>
    <row r="1566" spans="1:2">
      <c r="A1566" t="s">
        <v>2736</v>
      </c>
      <c r="B1566" s="16">
        <v>904.05</v>
      </c>
    </row>
    <row r="1567" spans="1:2">
      <c r="A1567" t="s">
        <v>2737</v>
      </c>
      <c r="B1567" s="16">
        <v>897.58</v>
      </c>
    </row>
    <row r="1568" spans="1:2">
      <c r="A1568" t="s">
        <v>2738</v>
      </c>
      <c r="B1568" s="16">
        <v>897.67</v>
      </c>
    </row>
    <row r="1569" spans="1:2">
      <c r="A1569" t="s">
        <v>2739</v>
      </c>
      <c r="B1569" s="16">
        <v>905.24</v>
      </c>
    </row>
    <row r="1570" spans="1:2">
      <c r="A1570" t="s">
        <v>2740</v>
      </c>
      <c r="B1570" s="16">
        <v>918.96</v>
      </c>
    </row>
    <row r="1571" spans="1:2">
      <c r="A1571" t="s">
        <v>2741</v>
      </c>
      <c r="B1571" s="16">
        <v>905.84</v>
      </c>
    </row>
    <row r="1572" spans="1:2">
      <c r="A1572" t="s">
        <v>2742</v>
      </c>
      <c r="B1572" s="16">
        <v>893.78</v>
      </c>
    </row>
    <row r="1573" spans="1:2">
      <c r="A1573" t="s">
        <v>2743</v>
      </c>
      <c r="B1573" s="16">
        <v>886.57</v>
      </c>
    </row>
    <row r="1574" spans="1:2">
      <c r="A1574" t="s">
        <v>2744</v>
      </c>
      <c r="B1574" s="16">
        <v>901.26</v>
      </c>
    </row>
    <row r="1575" spans="1:2">
      <c r="A1575" t="s">
        <v>2745</v>
      </c>
      <c r="B1575" s="16">
        <v>898.9</v>
      </c>
    </row>
    <row r="1576" spans="1:2">
      <c r="A1576" t="s">
        <v>2746</v>
      </c>
      <c r="B1576" s="16">
        <v>884.04</v>
      </c>
    </row>
    <row r="1577" spans="1:2">
      <c r="A1577" t="s">
        <v>2747</v>
      </c>
      <c r="B1577" s="16">
        <v>876.35</v>
      </c>
    </row>
    <row r="1578" spans="1:2">
      <c r="A1578" t="s">
        <v>2748</v>
      </c>
      <c r="B1578" s="16">
        <v>868.02</v>
      </c>
    </row>
    <row r="1579" spans="1:2">
      <c r="A1579" t="s">
        <v>2749</v>
      </c>
      <c r="B1579" s="16">
        <v>863.95</v>
      </c>
    </row>
    <row r="1580" spans="1:2">
      <c r="A1580" t="s">
        <v>2750</v>
      </c>
      <c r="B1580" s="16">
        <v>853.96</v>
      </c>
    </row>
    <row r="1581" spans="1:2">
      <c r="A1581" t="s">
        <v>2751</v>
      </c>
      <c r="B1581" s="16">
        <v>856.04</v>
      </c>
    </row>
    <row r="1582" spans="1:2">
      <c r="A1582" t="s">
        <v>2752</v>
      </c>
      <c r="B1582" s="16">
        <v>874.22</v>
      </c>
    </row>
    <row r="1583" spans="1:2">
      <c r="A1583" t="s">
        <v>2753</v>
      </c>
      <c r="B1583" s="16">
        <v>867.85</v>
      </c>
    </row>
    <row r="1584" spans="1:2">
      <c r="A1584" t="s">
        <v>2754</v>
      </c>
      <c r="B1584" s="16">
        <v>848.36</v>
      </c>
    </row>
    <row r="1585" spans="1:2">
      <c r="A1585" t="s">
        <v>2755</v>
      </c>
      <c r="B1585" s="16">
        <v>863.87</v>
      </c>
    </row>
    <row r="1586" spans="1:2">
      <c r="A1586" t="s">
        <v>2756</v>
      </c>
      <c r="B1586" s="16">
        <v>854.77</v>
      </c>
    </row>
    <row r="1587" spans="1:2">
      <c r="A1587" t="s">
        <v>2757</v>
      </c>
      <c r="B1587" s="16">
        <v>836.48</v>
      </c>
    </row>
    <row r="1588" spans="1:2">
      <c r="A1588" t="s">
        <v>2758</v>
      </c>
      <c r="B1588" s="16">
        <v>819.92</v>
      </c>
    </row>
    <row r="1589" spans="1:2">
      <c r="A1589" t="s">
        <v>2759</v>
      </c>
      <c r="B1589" s="16">
        <v>815</v>
      </c>
    </row>
    <row r="1590" spans="1:2">
      <c r="A1590" t="s">
        <v>2760</v>
      </c>
      <c r="B1590" s="16">
        <v>848.96</v>
      </c>
    </row>
    <row r="1591" spans="1:2">
      <c r="A1591" t="s">
        <v>2761</v>
      </c>
      <c r="B1591" s="16">
        <v>833.81</v>
      </c>
    </row>
    <row r="1592" spans="1:2">
      <c r="A1592" t="s">
        <v>2762</v>
      </c>
      <c r="B1592" s="16">
        <v>832.57</v>
      </c>
    </row>
    <row r="1593" spans="1:2">
      <c r="A1593" t="s">
        <v>2763</v>
      </c>
      <c r="B1593" s="16">
        <v>835.24</v>
      </c>
    </row>
    <row r="1594" spans="1:2">
      <c r="A1594" t="s">
        <v>2764</v>
      </c>
      <c r="B1594" s="16">
        <v>848.97</v>
      </c>
    </row>
    <row r="1595" spans="1:2">
      <c r="A1595" t="s">
        <v>2765</v>
      </c>
      <c r="B1595" s="16">
        <v>874.46</v>
      </c>
    </row>
    <row r="1596" spans="1:2">
      <c r="A1596" t="s">
        <v>2766</v>
      </c>
      <c r="B1596" s="16">
        <v>873.06</v>
      </c>
    </row>
    <row r="1597" spans="1:2">
      <c r="A1597" t="s">
        <v>2767</v>
      </c>
      <c r="B1597" s="16">
        <v>884.24</v>
      </c>
    </row>
    <row r="1598" spans="1:2">
      <c r="A1598" t="s">
        <v>2768</v>
      </c>
      <c r="B1598" s="16">
        <v>881.07</v>
      </c>
    </row>
    <row r="1599" spans="1:2">
      <c r="A1599" t="s">
        <v>2769</v>
      </c>
      <c r="B1599" s="16">
        <v>891.53</v>
      </c>
    </row>
    <row r="1600" spans="1:2">
      <c r="A1600" t="s">
        <v>2770</v>
      </c>
      <c r="B1600" s="16">
        <v>879.3</v>
      </c>
    </row>
    <row r="1601" spans="1:2">
      <c r="A1601" t="s">
        <v>2771</v>
      </c>
      <c r="B1601" s="16">
        <v>887.11</v>
      </c>
    </row>
    <row r="1602" spans="1:2">
      <c r="A1602" t="s">
        <v>2772</v>
      </c>
      <c r="B1602" s="16">
        <v>889.19</v>
      </c>
    </row>
    <row r="1603" spans="1:2">
      <c r="A1603" t="s">
        <v>2773</v>
      </c>
      <c r="B1603" s="16">
        <v>896.85</v>
      </c>
    </row>
    <row r="1604" spans="1:2">
      <c r="A1604" t="s">
        <v>2774</v>
      </c>
      <c r="B1604" s="16">
        <v>908.74</v>
      </c>
    </row>
    <row r="1605" spans="1:2">
      <c r="A1605" t="s">
        <v>2775</v>
      </c>
      <c r="B1605" s="16">
        <v>897.44</v>
      </c>
    </row>
    <row r="1606" spans="1:2">
      <c r="A1606" t="s">
        <v>2776</v>
      </c>
      <c r="B1606" s="16">
        <v>885.63</v>
      </c>
    </row>
    <row r="1607" spans="1:2">
      <c r="A1607" t="s">
        <v>2777</v>
      </c>
      <c r="B1607" s="16">
        <v>891.53</v>
      </c>
    </row>
    <row r="1608" spans="1:2">
      <c r="A1608" t="s">
        <v>2778</v>
      </c>
      <c r="B1608" s="16">
        <v>900.31</v>
      </c>
    </row>
    <row r="1609" spans="1:2">
      <c r="A1609" t="s">
        <v>2779</v>
      </c>
      <c r="B1609" s="16">
        <v>893.53</v>
      </c>
    </row>
    <row r="1610" spans="1:2">
      <c r="A1610" t="s">
        <v>2780</v>
      </c>
      <c r="B1610" s="16">
        <v>879.37</v>
      </c>
    </row>
    <row r="1611" spans="1:2">
      <c r="A1611" t="s">
        <v>2781</v>
      </c>
      <c r="B1611" s="16">
        <v>880.04</v>
      </c>
    </row>
    <row r="1612" spans="1:2">
      <c r="A1612" t="s">
        <v>2782</v>
      </c>
      <c r="B1612" s="16">
        <v>885.08</v>
      </c>
    </row>
    <row r="1613" spans="1:2">
      <c r="A1613" t="s">
        <v>2783</v>
      </c>
      <c r="B1613" s="16">
        <v>870.81</v>
      </c>
    </row>
    <row r="1614" spans="1:2">
      <c r="A1614" t="s">
        <v>2784</v>
      </c>
      <c r="B1614" s="16">
        <v>867.1</v>
      </c>
    </row>
    <row r="1615" spans="1:2">
      <c r="A1615" t="s">
        <v>2785</v>
      </c>
      <c r="B1615" s="16">
        <v>872.3</v>
      </c>
    </row>
    <row r="1616" spans="1:2">
      <c r="A1616" t="s">
        <v>2786</v>
      </c>
      <c r="B1616" s="16">
        <v>869.22</v>
      </c>
    </row>
    <row r="1617" spans="1:2">
      <c r="A1617" t="s">
        <v>2787</v>
      </c>
      <c r="B1617" s="16">
        <v>874.14</v>
      </c>
    </row>
    <row r="1618" spans="1:2">
      <c r="A1618" t="s">
        <v>2788</v>
      </c>
      <c r="B1618" s="16">
        <v>879.71</v>
      </c>
    </row>
    <row r="1619" spans="1:2">
      <c r="A1619" t="s">
        <v>2789</v>
      </c>
      <c r="B1619" s="16">
        <v>877.35</v>
      </c>
    </row>
    <row r="1620" spans="1:2">
      <c r="A1620" t="s">
        <v>2790</v>
      </c>
      <c r="B1620" s="16">
        <v>858.34</v>
      </c>
    </row>
    <row r="1621" spans="1:2">
      <c r="A1621" t="s">
        <v>2791</v>
      </c>
      <c r="B1621" s="16">
        <v>858.26</v>
      </c>
    </row>
    <row r="1622" spans="1:2">
      <c r="A1622" t="s">
        <v>2792</v>
      </c>
      <c r="B1622" s="16">
        <v>842.49</v>
      </c>
    </row>
    <row r="1623" spans="1:2">
      <c r="A1623" t="s">
        <v>2793</v>
      </c>
      <c r="B1623" s="16">
        <v>853.43</v>
      </c>
    </row>
    <row r="1624" spans="1:2">
      <c r="A1624" t="s">
        <v>2794</v>
      </c>
      <c r="B1624" s="16">
        <v>870.84</v>
      </c>
    </row>
    <row r="1625" spans="1:2">
      <c r="A1625" t="s">
        <v>2795</v>
      </c>
      <c r="B1625" s="16">
        <v>854</v>
      </c>
    </row>
    <row r="1626" spans="1:2">
      <c r="A1626" t="s">
        <v>2796</v>
      </c>
      <c r="B1626" s="16">
        <v>852.16</v>
      </c>
    </row>
    <row r="1627" spans="1:2">
      <c r="A1627" t="s">
        <v>2797</v>
      </c>
      <c r="B1627" s="16">
        <v>855.76</v>
      </c>
    </row>
    <row r="1628" spans="1:2">
      <c r="A1628" t="s">
        <v>2798</v>
      </c>
      <c r="B1628" s="16">
        <v>865.97</v>
      </c>
    </row>
    <row r="1629" spans="1:2">
      <c r="A1629" t="s">
        <v>2799</v>
      </c>
      <c r="B1629" s="16">
        <v>846.6</v>
      </c>
    </row>
    <row r="1630" spans="1:2">
      <c r="A1630" t="s">
        <v>2800</v>
      </c>
      <c r="B1630" s="16">
        <v>835.58</v>
      </c>
    </row>
    <row r="1631" spans="1:2">
      <c r="A1631" t="s">
        <v>2801</v>
      </c>
      <c r="B1631" s="16">
        <v>813.3</v>
      </c>
    </row>
    <row r="1632" spans="1:2">
      <c r="A1632" t="s">
        <v>2802</v>
      </c>
      <c r="B1632" s="16">
        <v>819.12</v>
      </c>
    </row>
    <row r="1633" spans="1:2">
      <c r="A1633" t="s">
        <v>2803</v>
      </c>
      <c r="B1633" s="16">
        <v>818.55</v>
      </c>
    </row>
    <row r="1634" spans="1:2">
      <c r="A1634" t="s">
        <v>2804</v>
      </c>
      <c r="B1634" s="16">
        <v>817.88</v>
      </c>
    </row>
    <row r="1635" spans="1:2">
      <c r="A1635" t="s">
        <v>2805</v>
      </c>
      <c r="B1635" s="16">
        <v>837.42</v>
      </c>
    </row>
    <row r="1636" spans="1:2">
      <c r="A1636" t="s">
        <v>2806</v>
      </c>
      <c r="B1636" s="16">
        <v>832.44</v>
      </c>
    </row>
    <row r="1637" spans="1:2">
      <c r="A1637" t="s">
        <v>2807</v>
      </c>
      <c r="B1637" s="16">
        <v>842.83</v>
      </c>
    </row>
    <row r="1638" spans="1:2">
      <c r="A1638" t="s">
        <v>2808</v>
      </c>
      <c r="B1638" s="16">
        <v>821.25</v>
      </c>
    </row>
    <row r="1639" spans="1:2">
      <c r="A1639" t="s">
        <v>2809</v>
      </c>
      <c r="B1639" s="16">
        <v>810.31</v>
      </c>
    </row>
    <row r="1640" spans="1:2">
      <c r="A1640" t="s">
        <v>2810</v>
      </c>
      <c r="B1640" s="16">
        <v>815.37</v>
      </c>
    </row>
    <row r="1641" spans="1:2">
      <c r="A1641" t="s">
        <v>2811</v>
      </c>
      <c r="B1641" s="16">
        <v>827.98</v>
      </c>
    </row>
    <row r="1642" spans="1:2">
      <c r="A1642" t="s">
        <v>2812</v>
      </c>
      <c r="B1642" s="16">
        <v>818.73</v>
      </c>
    </row>
    <row r="1643" spans="1:2">
      <c r="A1643" t="s">
        <v>2813</v>
      </c>
      <c r="B1643" s="16">
        <v>825.9</v>
      </c>
    </row>
    <row r="1644" spans="1:2">
      <c r="A1644" t="s">
        <v>2814</v>
      </c>
      <c r="B1644" s="16">
        <v>835.54</v>
      </c>
    </row>
    <row r="1645" spans="1:2">
      <c r="A1645" t="s">
        <v>2815</v>
      </c>
      <c r="B1645" s="16">
        <v>853.5</v>
      </c>
    </row>
    <row r="1646" spans="1:2">
      <c r="A1646" t="s">
        <v>2816</v>
      </c>
      <c r="B1646" s="16">
        <v>853.6</v>
      </c>
    </row>
    <row r="1647" spans="1:2">
      <c r="A1647" t="s">
        <v>2817</v>
      </c>
      <c r="B1647" s="16">
        <v>847.2</v>
      </c>
    </row>
    <row r="1648" spans="1:2">
      <c r="A1648" t="s">
        <v>2818</v>
      </c>
      <c r="B1648" s="16">
        <v>843</v>
      </c>
    </row>
    <row r="1649" spans="1:2">
      <c r="A1649" t="s">
        <v>2819</v>
      </c>
      <c r="B1649" s="16">
        <v>851.93</v>
      </c>
    </row>
    <row r="1650" spans="1:2">
      <c r="A1650" t="s">
        <v>2820</v>
      </c>
      <c r="B1650" s="16">
        <v>841.37</v>
      </c>
    </row>
    <row r="1651" spans="1:2">
      <c r="A1651" t="s">
        <v>2821</v>
      </c>
      <c r="B1651" s="16">
        <v>846.57</v>
      </c>
    </row>
    <row r="1652" spans="1:2">
      <c r="A1652" t="s">
        <v>2822</v>
      </c>
      <c r="B1652" s="16">
        <v>849.28</v>
      </c>
    </row>
    <row r="1653" spans="1:2">
      <c r="A1653" t="s">
        <v>2823</v>
      </c>
      <c r="B1653" s="16">
        <v>840.13</v>
      </c>
    </row>
    <row r="1654" spans="1:2">
      <c r="A1654" t="s">
        <v>2824</v>
      </c>
      <c r="B1654" s="16">
        <v>826.5</v>
      </c>
    </row>
    <row r="1655" spans="1:2">
      <c r="A1655" t="s">
        <v>2825</v>
      </c>
      <c r="B1655" s="16">
        <v>803.31</v>
      </c>
    </row>
    <row r="1656" spans="1:2">
      <c r="A1656" t="s">
        <v>2826</v>
      </c>
      <c r="B1656" s="16">
        <v>781.4</v>
      </c>
    </row>
    <row r="1657" spans="1:2">
      <c r="A1657" t="s">
        <v>2827</v>
      </c>
      <c r="B1657" s="16">
        <v>778.57</v>
      </c>
    </row>
    <row r="1658" spans="1:2">
      <c r="A1658" t="s">
        <v>2828</v>
      </c>
      <c r="B1658" s="16">
        <v>792.18</v>
      </c>
    </row>
    <row r="1659" spans="1:2">
      <c r="A1659" t="s">
        <v>2829</v>
      </c>
      <c r="B1659" s="16">
        <v>765.85</v>
      </c>
    </row>
    <row r="1660" spans="1:2">
      <c r="A1660" t="s">
        <v>2830</v>
      </c>
      <c r="B1660" s="16">
        <v>770.84</v>
      </c>
    </row>
    <row r="1661" spans="1:2">
      <c r="A1661" t="s">
        <v>2831</v>
      </c>
      <c r="B1661" s="16">
        <v>770.87</v>
      </c>
    </row>
    <row r="1662" spans="1:2">
      <c r="A1662" t="s">
        <v>2832</v>
      </c>
      <c r="B1662" s="16">
        <v>783.81</v>
      </c>
    </row>
    <row r="1663" spans="1:2">
      <c r="A1663" t="s">
        <v>2833</v>
      </c>
      <c r="B1663" s="16">
        <v>781.24</v>
      </c>
    </row>
    <row r="1664" spans="1:2">
      <c r="A1664" t="s">
        <v>2834</v>
      </c>
      <c r="B1664" s="16">
        <v>785.79</v>
      </c>
    </row>
    <row r="1665" spans="1:2">
      <c r="A1665" t="s">
        <v>2835</v>
      </c>
      <c r="B1665" s="16">
        <v>806.19</v>
      </c>
    </row>
    <row r="1666" spans="1:2">
      <c r="A1666" t="s">
        <v>2836</v>
      </c>
      <c r="B1666" s="16">
        <v>802.49</v>
      </c>
    </row>
    <row r="1667" spans="1:2">
      <c r="A1667" t="s">
        <v>2837</v>
      </c>
      <c r="B1667" s="16">
        <v>795.43</v>
      </c>
    </row>
    <row r="1668" spans="1:2">
      <c r="A1668" t="s">
        <v>2838</v>
      </c>
      <c r="B1668" s="16">
        <v>795.06</v>
      </c>
    </row>
    <row r="1669" spans="1:2">
      <c r="A1669" t="s">
        <v>2839</v>
      </c>
      <c r="B1669" s="16">
        <v>785.02</v>
      </c>
    </row>
    <row r="1670" spans="1:2">
      <c r="A1670" t="s">
        <v>2840</v>
      </c>
      <c r="B1670" s="16">
        <v>789.51</v>
      </c>
    </row>
    <row r="1671" spans="1:2">
      <c r="A1671" t="s">
        <v>2841</v>
      </c>
      <c r="B1671" s="16">
        <v>787.34</v>
      </c>
    </row>
    <row r="1672" spans="1:2">
      <c r="A1672" t="s">
        <v>2842</v>
      </c>
      <c r="B1672" s="16">
        <v>788.56</v>
      </c>
    </row>
    <row r="1673" spans="1:2">
      <c r="A1673" t="s">
        <v>2843</v>
      </c>
      <c r="B1673" s="16">
        <v>799.25</v>
      </c>
    </row>
    <row r="1674" spans="1:2">
      <c r="A1674" t="s">
        <v>2844</v>
      </c>
      <c r="B1674" s="16">
        <v>812.77</v>
      </c>
    </row>
    <row r="1675" spans="1:2">
      <c r="A1675" t="s">
        <v>2845</v>
      </c>
      <c r="B1675" s="16">
        <v>814.37</v>
      </c>
    </row>
    <row r="1676" spans="1:2">
      <c r="A1676" t="s">
        <v>2846</v>
      </c>
      <c r="B1676" s="16">
        <v>810.95</v>
      </c>
    </row>
    <row r="1677" spans="1:2">
      <c r="A1677" t="s">
        <v>2847</v>
      </c>
      <c r="B1677" s="16">
        <v>808.86</v>
      </c>
    </row>
    <row r="1678" spans="1:2">
      <c r="A1678" t="s">
        <v>2848</v>
      </c>
      <c r="B1678" s="16">
        <v>800.69</v>
      </c>
    </row>
    <row r="1679" spans="1:2">
      <c r="A1679" t="s">
        <v>2849</v>
      </c>
      <c r="B1679" s="16">
        <v>801.25</v>
      </c>
    </row>
    <row r="1680" spans="1:2">
      <c r="A1680" t="s">
        <v>2850</v>
      </c>
      <c r="B1680" s="16">
        <v>814.06</v>
      </c>
    </row>
    <row r="1681" spans="1:2">
      <c r="A1681" t="s">
        <v>2851</v>
      </c>
      <c r="B1681" s="16">
        <v>806.04</v>
      </c>
    </row>
    <row r="1682" spans="1:2">
      <c r="A1682" t="s">
        <v>2852</v>
      </c>
      <c r="B1682" s="16">
        <v>821.74</v>
      </c>
    </row>
    <row r="1683" spans="1:2">
      <c r="A1683" t="s">
        <v>2853</v>
      </c>
      <c r="B1683" s="16">
        <v>824.8</v>
      </c>
    </row>
    <row r="1684" spans="1:2">
      <c r="A1684" t="s">
        <v>2854</v>
      </c>
      <c r="B1684" s="16">
        <v>832.7</v>
      </c>
    </row>
    <row r="1685" spans="1:2">
      <c r="A1685" t="s">
        <v>2855</v>
      </c>
      <c r="B1685" s="16">
        <v>826.27</v>
      </c>
    </row>
    <row r="1686" spans="1:2">
      <c r="A1686" t="s">
        <v>2856</v>
      </c>
      <c r="B1686" s="16">
        <v>826.33</v>
      </c>
    </row>
    <row r="1687" spans="1:2">
      <c r="A1687" t="s">
        <v>2857</v>
      </c>
      <c r="B1687" s="16">
        <v>823.78</v>
      </c>
    </row>
    <row r="1688" spans="1:2">
      <c r="A1688" t="s">
        <v>2858</v>
      </c>
      <c r="B1688" s="16">
        <v>839.62</v>
      </c>
    </row>
    <row r="1689" spans="1:2">
      <c r="A1689" t="s">
        <v>2859</v>
      </c>
      <c r="B1689" s="16">
        <v>848.56</v>
      </c>
    </row>
    <row r="1690" spans="1:2">
      <c r="A1690" t="s">
        <v>2860</v>
      </c>
      <c r="B1690" s="16">
        <v>857.39</v>
      </c>
    </row>
    <row r="1691" spans="1:2">
      <c r="A1691" t="s">
        <v>2861</v>
      </c>
      <c r="B1691" s="16">
        <v>851.63</v>
      </c>
    </row>
    <row r="1692" spans="1:2">
      <c r="A1692" t="s">
        <v>2862</v>
      </c>
      <c r="B1692" s="16">
        <v>848.32</v>
      </c>
    </row>
    <row r="1693" spans="1:2">
      <c r="A1693" t="s">
        <v>2863</v>
      </c>
      <c r="B1693" s="16">
        <v>865.45</v>
      </c>
    </row>
    <row r="1694" spans="1:2">
      <c r="A1694" t="s">
        <v>2864</v>
      </c>
      <c r="B1694" s="16">
        <v>864.94</v>
      </c>
    </row>
    <row r="1695" spans="1:2">
      <c r="A1695" t="s">
        <v>2865</v>
      </c>
      <c r="B1695" s="16">
        <v>864.45</v>
      </c>
    </row>
    <row r="1696" spans="1:2">
      <c r="A1696" t="s">
        <v>2866</v>
      </c>
      <c r="B1696" s="16">
        <v>860.86</v>
      </c>
    </row>
    <row r="1697" spans="1:2">
      <c r="A1697" t="s">
        <v>2867</v>
      </c>
      <c r="B1697" s="16">
        <v>854.46</v>
      </c>
    </row>
    <row r="1698" spans="1:2">
      <c r="A1698" t="s">
        <v>2868</v>
      </c>
      <c r="B1698" s="16">
        <v>860.76</v>
      </c>
    </row>
    <row r="1699" spans="1:2">
      <c r="A1699" t="s">
        <v>2869</v>
      </c>
      <c r="B1699" s="16">
        <v>859.52</v>
      </c>
    </row>
    <row r="1700" spans="1:2">
      <c r="A1700" t="s">
        <v>2870</v>
      </c>
      <c r="B1700" s="16">
        <v>874.43</v>
      </c>
    </row>
    <row r="1701" spans="1:2">
      <c r="A1701" t="s">
        <v>2871</v>
      </c>
      <c r="B1701" s="16">
        <v>880.05</v>
      </c>
    </row>
    <row r="1702" spans="1:2">
      <c r="A1702" t="s">
        <v>2872</v>
      </c>
      <c r="B1702" s="16">
        <v>882.42</v>
      </c>
    </row>
    <row r="1703" spans="1:2">
      <c r="A1703" t="s">
        <v>2873</v>
      </c>
      <c r="B1703" s="16">
        <v>874.52</v>
      </c>
    </row>
    <row r="1704" spans="1:2">
      <c r="A1704" t="s">
        <v>2874</v>
      </c>
      <c r="B1704" s="16">
        <v>878.13</v>
      </c>
    </row>
    <row r="1705" spans="1:2">
      <c r="A1705" t="s">
        <v>2875</v>
      </c>
      <c r="B1705" s="16">
        <v>871.74</v>
      </c>
    </row>
    <row r="1706" spans="1:2">
      <c r="A1706" t="s">
        <v>2876</v>
      </c>
      <c r="B1706" s="16">
        <v>857.14</v>
      </c>
    </row>
    <row r="1707" spans="1:2">
      <c r="A1707" t="s">
        <v>2877</v>
      </c>
      <c r="B1707" s="16">
        <v>851.79</v>
      </c>
    </row>
    <row r="1708" spans="1:2">
      <c r="A1708" t="s">
        <v>2878</v>
      </c>
      <c r="B1708" s="16">
        <v>852.33</v>
      </c>
    </row>
    <row r="1709" spans="1:2">
      <c r="A1709" t="s">
        <v>2879</v>
      </c>
      <c r="B1709" s="16">
        <v>859.18</v>
      </c>
    </row>
    <row r="1710" spans="1:2">
      <c r="A1710" t="s">
        <v>2880</v>
      </c>
      <c r="B1710" s="16">
        <v>833.37</v>
      </c>
    </row>
    <row r="1711" spans="1:2">
      <c r="A1711" t="s">
        <v>2881</v>
      </c>
      <c r="B1711" s="16">
        <v>825.75</v>
      </c>
    </row>
    <row r="1712" spans="1:2">
      <c r="A1712" t="s">
        <v>2882</v>
      </c>
      <c r="B1712" s="16">
        <v>820.87</v>
      </c>
    </row>
    <row r="1713" spans="1:2">
      <c r="A1713" t="s">
        <v>2883</v>
      </c>
      <c r="B1713" s="16">
        <v>810.98</v>
      </c>
    </row>
    <row r="1714" spans="1:2">
      <c r="A1714" t="s">
        <v>2884</v>
      </c>
      <c r="B1714" s="16">
        <v>811.75</v>
      </c>
    </row>
    <row r="1715" spans="1:2">
      <c r="A1715" t="s">
        <v>2885</v>
      </c>
      <c r="B1715" s="16">
        <v>810.35</v>
      </c>
    </row>
    <row r="1716" spans="1:2">
      <c r="A1716" t="s">
        <v>2886</v>
      </c>
      <c r="B1716" s="16">
        <v>808.92</v>
      </c>
    </row>
    <row r="1717" spans="1:2">
      <c r="A1717" t="s">
        <v>2887</v>
      </c>
      <c r="B1717" s="16">
        <v>808.84</v>
      </c>
    </row>
    <row r="1718" spans="1:2">
      <c r="A1718" t="s">
        <v>2888</v>
      </c>
      <c r="B1718" s="16">
        <v>813.68</v>
      </c>
    </row>
    <row r="1719" spans="1:2">
      <c r="A1719" t="s">
        <v>2889</v>
      </c>
      <c r="B1719" s="16">
        <v>818.8</v>
      </c>
    </row>
    <row r="1720" spans="1:2">
      <c r="A1720" t="s">
        <v>2890</v>
      </c>
      <c r="B1720" s="16">
        <v>828.24</v>
      </c>
    </row>
    <row r="1721" spans="1:2">
      <c r="A1721" t="s">
        <v>2891</v>
      </c>
      <c r="B1721" s="16">
        <v>837.33</v>
      </c>
    </row>
    <row r="1722" spans="1:2">
      <c r="A1722" t="s">
        <v>2892</v>
      </c>
      <c r="B1722" s="16">
        <v>814.89</v>
      </c>
    </row>
    <row r="1723" spans="1:2">
      <c r="A1723" t="s">
        <v>2893</v>
      </c>
      <c r="B1723" s="16">
        <v>813.49</v>
      </c>
    </row>
    <row r="1724" spans="1:2">
      <c r="A1724" t="s">
        <v>2894</v>
      </c>
      <c r="B1724" s="16">
        <v>806.27</v>
      </c>
    </row>
    <row r="1725" spans="1:2">
      <c r="A1725" t="s">
        <v>2895</v>
      </c>
      <c r="B1725" s="16">
        <v>798.38</v>
      </c>
    </row>
    <row r="1726" spans="1:2">
      <c r="A1726" t="s">
        <v>2896</v>
      </c>
      <c r="B1726" s="16">
        <v>800.67</v>
      </c>
    </row>
    <row r="1727" spans="1:2">
      <c r="A1727" t="s">
        <v>2897</v>
      </c>
      <c r="B1727" s="16">
        <v>795.02</v>
      </c>
    </row>
    <row r="1728" spans="1:2">
      <c r="A1728" t="s">
        <v>2898</v>
      </c>
      <c r="B1728" s="16">
        <v>795.28</v>
      </c>
    </row>
    <row r="1729" spans="1:2">
      <c r="A1729" t="s">
        <v>2899</v>
      </c>
      <c r="B1729" s="16">
        <v>789.71</v>
      </c>
    </row>
    <row r="1730" spans="1:2">
      <c r="A1730" t="s">
        <v>2900</v>
      </c>
      <c r="B1730" s="16">
        <v>782.23</v>
      </c>
    </row>
    <row r="1731" spans="1:2">
      <c r="A1731" t="s">
        <v>2901</v>
      </c>
      <c r="B1731" s="16">
        <v>779.23</v>
      </c>
    </row>
    <row r="1732" spans="1:2">
      <c r="A1732" t="s">
        <v>2902</v>
      </c>
      <c r="B1732" s="16">
        <v>777.1</v>
      </c>
    </row>
    <row r="1733" spans="1:2">
      <c r="A1733" t="s">
        <v>2903</v>
      </c>
      <c r="B1733" s="16">
        <v>780.98</v>
      </c>
    </row>
    <row r="1734" spans="1:2">
      <c r="A1734" t="s">
        <v>2904</v>
      </c>
      <c r="B1734" s="16">
        <v>758.9</v>
      </c>
    </row>
    <row r="1735" spans="1:2">
      <c r="A1735" t="s">
        <v>2905</v>
      </c>
      <c r="B1735" s="16">
        <v>754.45</v>
      </c>
    </row>
    <row r="1736" spans="1:2">
      <c r="A1736" t="s">
        <v>2906</v>
      </c>
      <c r="B1736" s="16">
        <v>767.71</v>
      </c>
    </row>
    <row r="1737" spans="1:2">
      <c r="A1737" t="s">
        <v>2907</v>
      </c>
      <c r="B1737" s="16">
        <v>787.54</v>
      </c>
    </row>
    <row r="1738" spans="1:2">
      <c r="A1738" t="s">
        <v>2908</v>
      </c>
      <c r="B1738" s="16">
        <v>787.99</v>
      </c>
    </row>
    <row r="1739" spans="1:2">
      <c r="A1739" t="s">
        <v>2909</v>
      </c>
      <c r="B1739" s="16">
        <v>781.27</v>
      </c>
    </row>
    <row r="1740" spans="1:2">
      <c r="A1740" t="s">
        <v>2910</v>
      </c>
      <c r="B1740" s="16">
        <v>762.62</v>
      </c>
    </row>
    <row r="1741" spans="1:2">
      <c r="A1741" t="s">
        <v>2911</v>
      </c>
      <c r="B1741" s="16">
        <v>760.29</v>
      </c>
    </row>
    <row r="1742" spans="1:2">
      <c r="A1742" t="s">
        <v>2912</v>
      </c>
      <c r="B1742" s="16">
        <v>753.53</v>
      </c>
    </row>
    <row r="1743" spans="1:2">
      <c r="A1743" t="s">
        <v>2913</v>
      </c>
      <c r="B1743" s="16">
        <v>750.73</v>
      </c>
    </row>
    <row r="1744" spans="1:2">
      <c r="A1744" t="s">
        <v>2914</v>
      </c>
      <c r="B1744" s="16">
        <v>765.76</v>
      </c>
    </row>
    <row r="1745" spans="1:2">
      <c r="A1745" t="s">
        <v>2915</v>
      </c>
      <c r="B1745" s="16">
        <v>757.45</v>
      </c>
    </row>
    <row r="1746" spans="1:2">
      <c r="A1746" t="s">
        <v>2916</v>
      </c>
      <c r="B1746" s="16">
        <v>771.17</v>
      </c>
    </row>
    <row r="1747" spans="1:2">
      <c r="A1747" t="s">
        <v>2917</v>
      </c>
      <c r="B1747" s="16">
        <v>776.66</v>
      </c>
    </row>
    <row r="1748" spans="1:2">
      <c r="A1748" t="s">
        <v>2918</v>
      </c>
      <c r="B1748" s="16">
        <v>777.43</v>
      </c>
    </row>
    <row r="1749" spans="1:2">
      <c r="A1749" t="s">
        <v>2919</v>
      </c>
      <c r="B1749" s="16">
        <v>775.8</v>
      </c>
    </row>
    <row r="1750" spans="1:2">
      <c r="A1750" t="s">
        <v>2920</v>
      </c>
      <c r="B1750" s="16">
        <v>787.43</v>
      </c>
    </row>
    <row r="1751" spans="1:2">
      <c r="A1751" t="s">
        <v>2921</v>
      </c>
      <c r="B1751" s="16">
        <v>795.96</v>
      </c>
    </row>
    <row r="1752" spans="1:2">
      <c r="A1752" t="s">
        <v>2922</v>
      </c>
      <c r="B1752" s="16">
        <v>804.33</v>
      </c>
    </row>
    <row r="1753" spans="1:2">
      <c r="A1753" t="s">
        <v>2923</v>
      </c>
      <c r="B1753" s="16">
        <v>796.32</v>
      </c>
    </row>
    <row r="1754" spans="1:2">
      <c r="A1754" t="s">
        <v>2924</v>
      </c>
      <c r="B1754" s="16">
        <v>793.28</v>
      </c>
    </row>
    <row r="1755" spans="1:2">
      <c r="A1755" t="s">
        <v>2925</v>
      </c>
      <c r="B1755" s="16">
        <v>812.62</v>
      </c>
    </row>
    <row r="1756" spans="1:2">
      <c r="A1756" t="s">
        <v>2926</v>
      </c>
      <c r="B1756" s="16">
        <v>811.25</v>
      </c>
    </row>
    <row r="1757" spans="1:2">
      <c r="A1757" t="s">
        <v>2927</v>
      </c>
      <c r="B1757" s="16">
        <v>810.78</v>
      </c>
    </row>
    <row r="1758" spans="1:2">
      <c r="A1758" t="s">
        <v>2928</v>
      </c>
      <c r="B1758" s="16">
        <v>797.78</v>
      </c>
    </row>
    <row r="1759" spans="1:2">
      <c r="A1759" t="s">
        <v>2929</v>
      </c>
      <c r="B1759" s="16">
        <v>791.83</v>
      </c>
    </row>
    <row r="1760" spans="1:2">
      <c r="A1760" t="s">
        <v>2930</v>
      </c>
      <c r="B1760" s="16">
        <v>799.85</v>
      </c>
    </row>
    <row r="1761" spans="1:2">
      <c r="A1761" t="s">
        <v>2931</v>
      </c>
      <c r="B1761" s="16">
        <v>802.37</v>
      </c>
    </row>
    <row r="1762" spans="1:2">
      <c r="A1762" t="s">
        <v>2932</v>
      </c>
      <c r="B1762" s="16">
        <v>807.14</v>
      </c>
    </row>
    <row r="1763" spans="1:2">
      <c r="A1763" t="s">
        <v>2933</v>
      </c>
      <c r="B1763" s="16">
        <v>799.27</v>
      </c>
    </row>
    <row r="1764" spans="1:2">
      <c r="A1764" t="s">
        <v>2934</v>
      </c>
      <c r="B1764" s="16">
        <v>830.72</v>
      </c>
    </row>
    <row r="1765" spans="1:2">
      <c r="A1765" t="s">
        <v>2935</v>
      </c>
      <c r="B1765" s="16">
        <v>828.33</v>
      </c>
    </row>
    <row r="1766" spans="1:2">
      <c r="A1766" t="s">
        <v>2936</v>
      </c>
      <c r="B1766" s="16">
        <v>827.92</v>
      </c>
    </row>
    <row r="1767" spans="1:2">
      <c r="A1767" t="s">
        <v>2937</v>
      </c>
      <c r="B1767" s="16">
        <v>831.73</v>
      </c>
    </row>
    <row r="1768" spans="1:2">
      <c r="A1768" t="s">
        <v>2938</v>
      </c>
      <c r="B1768" s="16">
        <v>823.5</v>
      </c>
    </row>
    <row r="1769" spans="1:2">
      <c r="A1769" t="s">
        <v>2939</v>
      </c>
      <c r="B1769" s="16">
        <v>826.63</v>
      </c>
    </row>
    <row r="1770" spans="1:2">
      <c r="A1770" t="s">
        <v>2940</v>
      </c>
      <c r="B1770" s="16">
        <v>831.29</v>
      </c>
    </row>
    <row r="1771" spans="1:2">
      <c r="A1771" t="s">
        <v>2941</v>
      </c>
      <c r="B1771" s="16">
        <v>834.16</v>
      </c>
    </row>
    <row r="1772" spans="1:2">
      <c r="A1772" t="s">
        <v>2942</v>
      </c>
      <c r="B1772" s="16">
        <v>840.01</v>
      </c>
    </row>
    <row r="1773" spans="1:2">
      <c r="A1773" t="s">
        <v>2943</v>
      </c>
      <c r="B1773" s="16">
        <v>840.81</v>
      </c>
    </row>
    <row r="1774" spans="1:2">
      <c r="A1774" t="s">
        <v>2944</v>
      </c>
      <c r="B1774" s="16">
        <v>840.76</v>
      </c>
    </row>
    <row r="1775" spans="1:2">
      <c r="A1775" t="s">
        <v>2945</v>
      </c>
      <c r="B1775" s="16">
        <v>839.27</v>
      </c>
    </row>
    <row r="1776" spans="1:2">
      <c r="A1776" t="s">
        <v>2946</v>
      </c>
      <c r="B1776" s="16">
        <v>828.28</v>
      </c>
    </row>
    <row r="1777" spans="1:2">
      <c r="A1777" t="s">
        <v>2947</v>
      </c>
      <c r="B1777" s="16">
        <v>825.71</v>
      </c>
    </row>
    <row r="1778" spans="1:2">
      <c r="A1778" t="s">
        <v>2948</v>
      </c>
      <c r="B1778" s="16">
        <v>846.95</v>
      </c>
    </row>
    <row r="1779" spans="1:2">
      <c r="A1779" t="s">
        <v>2949</v>
      </c>
      <c r="B1779" s="16">
        <v>841.73</v>
      </c>
    </row>
    <row r="1780" spans="1:2">
      <c r="A1780" t="s">
        <v>2950</v>
      </c>
      <c r="B1780" s="16">
        <v>840.3</v>
      </c>
    </row>
    <row r="1781" spans="1:2">
      <c r="A1781" t="s">
        <v>2951</v>
      </c>
      <c r="B1781" s="16">
        <v>828.51</v>
      </c>
    </row>
    <row r="1782" spans="1:2">
      <c r="A1782" t="s">
        <v>2952</v>
      </c>
      <c r="B1782" s="16">
        <v>820.2</v>
      </c>
    </row>
    <row r="1783" spans="1:2">
      <c r="A1783" t="s">
        <v>2953</v>
      </c>
      <c r="B1783" s="16">
        <v>818.31</v>
      </c>
    </row>
    <row r="1784" spans="1:2">
      <c r="A1784" t="s">
        <v>2954</v>
      </c>
      <c r="B1784" s="16">
        <v>820.62</v>
      </c>
    </row>
    <row r="1785" spans="1:2">
      <c r="A1785" t="s">
        <v>2955</v>
      </c>
      <c r="B1785" s="16">
        <v>820.57</v>
      </c>
    </row>
    <row r="1786" spans="1:2">
      <c r="A1786" t="s">
        <v>2956</v>
      </c>
      <c r="B1786" s="16">
        <v>826.62</v>
      </c>
    </row>
    <row r="1787" spans="1:2">
      <c r="A1787" t="s">
        <v>2957</v>
      </c>
      <c r="B1787" s="16">
        <v>831.52</v>
      </c>
    </row>
    <row r="1788" spans="1:2">
      <c r="A1788" t="s">
        <v>2958</v>
      </c>
      <c r="B1788" s="16">
        <v>827.46</v>
      </c>
    </row>
    <row r="1789" spans="1:2">
      <c r="A1789" t="s">
        <v>2959</v>
      </c>
      <c r="B1789" s="16">
        <v>801.04</v>
      </c>
    </row>
    <row r="1790" spans="1:2">
      <c r="A1790" t="s">
        <v>2960</v>
      </c>
      <c r="B1790" s="16">
        <v>793.14</v>
      </c>
    </row>
    <row r="1791" spans="1:2">
      <c r="A1791" t="s">
        <v>2961</v>
      </c>
      <c r="B1791" s="16">
        <v>790.68</v>
      </c>
    </row>
    <row r="1792" spans="1:2">
      <c r="A1792" t="s">
        <v>2962</v>
      </c>
      <c r="B1792" s="16">
        <v>788.27</v>
      </c>
    </row>
    <row r="1793" spans="1:2">
      <c r="A1793" t="s">
        <v>2963</v>
      </c>
      <c r="B1793" s="16">
        <v>801.95</v>
      </c>
    </row>
    <row r="1794" spans="1:2">
      <c r="A1794" t="s">
        <v>2964</v>
      </c>
      <c r="B1794" s="16">
        <v>790.36</v>
      </c>
    </row>
    <row r="1795" spans="1:2">
      <c r="A1795" t="s">
        <v>2965</v>
      </c>
      <c r="B1795" s="16">
        <v>790.11</v>
      </c>
    </row>
    <row r="1796" spans="1:2">
      <c r="A1796" t="s">
        <v>2966</v>
      </c>
      <c r="B1796" s="16">
        <v>785.9</v>
      </c>
    </row>
    <row r="1797" spans="1:2">
      <c r="A1797" t="s">
        <v>2967</v>
      </c>
      <c r="B1797" s="16">
        <v>779.73</v>
      </c>
    </row>
    <row r="1798" spans="1:2">
      <c r="A1798" t="s">
        <v>2968</v>
      </c>
      <c r="B1798" s="16">
        <v>789.55</v>
      </c>
    </row>
    <row r="1799" spans="1:2">
      <c r="A1799" t="s">
        <v>2969</v>
      </c>
      <c r="B1799" s="16">
        <v>783.29</v>
      </c>
    </row>
    <row r="1800" spans="1:2">
      <c r="A1800" t="s">
        <v>2970</v>
      </c>
      <c r="B1800" s="16">
        <v>787.86</v>
      </c>
    </row>
    <row r="1801" spans="1:2">
      <c r="A1801" t="s">
        <v>2971</v>
      </c>
      <c r="B1801" s="16">
        <v>793.08</v>
      </c>
    </row>
    <row r="1802" spans="1:2">
      <c r="A1802" t="s">
        <v>2972</v>
      </c>
      <c r="B1802" s="16">
        <v>801.46</v>
      </c>
    </row>
    <row r="1803" spans="1:2">
      <c r="A1803" t="s">
        <v>2973</v>
      </c>
      <c r="B1803" s="16">
        <v>797.15</v>
      </c>
    </row>
    <row r="1804" spans="1:2">
      <c r="A1804" t="s">
        <v>2974</v>
      </c>
      <c r="B1804" s="16">
        <v>808.19</v>
      </c>
    </row>
    <row r="1805" spans="1:2">
      <c r="A1805" t="s">
        <v>2975</v>
      </c>
      <c r="B1805" s="16">
        <v>807.76</v>
      </c>
    </row>
    <row r="1806" spans="1:2">
      <c r="A1806" t="s">
        <v>2976</v>
      </c>
      <c r="B1806" s="16">
        <v>810.03</v>
      </c>
    </row>
    <row r="1807" spans="1:2">
      <c r="A1807" t="s">
        <v>2977</v>
      </c>
      <c r="B1807" s="16">
        <v>817.78</v>
      </c>
    </row>
    <row r="1808" spans="1:2">
      <c r="A1808" t="s">
        <v>2978</v>
      </c>
      <c r="B1808" s="16">
        <v>819.73</v>
      </c>
    </row>
    <row r="1809" spans="1:2">
      <c r="A1809" t="s">
        <v>2979</v>
      </c>
      <c r="B1809" s="16">
        <v>823.3</v>
      </c>
    </row>
    <row r="1810" spans="1:2">
      <c r="A1810" t="s">
        <v>2980</v>
      </c>
      <c r="B1810" s="16">
        <v>823.88</v>
      </c>
    </row>
    <row r="1811" spans="1:2">
      <c r="A1811" t="s">
        <v>2981</v>
      </c>
      <c r="B1811" s="16">
        <v>825.14</v>
      </c>
    </row>
    <row r="1812" spans="1:2">
      <c r="A1812" t="s">
        <v>2982</v>
      </c>
      <c r="B1812" s="16">
        <v>817.14</v>
      </c>
    </row>
    <row r="1813" spans="1:2">
      <c r="A1813" t="s">
        <v>2983</v>
      </c>
      <c r="B1813" s="16">
        <v>808.54</v>
      </c>
    </row>
    <row r="1814" spans="1:2">
      <c r="A1814" t="s">
        <v>2984</v>
      </c>
      <c r="B1814" s="16">
        <v>816.9</v>
      </c>
    </row>
    <row r="1815" spans="1:2">
      <c r="A1815" t="s">
        <v>2985</v>
      </c>
      <c r="B1815" s="16">
        <v>824.86</v>
      </c>
    </row>
    <row r="1816" spans="1:2">
      <c r="A1816" t="s">
        <v>2986</v>
      </c>
      <c r="B1816" s="16">
        <v>824.67</v>
      </c>
    </row>
    <row r="1817" spans="1:2">
      <c r="A1817" t="s">
        <v>2987</v>
      </c>
      <c r="B1817" s="16">
        <v>822.93</v>
      </c>
    </row>
    <row r="1818" spans="1:2">
      <c r="A1818" t="s">
        <v>2988</v>
      </c>
      <c r="B1818" s="16">
        <v>832.13</v>
      </c>
    </row>
    <row r="1819" spans="1:2">
      <c r="A1819" t="s">
        <v>2989</v>
      </c>
      <c r="B1819" s="16">
        <v>834.64</v>
      </c>
    </row>
    <row r="1820" spans="1:2">
      <c r="A1820" t="s">
        <v>2990</v>
      </c>
      <c r="B1820" s="16">
        <v>825.44</v>
      </c>
    </row>
    <row r="1821" spans="1:2">
      <c r="A1821" t="s">
        <v>2991</v>
      </c>
      <c r="B1821" s="16">
        <v>832.61</v>
      </c>
    </row>
    <row r="1822" spans="1:2">
      <c r="A1822" t="s">
        <v>2992</v>
      </c>
      <c r="B1822" s="16">
        <v>837.41</v>
      </c>
    </row>
    <row r="1823" spans="1:2">
      <c r="A1823" t="s">
        <v>2993</v>
      </c>
      <c r="B1823" s="16">
        <v>850.56</v>
      </c>
    </row>
    <row r="1824" spans="1:2">
      <c r="A1824" t="s">
        <v>2994</v>
      </c>
      <c r="B1824" s="16">
        <v>852.04</v>
      </c>
    </row>
    <row r="1825" spans="1:2">
      <c r="A1825" t="s">
        <v>2995</v>
      </c>
      <c r="B1825" s="16">
        <v>849.21</v>
      </c>
    </row>
    <row r="1826" spans="1:2">
      <c r="A1826" t="s">
        <v>2996</v>
      </c>
      <c r="B1826" s="16">
        <v>859.2</v>
      </c>
    </row>
    <row r="1827" spans="1:2">
      <c r="A1827" t="s">
        <v>2997</v>
      </c>
      <c r="B1827" s="16">
        <v>855.25</v>
      </c>
    </row>
    <row r="1828" spans="1:2">
      <c r="A1828" t="s">
        <v>2998</v>
      </c>
      <c r="B1828" s="16">
        <v>852.42</v>
      </c>
    </row>
    <row r="1829" spans="1:2">
      <c r="A1829" t="s">
        <v>2999</v>
      </c>
      <c r="B1829" s="16">
        <v>851.34</v>
      </c>
    </row>
    <row r="1830" spans="1:2">
      <c r="A1830" t="s">
        <v>3000</v>
      </c>
      <c r="B1830" s="16">
        <v>859.99</v>
      </c>
    </row>
    <row r="1831" spans="1:2">
      <c r="A1831" t="s">
        <v>3001</v>
      </c>
      <c r="B1831" s="16">
        <v>860.09</v>
      </c>
    </row>
    <row r="1832" spans="1:2">
      <c r="A1832" t="s">
        <v>3002</v>
      </c>
      <c r="B1832" s="16">
        <v>864.41</v>
      </c>
    </row>
    <row r="1833" spans="1:2">
      <c r="A1833" t="s">
        <v>3003</v>
      </c>
      <c r="B1833" s="16">
        <v>859.49</v>
      </c>
    </row>
    <row r="1834" spans="1:2">
      <c r="A1834" t="s">
        <v>3004</v>
      </c>
      <c r="B1834" s="16">
        <v>855.8</v>
      </c>
    </row>
    <row r="1835" spans="1:2">
      <c r="A1835" t="s">
        <v>3005</v>
      </c>
      <c r="B1835" s="16">
        <v>853.58</v>
      </c>
    </row>
    <row r="1836" spans="1:2">
      <c r="A1836" t="s">
        <v>3006</v>
      </c>
      <c r="B1836" s="16">
        <v>842.06</v>
      </c>
    </row>
    <row r="1837" spans="1:2">
      <c r="A1837" t="s">
        <v>3007</v>
      </c>
      <c r="B1837" s="16">
        <v>842.23</v>
      </c>
    </row>
    <row r="1838" spans="1:2">
      <c r="A1838" t="s">
        <v>3008</v>
      </c>
      <c r="B1838" s="16">
        <v>850.62</v>
      </c>
    </row>
    <row r="1839" spans="1:2">
      <c r="A1839" t="s">
        <v>3009</v>
      </c>
      <c r="B1839" s="16">
        <v>842.25</v>
      </c>
    </row>
    <row r="1840" spans="1:2">
      <c r="A1840" t="s">
        <v>3010</v>
      </c>
      <c r="B1840" s="16">
        <v>846.75</v>
      </c>
    </row>
    <row r="1841" spans="1:2">
      <c r="A1841" t="s">
        <v>3011</v>
      </c>
      <c r="B1841" s="16">
        <v>844.3</v>
      </c>
    </row>
    <row r="1842" spans="1:2">
      <c r="A1842" t="s">
        <v>3012</v>
      </c>
      <c r="B1842" s="16">
        <v>834.3</v>
      </c>
    </row>
    <row r="1843" spans="1:2">
      <c r="A1843" t="s">
        <v>3013</v>
      </c>
      <c r="B1843" s="16">
        <v>842.85</v>
      </c>
    </row>
    <row r="1844" spans="1:2">
      <c r="A1844" t="s">
        <v>3014</v>
      </c>
      <c r="B1844" s="16">
        <v>856.18</v>
      </c>
    </row>
    <row r="1845" spans="1:2">
      <c r="A1845" t="s">
        <v>3015</v>
      </c>
      <c r="B1845" s="16">
        <v>856.55</v>
      </c>
    </row>
    <row r="1846" spans="1:2">
      <c r="A1846" t="s">
        <v>3016</v>
      </c>
      <c r="B1846" s="16">
        <v>849.97</v>
      </c>
    </row>
    <row r="1847" spans="1:2">
      <c r="A1847" t="s">
        <v>3017</v>
      </c>
      <c r="B1847" s="16">
        <v>853.97</v>
      </c>
    </row>
    <row r="1848" spans="1:2">
      <c r="A1848" t="s">
        <v>3018</v>
      </c>
      <c r="B1848" s="16">
        <v>845.1</v>
      </c>
    </row>
    <row r="1849" spans="1:2">
      <c r="A1849" t="s">
        <v>3019</v>
      </c>
      <c r="B1849" s="16">
        <v>828.12</v>
      </c>
    </row>
    <row r="1850" spans="1:2">
      <c r="A1850" t="s">
        <v>3020</v>
      </c>
      <c r="B1850" s="16">
        <v>815.36</v>
      </c>
    </row>
    <row r="1851" spans="1:2">
      <c r="A1851" t="s">
        <v>3021</v>
      </c>
      <c r="B1851" s="16">
        <v>831.08</v>
      </c>
    </row>
    <row r="1852" spans="1:2">
      <c r="A1852" t="s">
        <v>3022</v>
      </c>
      <c r="B1852" s="16">
        <v>825.59</v>
      </c>
    </row>
    <row r="1853" spans="1:2">
      <c r="A1853" t="s">
        <v>3023</v>
      </c>
      <c r="B1853" s="16">
        <v>838.9</v>
      </c>
    </row>
    <row r="1854" spans="1:2">
      <c r="A1854" t="s">
        <v>3024</v>
      </c>
      <c r="B1854" s="16">
        <v>830.23</v>
      </c>
    </row>
    <row r="1855" spans="1:2">
      <c r="A1855" t="s">
        <v>3025</v>
      </c>
      <c r="B1855" s="16">
        <v>833.31</v>
      </c>
    </row>
    <row r="1856" spans="1:2">
      <c r="A1856" t="s">
        <v>3026</v>
      </c>
      <c r="B1856" s="16">
        <v>841.57</v>
      </c>
    </row>
    <row r="1857" spans="1:2">
      <c r="A1857" t="s">
        <v>3027</v>
      </c>
      <c r="B1857" s="16">
        <v>835.82</v>
      </c>
    </row>
    <row r="1858" spans="1:2">
      <c r="A1858" t="s">
        <v>3028</v>
      </c>
      <c r="B1858" s="16">
        <v>836.15</v>
      </c>
    </row>
    <row r="1859" spans="1:2">
      <c r="A1859" t="s">
        <v>3029</v>
      </c>
      <c r="B1859" s="16">
        <v>836.64</v>
      </c>
    </row>
    <row r="1860" spans="1:2">
      <c r="A1860" t="s">
        <v>3030</v>
      </c>
      <c r="B1860" s="16">
        <v>839.42</v>
      </c>
    </row>
    <row r="1861" spans="1:2">
      <c r="A1861" t="s">
        <v>3031</v>
      </c>
      <c r="B1861" s="16">
        <v>834.12</v>
      </c>
    </row>
    <row r="1862" spans="1:2">
      <c r="A1862" t="s">
        <v>3032</v>
      </c>
      <c r="B1862" s="16">
        <v>846.76</v>
      </c>
    </row>
    <row r="1863" spans="1:2">
      <c r="A1863" t="s">
        <v>3033</v>
      </c>
      <c r="B1863" s="16">
        <v>852.06</v>
      </c>
    </row>
    <row r="1864" spans="1:2">
      <c r="A1864" t="s">
        <v>3034</v>
      </c>
      <c r="B1864" s="16">
        <v>861.79</v>
      </c>
    </row>
    <row r="1865" spans="1:2">
      <c r="A1865" t="s">
        <v>3035</v>
      </c>
      <c r="B1865" s="16">
        <v>861.32</v>
      </c>
    </row>
    <row r="1866" spans="1:2">
      <c r="A1866" t="s">
        <v>3036</v>
      </c>
      <c r="B1866" s="16">
        <v>856.32</v>
      </c>
    </row>
    <row r="1867" spans="1:2">
      <c r="A1867" t="s">
        <v>3037</v>
      </c>
      <c r="B1867" s="16">
        <v>855.81</v>
      </c>
    </row>
    <row r="1868" spans="1:2">
      <c r="A1868" t="s">
        <v>3038</v>
      </c>
      <c r="B1868" s="16">
        <v>859.79</v>
      </c>
    </row>
    <row r="1869" spans="1:2">
      <c r="A1869" t="s">
        <v>3039</v>
      </c>
      <c r="B1869" s="16">
        <v>857.47</v>
      </c>
    </row>
    <row r="1870" spans="1:2">
      <c r="A1870" t="s">
        <v>3040</v>
      </c>
      <c r="B1870" s="16">
        <v>853.71</v>
      </c>
    </row>
    <row r="1871" spans="1:2">
      <c r="A1871" t="s">
        <v>3041</v>
      </c>
      <c r="B1871" s="16">
        <v>859.34</v>
      </c>
    </row>
    <row r="1872" spans="1:2">
      <c r="A1872" t="s">
        <v>3042</v>
      </c>
      <c r="B1872" s="16">
        <v>863.26</v>
      </c>
    </row>
    <row r="1873" spans="1:2">
      <c r="A1873" t="s">
        <v>3043</v>
      </c>
      <c r="B1873" s="16">
        <v>864.81</v>
      </c>
    </row>
    <row r="1874" spans="1:2">
      <c r="A1874" t="s">
        <v>3044</v>
      </c>
      <c r="B1874" s="16">
        <v>866.58</v>
      </c>
    </row>
    <row r="1875" spans="1:2">
      <c r="A1875" t="s">
        <v>3045</v>
      </c>
      <c r="B1875" s="16">
        <v>865.87</v>
      </c>
    </row>
    <row r="1876" spans="1:2">
      <c r="A1876" t="s">
        <v>3046</v>
      </c>
      <c r="B1876" s="16">
        <v>860.07</v>
      </c>
    </row>
    <row r="1877" spans="1:2">
      <c r="A1877" t="s">
        <v>3047</v>
      </c>
      <c r="B1877" s="16">
        <v>861.81</v>
      </c>
    </row>
    <row r="1878" spans="1:2">
      <c r="A1878" t="s">
        <v>3048</v>
      </c>
      <c r="B1878" s="16">
        <v>857.91</v>
      </c>
    </row>
    <row r="1879" spans="1:2">
      <c r="A1879" t="s">
        <v>3049</v>
      </c>
      <c r="B1879" s="16">
        <v>850.48</v>
      </c>
    </row>
    <row r="1880" spans="1:2">
      <c r="A1880" t="s">
        <v>3050</v>
      </c>
      <c r="B1880" s="16">
        <v>847.6</v>
      </c>
    </row>
    <row r="1881" spans="1:2">
      <c r="A1881" t="s">
        <v>3051</v>
      </c>
      <c r="B1881" s="16">
        <v>859.09</v>
      </c>
    </row>
    <row r="1882" spans="1:2">
      <c r="A1882" t="s">
        <v>3052</v>
      </c>
      <c r="B1882" s="16">
        <v>862.31</v>
      </c>
    </row>
    <row r="1883" spans="1:2">
      <c r="A1883" t="s">
        <v>3053</v>
      </c>
      <c r="B1883" s="16">
        <v>865.58</v>
      </c>
    </row>
    <row r="1884" spans="1:2">
      <c r="A1884" t="s">
        <v>3054</v>
      </c>
      <c r="B1884" s="16">
        <v>856.54</v>
      </c>
    </row>
    <row r="1885" spans="1:2">
      <c r="A1885" t="s">
        <v>3055</v>
      </c>
      <c r="B1885" s="16">
        <v>850.86</v>
      </c>
    </row>
    <row r="1886" spans="1:2">
      <c r="A1886" t="s">
        <v>3056</v>
      </c>
      <c r="B1886" s="16">
        <v>846.98</v>
      </c>
    </row>
    <row r="1887" spans="1:2">
      <c r="A1887" t="s">
        <v>3057</v>
      </c>
      <c r="B1887" s="16">
        <v>863.35</v>
      </c>
    </row>
    <row r="1888" spans="1:2">
      <c r="A1888" t="s">
        <v>3058</v>
      </c>
      <c r="B1888" s="16">
        <v>863.97</v>
      </c>
    </row>
    <row r="1889" spans="1:2">
      <c r="A1889" t="s">
        <v>3059</v>
      </c>
      <c r="B1889" s="16">
        <v>861.49</v>
      </c>
    </row>
    <row r="1890" spans="1:2">
      <c r="A1890" t="s">
        <v>3060</v>
      </c>
      <c r="B1890" s="16">
        <v>862.99</v>
      </c>
    </row>
    <row r="1891" spans="1:2">
      <c r="A1891" t="s">
        <v>3061</v>
      </c>
      <c r="B1891" s="16">
        <v>863.26</v>
      </c>
    </row>
    <row r="1892" spans="1:2">
      <c r="A1892" t="s">
        <v>3062</v>
      </c>
      <c r="B1892" s="16">
        <v>866.02</v>
      </c>
    </row>
    <row r="1893" spans="1:2">
      <c r="A1893" t="s">
        <v>3063</v>
      </c>
      <c r="B1893" s="16">
        <v>866.51</v>
      </c>
    </row>
    <row r="1894" spans="1:2">
      <c r="A1894" t="s">
        <v>3064</v>
      </c>
      <c r="B1894" s="16">
        <v>864.93</v>
      </c>
    </row>
    <row r="1895" spans="1:2">
      <c r="A1895" t="s">
        <v>3065</v>
      </c>
      <c r="B1895" s="16">
        <v>872.4</v>
      </c>
    </row>
    <row r="1896" spans="1:2">
      <c r="A1896" t="s">
        <v>3066</v>
      </c>
      <c r="B1896" s="16">
        <v>885.18</v>
      </c>
    </row>
    <row r="1897" spans="1:2">
      <c r="A1897" t="s">
        <v>3067</v>
      </c>
      <c r="B1897" s="16">
        <v>886.67</v>
      </c>
    </row>
    <row r="1898" spans="1:2">
      <c r="A1898" t="s">
        <v>3068</v>
      </c>
      <c r="B1898" s="16">
        <v>886.11</v>
      </c>
    </row>
    <row r="1899" spans="1:2">
      <c r="A1899" t="s">
        <v>3069</v>
      </c>
      <c r="B1899" s="16">
        <v>878.97</v>
      </c>
    </row>
    <row r="1900" spans="1:2">
      <c r="A1900" t="s">
        <v>3070</v>
      </c>
      <c r="B1900" s="16">
        <v>868.65</v>
      </c>
    </row>
    <row r="1901" spans="1:2">
      <c r="A1901" t="s">
        <v>3071</v>
      </c>
      <c r="B1901" s="16">
        <v>882.01</v>
      </c>
    </row>
    <row r="1902" spans="1:2">
      <c r="A1902" t="s">
        <v>3072</v>
      </c>
      <c r="B1902" s="16">
        <v>895.99</v>
      </c>
    </row>
    <row r="1903" spans="1:2">
      <c r="A1903" t="s">
        <v>3073</v>
      </c>
      <c r="B1903" s="16">
        <v>893.79</v>
      </c>
    </row>
    <row r="1904" spans="1:2">
      <c r="A1904" t="s">
        <v>3074</v>
      </c>
      <c r="B1904" s="16">
        <v>892.43</v>
      </c>
    </row>
    <row r="1905" spans="1:2">
      <c r="A1905" t="s">
        <v>3075</v>
      </c>
      <c r="B1905" s="16">
        <v>887.34</v>
      </c>
    </row>
    <row r="1906" spans="1:2">
      <c r="A1906" t="s">
        <v>3076</v>
      </c>
      <c r="B1906" s="16">
        <v>894.09</v>
      </c>
    </row>
    <row r="1907" spans="1:2">
      <c r="A1907" t="s">
        <v>3077</v>
      </c>
      <c r="B1907" s="16">
        <v>902.95</v>
      </c>
    </row>
    <row r="1908" spans="1:2">
      <c r="A1908" t="s">
        <v>3078</v>
      </c>
      <c r="B1908" s="16">
        <v>899.59</v>
      </c>
    </row>
    <row r="1909" spans="1:2">
      <c r="A1909" t="s">
        <v>3079</v>
      </c>
      <c r="B1909" s="16">
        <v>900.92</v>
      </c>
    </row>
    <row r="1910" spans="1:2">
      <c r="A1910" t="s">
        <v>3080</v>
      </c>
      <c r="B1910" s="16">
        <v>894.27</v>
      </c>
    </row>
    <row r="1911" spans="1:2">
      <c r="A1911" t="s">
        <v>3081</v>
      </c>
      <c r="B1911" s="16">
        <v>895.78</v>
      </c>
    </row>
    <row r="1912" spans="1:2">
      <c r="A1912" t="s">
        <v>3082</v>
      </c>
      <c r="B1912" s="16">
        <v>897.71</v>
      </c>
    </row>
    <row r="1913" spans="1:2">
      <c r="A1913" t="s">
        <v>3083</v>
      </c>
      <c r="B1913" s="16">
        <v>905.9</v>
      </c>
    </row>
    <row r="1914" spans="1:2">
      <c r="A1914" t="s">
        <v>3084</v>
      </c>
      <c r="B1914" s="16">
        <v>908.55</v>
      </c>
    </row>
    <row r="1915" spans="1:2">
      <c r="A1915" t="s">
        <v>3085</v>
      </c>
      <c r="B1915" s="16">
        <v>910.58</v>
      </c>
    </row>
    <row r="1916" spans="1:2">
      <c r="A1916" t="s">
        <v>3086</v>
      </c>
      <c r="B1916" s="16">
        <v>912.52</v>
      </c>
    </row>
    <row r="1917" spans="1:2">
      <c r="A1917" t="s">
        <v>3087</v>
      </c>
      <c r="B1917" s="16">
        <v>910.65</v>
      </c>
    </row>
    <row r="1918" spans="1:2">
      <c r="A1918" t="s">
        <v>3088</v>
      </c>
      <c r="B1918" s="16">
        <v>908.08</v>
      </c>
    </row>
    <row r="1919" spans="1:2">
      <c r="A1919" t="s">
        <v>3089</v>
      </c>
      <c r="B1919" s="16">
        <v>905.76</v>
      </c>
    </row>
    <row r="1920" spans="1:2">
      <c r="A1920" t="s">
        <v>3090</v>
      </c>
      <c r="B1920" s="16">
        <v>896.76</v>
      </c>
    </row>
    <row r="1921" spans="1:2">
      <c r="A1921" t="s">
        <v>3091</v>
      </c>
      <c r="B1921" s="16">
        <v>897.31</v>
      </c>
    </row>
    <row r="1922" spans="1:2">
      <c r="A1922" t="s">
        <v>3092</v>
      </c>
      <c r="B1922" s="16">
        <v>894.47</v>
      </c>
    </row>
    <row r="1923" spans="1:2">
      <c r="A1923" t="s">
        <v>3093</v>
      </c>
      <c r="B1923" s="16">
        <v>889.76</v>
      </c>
    </row>
    <row r="1924" spans="1:2">
      <c r="A1924" t="s">
        <v>3094</v>
      </c>
      <c r="B1924" s="16">
        <v>896.06</v>
      </c>
    </row>
    <row r="1925" spans="1:2">
      <c r="A1925" t="s">
        <v>3095</v>
      </c>
      <c r="B1925" s="16">
        <v>902.15</v>
      </c>
    </row>
    <row r="1926" spans="1:2">
      <c r="A1926" t="s">
        <v>3096</v>
      </c>
      <c r="B1926" s="16">
        <v>906.64</v>
      </c>
    </row>
    <row r="1927" spans="1:2">
      <c r="A1927" t="s">
        <v>3097</v>
      </c>
      <c r="B1927" s="16">
        <v>916.86</v>
      </c>
    </row>
    <row r="1928" spans="1:2">
      <c r="A1928" t="s">
        <v>3098</v>
      </c>
      <c r="B1928" s="16">
        <v>915.84</v>
      </c>
    </row>
    <row r="1929" spans="1:2">
      <c r="A1929" t="s">
        <v>3099</v>
      </c>
      <c r="B1929" s="16">
        <v>914.98</v>
      </c>
    </row>
    <row r="1930" spans="1:2">
      <c r="A1930" t="s">
        <v>3100</v>
      </c>
      <c r="B1930" s="16">
        <v>910.96</v>
      </c>
    </row>
    <row r="1931" spans="1:2">
      <c r="A1931" t="s">
        <v>3101</v>
      </c>
      <c r="B1931" s="16">
        <v>898.36</v>
      </c>
    </row>
    <row r="1932" spans="1:2">
      <c r="A1932" t="s">
        <v>3102</v>
      </c>
      <c r="B1932" s="16">
        <v>892.19</v>
      </c>
    </row>
    <row r="1933" spans="1:2">
      <c r="A1933" t="s">
        <v>3103</v>
      </c>
      <c r="B1933" s="16">
        <v>891.7</v>
      </c>
    </row>
    <row r="1934" spans="1:2">
      <c r="A1934" t="s">
        <v>3104</v>
      </c>
      <c r="B1934" s="16">
        <v>894.68</v>
      </c>
    </row>
    <row r="1935" spans="1:2">
      <c r="A1935" t="s">
        <v>3105</v>
      </c>
      <c r="B1935" s="16">
        <v>899.95</v>
      </c>
    </row>
    <row r="1936" spans="1:2">
      <c r="A1936" t="s">
        <v>3106</v>
      </c>
      <c r="B1936" s="16">
        <v>904.41</v>
      </c>
    </row>
    <row r="1937" spans="1:2">
      <c r="A1937" t="s">
        <v>3107</v>
      </c>
      <c r="B1937" s="16">
        <v>904.67</v>
      </c>
    </row>
    <row r="1938" spans="1:2">
      <c r="A1938" t="s">
        <v>3108</v>
      </c>
      <c r="B1938" s="16">
        <v>904.75</v>
      </c>
    </row>
    <row r="1939" spans="1:2">
      <c r="A1939" t="s">
        <v>3109</v>
      </c>
      <c r="B1939" s="16">
        <v>911.09</v>
      </c>
    </row>
    <row r="1940" spans="1:2">
      <c r="A1940" t="s">
        <v>3110</v>
      </c>
      <c r="B1940" s="16">
        <v>912.33</v>
      </c>
    </row>
    <row r="1941" spans="1:2">
      <c r="A1941" t="s">
        <v>3111</v>
      </c>
      <c r="B1941" s="16">
        <v>910.32</v>
      </c>
    </row>
    <row r="1942" spans="1:2">
      <c r="A1942" t="s">
        <v>3112</v>
      </c>
      <c r="B1942" s="16">
        <v>912.88</v>
      </c>
    </row>
    <row r="1943" spans="1:2">
      <c r="A1943" t="s">
        <v>3113</v>
      </c>
      <c r="B1943" s="16">
        <v>915.25</v>
      </c>
    </row>
    <row r="1944" spans="1:2">
      <c r="A1944" t="s">
        <v>3114</v>
      </c>
      <c r="B1944" s="16">
        <v>921.93</v>
      </c>
    </row>
    <row r="1945" spans="1:2">
      <c r="A1945" t="s">
        <v>3115</v>
      </c>
      <c r="B1945" s="16">
        <v>913.92</v>
      </c>
    </row>
    <row r="1946" spans="1:2">
      <c r="A1946" t="s">
        <v>3116</v>
      </c>
      <c r="B1946" s="16">
        <v>922.91</v>
      </c>
    </row>
    <row r="1947" spans="1:2">
      <c r="A1947" t="s">
        <v>3117</v>
      </c>
      <c r="B1947" s="16">
        <v>926.54</v>
      </c>
    </row>
    <row r="1948" spans="1:2">
      <c r="A1948" t="s">
        <v>3118</v>
      </c>
      <c r="B1948" s="16">
        <v>925.96</v>
      </c>
    </row>
    <row r="1949" spans="1:2">
      <c r="A1949" t="s">
        <v>3119</v>
      </c>
      <c r="B1949" s="16">
        <v>923.02</v>
      </c>
    </row>
    <row r="1950" spans="1:2">
      <c r="A1950" t="s">
        <v>3120</v>
      </c>
      <c r="B1950" s="16">
        <v>910.33</v>
      </c>
    </row>
    <row r="1951" spans="1:2">
      <c r="A1951" t="s">
        <v>3121</v>
      </c>
      <c r="B1951" s="16">
        <v>904.13</v>
      </c>
    </row>
    <row r="1952" spans="1:2">
      <c r="A1952" t="s">
        <v>3122</v>
      </c>
      <c r="B1952" s="16">
        <v>896.8</v>
      </c>
    </row>
    <row r="1953" spans="1:2">
      <c r="A1953" t="s">
        <v>3123</v>
      </c>
      <c r="B1953" s="16">
        <v>900.73</v>
      </c>
    </row>
    <row r="1954" spans="1:2">
      <c r="A1954" t="s">
        <v>3124</v>
      </c>
      <c r="B1954" s="16">
        <v>894.16</v>
      </c>
    </row>
    <row r="1955" spans="1:2">
      <c r="A1955" t="s">
        <v>3125</v>
      </c>
      <c r="B1955" s="16">
        <v>889.56</v>
      </c>
    </row>
    <row r="1956" spans="1:2">
      <c r="A1956" t="s">
        <v>3126</v>
      </c>
      <c r="B1956" s="16">
        <v>894.45</v>
      </c>
    </row>
    <row r="1957" spans="1:2">
      <c r="A1957" t="s">
        <v>3127</v>
      </c>
      <c r="B1957" s="16">
        <v>890.01</v>
      </c>
    </row>
    <row r="1958" spans="1:2">
      <c r="A1958" t="s">
        <v>3128</v>
      </c>
      <c r="B1958" s="16">
        <v>899.7</v>
      </c>
    </row>
    <row r="1959" spans="1:2">
      <c r="A1959" t="s">
        <v>3129</v>
      </c>
      <c r="B1959" s="16">
        <v>889.89</v>
      </c>
    </row>
    <row r="1960" spans="1:2">
      <c r="A1960" t="s">
        <v>3130</v>
      </c>
      <c r="B1960" s="16">
        <v>887.71</v>
      </c>
    </row>
    <row r="1961" spans="1:2">
      <c r="A1961" t="s">
        <v>3131</v>
      </c>
      <c r="B1961" s="16">
        <v>881.36</v>
      </c>
    </row>
    <row r="1962" spans="1:2">
      <c r="A1962" t="s">
        <v>3132</v>
      </c>
      <c r="B1962" s="16">
        <v>881.3</v>
      </c>
    </row>
    <row r="1963" spans="1:2">
      <c r="A1963" t="s">
        <v>3133</v>
      </c>
      <c r="B1963" s="16">
        <v>887.47</v>
      </c>
    </row>
    <row r="1964" spans="1:2">
      <c r="A1964" t="s">
        <v>3134</v>
      </c>
      <c r="B1964" s="16">
        <v>891.39</v>
      </c>
    </row>
    <row r="1965" spans="1:2">
      <c r="A1965" t="s">
        <v>3135</v>
      </c>
      <c r="B1965" s="16">
        <v>899.87</v>
      </c>
    </row>
    <row r="1966" spans="1:2">
      <c r="A1966" t="s">
        <v>3136</v>
      </c>
      <c r="B1966" s="16">
        <v>888.63</v>
      </c>
    </row>
    <row r="1967" spans="1:2">
      <c r="A1967" t="s">
        <v>3137</v>
      </c>
      <c r="B1967" s="16">
        <v>894.91</v>
      </c>
    </row>
    <row r="1968" spans="1:2">
      <c r="A1968" t="s">
        <v>3138</v>
      </c>
      <c r="B1968" s="16">
        <v>901.21</v>
      </c>
    </row>
    <row r="1969" spans="1:2">
      <c r="A1969" t="s">
        <v>3139</v>
      </c>
      <c r="B1969" s="16">
        <v>912.04</v>
      </c>
    </row>
    <row r="1970" spans="1:2">
      <c r="A1970" t="s">
        <v>3140</v>
      </c>
      <c r="B1970" s="16">
        <v>909.36</v>
      </c>
    </row>
    <row r="1971" spans="1:2">
      <c r="A1971" t="s">
        <v>3141</v>
      </c>
      <c r="B1971" s="16">
        <v>910.31</v>
      </c>
    </row>
    <row r="1972" spans="1:2">
      <c r="A1972" t="s">
        <v>3142</v>
      </c>
      <c r="B1972" s="16">
        <v>912.04</v>
      </c>
    </row>
    <row r="1973" spans="1:2">
      <c r="A1973" t="s">
        <v>3143</v>
      </c>
      <c r="B1973" s="16">
        <v>914.87</v>
      </c>
    </row>
    <row r="1974" spans="1:2">
      <c r="A1974" t="s">
        <v>3144</v>
      </c>
      <c r="B1974" s="16">
        <v>906.47</v>
      </c>
    </row>
    <row r="1975" spans="1:2">
      <c r="A1975" t="s">
        <v>3145</v>
      </c>
      <c r="B1975" s="16">
        <v>899.84</v>
      </c>
    </row>
    <row r="1976" spans="1:2">
      <c r="A1976" t="s">
        <v>3146</v>
      </c>
      <c r="B1976" s="16">
        <v>900.6</v>
      </c>
    </row>
    <row r="1977" spans="1:2">
      <c r="A1977" t="s">
        <v>3147</v>
      </c>
      <c r="B1977" s="16">
        <v>902.7</v>
      </c>
    </row>
    <row r="1978" spans="1:2">
      <c r="A1978" t="s">
        <v>3148</v>
      </c>
      <c r="B1978" s="16">
        <v>898.36</v>
      </c>
    </row>
    <row r="1979" spans="1:2">
      <c r="A1979" t="s">
        <v>3149</v>
      </c>
      <c r="B1979" s="16">
        <v>897.52</v>
      </c>
    </row>
    <row r="1980" spans="1:2">
      <c r="A1980" t="s">
        <v>3150</v>
      </c>
      <c r="B1980" s="16">
        <v>909.56</v>
      </c>
    </row>
    <row r="1981" spans="1:2">
      <c r="A1981" t="s">
        <v>3151</v>
      </c>
      <c r="B1981" s="16">
        <v>902.29</v>
      </c>
    </row>
    <row r="1982" spans="1:2">
      <c r="A1982" t="s">
        <v>3152</v>
      </c>
      <c r="B1982" s="16">
        <v>897.71</v>
      </c>
    </row>
    <row r="1983" spans="1:2">
      <c r="A1983" t="s">
        <v>3153</v>
      </c>
      <c r="B1983" s="16">
        <v>896.52</v>
      </c>
    </row>
    <row r="1984" spans="1:2">
      <c r="A1984" t="s">
        <v>3154</v>
      </c>
      <c r="B1984" s="16">
        <v>893.03</v>
      </c>
    </row>
    <row r="1985" spans="1:2">
      <c r="A1985" t="s">
        <v>3155</v>
      </c>
      <c r="B1985" s="16">
        <v>884.41</v>
      </c>
    </row>
    <row r="1986" spans="1:2">
      <c r="A1986" t="s">
        <v>3156</v>
      </c>
      <c r="B1986" s="16">
        <v>882.04</v>
      </c>
    </row>
    <row r="1987" spans="1:2">
      <c r="A1987" t="s">
        <v>3157</v>
      </c>
      <c r="B1987" s="16">
        <v>884.2</v>
      </c>
    </row>
    <row r="1988" spans="1:2">
      <c r="A1988" t="s">
        <v>3158</v>
      </c>
      <c r="B1988" s="16">
        <v>872.66</v>
      </c>
    </row>
    <row r="1989" spans="1:2">
      <c r="A1989" t="s">
        <v>3159</v>
      </c>
      <c r="B1989" s="16">
        <v>873.94</v>
      </c>
    </row>
    <row r="1990" spans="1:2">
      <c r="A1990" t="s">
        <v>3160</v>
      </c>
      <c r="B1990" s="16">
        <v>877.08</v>
      </c>
    </row>
    <row r="1991" spans="1:2">
      <c r="A1991" t="s">
        <v>3161</v>
      </c>
      <c r="B1991" s="16">
        <v>877.84</v>
      </c>
    </row>
    <row r="1992" spans="1:2">
      <c r="A1992" t="s">
        <v>3162</v>
      </c>
      <c r="B1992" s="16">
        <v>881.83</v>
      </c>
    </row>
    <row r="1993" spans="1:2">
      <c r="A1993" t="s">
        <v>3163</v>
      </c>
      <c r="B1993" s="16">
        <v>871.26</v>
      </c>
    </row>
    <row r="1994" spans="1:2">
      <c r="A1994" t="s">
        <v>3164</v>
      </c>
      <c r="B1994" s="16">
        <v>876.56</v>
      </c>
    </row>
    <row r="1995" spans="1:2">
      <c r="A1995" t="s">
        <v>3165</v>
      </c>
      <c r="B1995" s="16">
        <v>875.71</v>
      </c>
    </row>
    <row r="1996" spans="1:2">
      <c r="A1996" t="s">
        <v>3166</v>
      </c>
      <c r="B1996" s="16">
        <v>886.38</v>
      </c>
    </row>
    <row r="1997" spans="1:2">
      <c r="A1997" t="s">
        <v>3167</v>
      </c>
      <c r="B1997" s="16">
        <v>883.66</v>
      </c>
    </row>
    <row r="1998" spans="1:2">
      <c r="A1998" t="s">
        <v>3168</v>
      </c>
      <c r="B1998" s="16">
        <v>891.11</v>
      </c>
    </row>
    <row r="1999" spans="1:2">
      <c r="A1999" t="s">
        <v>3169</v>
      </c>
      <c r="B1999" s="16">
        <v>892.07</v>
      </c>
    </row>
    <row r="2000" spans="1:2">
      <c r="A2000" t="s">
        <v>3170</v>
      </c>
      <c r="B2000" s="16">
        <v>894.8</v>
      </c>
    </row>
    <row r="2001" spans="1:2">
      <c r="A2001" t="s">
        <v>3171</v>
      </c>
      <c r="B2001" s="16">
        <v>885.7</v>
      </c>
    </row>
    <row r="2002" spans="1:2">
      <c r="A2002" t="s">
        <v>3172</v>
      </c>
      <c r="B2002" s="16">
        <v>888.09</v>
      </c>
    </row>
    <row r="2003" spans="1:2">
      <c r="A2003" t="s">
        <v>3173</v>
      </c>
      <c r="B2003" s="16">
        <v>883.76</v>
      </c>
    </row>
    <row r="2004" spans="1:2">
      <c r="A2004" t="s">
        <v>3174</v>
      </c>
      <c r="B2004" s="16">
        <v>872.87</v>
      </c>
    </row>
    <row r="2005" spans="1:2">
      <c r="A2005" t="s">
        <v>3175</v>
      </c>
      <c r="B2005" s="16">
        <v>866.51</v>
      </c>
    </row>
    <row r="2006" spans="1:2">
      <c r="A2006" t="s">
        <v>3176</v>
      </c>
      <c r="B2006" s="16">
        <v>852.32</v>
      </c>
    </row>
    <row r="2007" spans="1:2">
      <c r="A2007" t="s">
        <v>3177</v>
      </c>
      <c r="B2007" s="16">
        <v>851.48</v>
      </c>
    </row>
    <row r="2008" spans="1:2">
      <c r="A2008" t="s">
        <v>3178</v>
      </c>
      <c r="B2008" s="16">
        <v>857.81</v>
      </c>
    </row>
    <row r="2009" spans="1:2">
      <c r="A2009" t="s">
        <v>3179</v>
      </c>
      <c r="B2009" s="16">
        <v>855.98</v>
      </c>
    </row>
    <row r="2010" spans="1:2">
      <c r="A2010" t="s">
        <v>3180</v>
      </c>
      <c r="B2010" s="16">
        <v>848.35</v>
      </c>
    </row>
    <row r="2011" spans="1:2">
      <c r="A2011" t="s">
        <v>3181</v>
      </c>
      <c r="B2011" s="16">
        <v>840.34</v>
      </c>
    </row>
    <row r="2012" spans="1:2">
      <c r="A2012" t="s">
        <v>3182</v>
      </c>
      <c r="B2012" s="16">
        <v>843.89</v>
      </c>
    </row>
    <row r="2013" spans="1:2">
      <c r="A2013" t="s">
        <v>3183</v>
      </c>
      <c r="B2013" s="16">
        <v>852.53</v>
      </c>
    </row>
    <row r="2014" spans="1:2">
      <c r="A2014" t="s">
        <v>3184</v>
      </c>
      <c r="B2014" s="16">
        <v>864.38</v>
      </c>
    </row>
    <row r="2015" spans="1:2">
      <c r="A2015" t="s">
        <v>3185</v>
      </c>
      <c r="B2015" s="16">
        <v>876.32</v>
      </c>
    </row>
    <row r="2016" spans="1:2">
      <c r="A2016" t="s">
        <v>3186</v>
      </c>
      <c r="B2016" s="16">
        <v>876.79</v>
      </c>
    </row>
    <row r="2017" spans="1:2">
      <c r="A2017" t="s">
        <v>3187</v>
      </c>
      <c r="B2017" s="16">
        <v>876.32</v>
      </c>
    </row>
    <row r="2018" spans="1:2">
      <c r="A2018" t="s">
        <v>3188</v>
      </c>
      <c r="B2018" s="16">
        <v>882.9</v>
      </c>
    </row>
    <row r="2019" spans="1:2">
      <c r="A2019" t="s">
        <v>3189</v>
      </c>
      <c r="B2019" s="16">
        <v>886.16</v>
      </c>
    </row>
    <row r="2020" spans="1:2">
      <c r="A2020" t="s">
        <v>3190</v>
      </c>
      <c r="B2020" s="16">
        <v>885.65</v>
      </c>
    </row>
    <row r="2021" spans="1:2">
      <c r="A2021" t="s">
        <v>3191</v>
      </c>
      <c r="B2021" s="16">
        <v>895.14</v>
      </c>
    </row>
    <row r="2022" spans="1:2">
      <c r="A2022" t="s">
        <v>3192</v>
      </c>
      <c r="B2022" s="16">
        <v>895.23</v>
      </c>
    </row>
    <row r="2023" spans="1:2">
      <c r="A2023" t="s">
        <v>3193</v>
      </c>
      <c r="B2023" s="16">
        <v>902.76</v>
      </c>
    </row>
    <row r="2024" spans="1:2">
      <c r="A2024" t="s">
        <v>3194</v>
      </c>
      <c r="B2024" s="16">
        <v>904.61</v>
      </c>
    </row>
    <row r="2025" spans="1:2">
      <c r="A2025" t="s">
        <v>3195</v>
      </c>
      <c r="B2025" s="16">
        <v>906.18</v>
      </c>
    </row>
    <row r="2026" spans="1:2">
      <c r="A2026" t="s">
        <v>3196</v>
      </c>
      <c r="B2026" s="16">
        <v>908.32</v>
      </c>
    </row>
    <row r="2027" spans="1:2">
      <c r="A2027" t="s">
        <v>3197</v>
      </c>
      <c r="B2027" s="16">
        <v>912.03</v>
      </c>
    </row>
    <row r="2028" spans="1:2">
      <c r="A2028" t="s">
        <v>3198</v>
      </c>
      <c r="B2028" s="16">
        <v>909.66</v>
      </c>
    </row>
    <row r="2029" spans="1:2">
      <c r="A2029" t="s">
        <v>3199</v>
      </c>
      <c r="B2029" s="16">
        <v>915.88</v>
      </c>
    </row>
    <row r="2030" spans="1:2">
      <c r="A2030" t="s">
        <v>3200</v>
      </c>
      <c r="B2030" s="16">
        <v>913.78</v>
      </c>
    </row>
    <row r="2031" spans="1:2">
      <c r="A2031" t="s">
        <v>3201</v>
      </c>
      <c r="B2031" s="16">
        <v>912</v>
      </c>
    </row>
    <row r="2032" spans="1:2">
      <c r="A2032" t="s">
        <v>3202</v>
      </c>
      <c r="B2032" s="16">
        <v>910.49</v>
      </c>
    </row>
    <row r="2033" spans="1:2">
      <c r="A2033" t="s">
        <v>3203</v>
      </c>
      <c r="B2033" s="16">
        <v>913.68</v>
      </c>
    </row>
    <row r="2034" spans="1:2">
      <c r="A2034" t="s">
        <v>3204</v>
      </c>
      <c r="B2034" s="16">
        <v>918.59</v>
      </c>
    </row>
    <row r="2035" spans="1:2">
      <c r="A2035" t="s">
        <v>3205</v>
      </c>
      <c r="B2035" s="16">
        <v>927.02</v>
      </c>
    </row>
    <row r="2036" spans="1:2">
      <c r="A2036" t="s">
        <v>3206</v>
      </c>
      <c r="B2036" s="16">
        <v>923.16</v>
      </c>
    </row>
    <row r="2037" spans="1:2">
      <c r="A2037" t="s">
        <v>3207</v>
      </c>
      <c r="B2037" s="16">
        <v>929.76</v>
      </c>
    </row>
    <row r="2038" spans="1:2">
      <c r="A2038" t="s">
        <v>3208</v>
      </c>
      <c r="B2038" s="16">
        <v>929.57</v>
      </c>
    </row>
    <row r="2039" spans="1:2">
      <c r="A2039" t="s">
        <v>3209</v>
      </c>
      <c r="B2039" s="16">
        <v>933.13</v>
      </c>
    </row>
    <row r="2040" spans="1:2">
      <c r="A2040" t="s">
        <v>3210</v>
      </c>
      <c r="B2040" s="16">
        <v>940.51</v>
      </c>
    </row>
    <row r="2041" spans="1:2">
      <c r="A2041" t="s">
        <v>3211</v>
      </c>
      <c r="B2041" s="16">
        <v>943.83</v>
      </c>
    </row>
    <row r="2042" spans="1:2">
      <c r="A2042" t="s">
        <v>3212</v>
      </c>
      <c r="B2042" s="16">
        <v>945.25</v>
      </c>
    </row>
    <row r="2043" spans="1:2">
      <c r="A2043" t="s">
        <v>3213</v>
      </c>
      <c r="B2043" s="16">
        <v>948.85</v>
      </c>
    </row>
    <row r="2044" spans="1:2">
      <c r="A2044" t="s">
        <v>3214</v>
      </c>
      <c r="B2044" s="16">
        <v>941.26</v>
      </c>
    </row>
    <row r="2045" spans="1:2">
      <c r="A2045" t="s">
        <v>3215</v>
      </c>
      <c r="B2045" s="16">
        <v>947.48</v>
      </c>
    </row>
    <row r="2046" spans="1:2">
      <c r="A2046" t="s">
        <v>3216</v>
      </c>
      <c r="B2046" s="16">
        <v>945.52</v>
      </c>
    </row>
    <row r="2047" spans="1:2">
      <c r="A2047" t="s">
        <v>3217</v>
      </c>
      <c r="B2047" s="16">
        <v>945.49</v>
      </c>
    </row>
    <row r="2048" spans="1:2">
      <c r="A2048" t="s">
        <v>3218</v>
      </c>
      <c r="B2048" s="16">
        <v>938.54</v>
      </c>
    </row>
    <row r="2049" spans="1:2">
      <c r="A2049" t="s">
        <v>3219</v>
      </c>
      <c r="B2049" s="16">
        <v>942.49</v>
      </c>
    </row>
    <row r="2050" spans="1:2">
      <c r="A2050" t="s">
        <v>3220</v>
      </c>
      <c r="B2050" s="16">
        <v>942.53</v>
      </c>
    </row>
    <row r="2051" spans="1:2">
      <c r="A2051" t="s">
        <v>3221</v>
      </c>
      <c r="B2051" s="16">
        <v>941.15</v>
      </c>
    </row>
    <row r="2052" spans="1:2">
      <c r="A2052" t="s">
        <v>3222</v>
      </c>
      <c r="B2052" s="16">
        <v>940.27</v>
      </c>
    </row>
    <row r="2053" spans="1:2">
      <c r="A2053" t="s">
        <v>3223</v>
      </c>
      <c r="B2053" s="16">
        <v>941.79</v>
      </c>
    </row>
    <row r="2054" spans="1:2">
      <c r="A2054" t="s">
        <v>3224</v>
      </c>
      <c r="B2054" s="16">
        <v>940.35</v>
      </c>
    </row>
    <row r="2055" spans="1:2">
      <c r="A2055" t="s">
        <v>3225</v>
      </c>
      <c r="B2055" s="16">
        <v>932.69</v>
      </c>
    </row>
    <row r="2056" spans="1:2">
      <c r="A2056" t="s">
        <v>3226</v>
      </c>
      <c r="B2056" s="16">
        <v>932.02</v>
      </c>
    </row>
    <row r="2057" spans="1:2">
      <c r="A2057" t="s">
        <v>3227</v>
      </c>
      <c r="B2057" s="16">
        <v>931.26</v>
      </c>
    </row>
    <row r="2058" spans="1:2">
      <c r="A2058" t="s">
        <v>3228</v>
      </c>
      <c r="B2058" s="16">
        <v>943.4</v>
      </c>
    </row>
    <row r="2059" spans="1:2">
      <c r="A2059" t="s">
        <v>3229</v>
      </c>
      <c r="B2059" s="16">
        <v>944.2</v>
      </c>
    </row>
    <row r="2060" spans="1:2">
      <c r="A2060" t="s">
        <v>3230</v>
      </c>
      <c r="B2060" s="16">
        <v>944.15</v>
      </c>
    </row>
    <row r="2061" spans="1:2">
      <c r="A2061" t="s">
        <v>3231</v>
      </c>
      <c r="B2061" s="16">
        <v>941.64</v>
      </c>
    </row>
    <row r="2062" spans="1:2">
      <c r="A2062" t="s">
        <v>3232</v>
      </c>
      <c r="B2062" s="16">
        <v>943.66</v>
      </c>
    </row>
    <row r="2063" spans="1:2">
      <c r="A2063" t="s">
        <v>3233</v>
      </c>
      <c r="B2063" s="16">
        <v>946.18</v>
      </c>
    </row>
    <row r="2064" spans="1:2">
      <c r="A2064" t="s">
        <v>3234</v>
      </c>
      <c r="B2064" s="16">
        <v>942.55</v>
      </c>
    </row>
    <row r="2065" spans="1:2">
      <c r="A2065" t="s">
        <v>3235</v>
      </c>
      <c r="B2065" s="16">
        <v>953.58</v>
      </c>
    </row>
    <row r="2066" spans="1:2">
      <c r="A2066" t="s">
        <v>3236</v>
      </c>
      <c r="B2066" s="16">
        <v>961.42</v>
      </c>
    </row>
    <row r="2067" spans="1:2">
      <c r="A2067" t="s">
        <v>3237</v>
      </c>
      <c r="B2067" s="16">
        <v>966.68</v>
      </c>
    </row>
    <row r="2068" spans="1:2">
      <c r="A2068" t="s">
        <v>3238</v>
      </c>
      <c r="B2068" s="16">
        <v>969.46</v>
      </c>
    </row>
    <row r="2069" spans="1:2">
      <c r="A2069" t="s">
        <v>3239</v>
      </c>
      <c r="B2069" s="16">
        <v>976.58</v>
      </c>
    </row>
    <row r="2070" spans="1:2">
      <c r="A2070" t="s">
        <v>3240</v>
      </c>
      <c r="B2070" s="16">
        <v>982.2</v>
      </c>
    </row>
    <row r="2071" spans="1:2">
      <c r="A2071" t="s">
        <v>3241</v>
      </c>
      <c r="B2071" s="16">
        <v>979.15</v>
      </c>
    </row>
    <row r="2072" spans="1:2">
      <c r="A2072" t="s">
        <v>3242</v>
      </c>
      <c r="B2072" s="16">
        <v>986.49</v>
      </c>
    </row>
    <row r="2073" spans="1:2">
      <c r="A2073" t="s">
        <v>3243</v>
      </c>
      <c r="B2073" s="16">
        <v>984.66</v>
      </c>
    </row>
    <row r="2074" spans="1:2">
      <c r="A2074" t="s">
        <v>3244</v>
      </c>
      <c r="B2074" s="16">
        <v>974.46</v>
      </c>
    </row>
    <row r="2075" spans="1:2">
      <c r="A2075" t="s">
        <v>3245</v>
      </c>
      <c r="B2075" s="16">
        <v>980.18</v>
      </c>
    </row>
    <row r="2076" spans="1:2">
      <c r="A2076" t="s">
        <v>3246</v>
      </c>
      <c r="B2076" s="16">
        <v>986.39</v>
      </c>
    </row>
    <row r="2077" spans="1:2">
      <c r="A2077" t="s">
        <v>3247</v>
      </c>
      <c r="B2077" s="16">
        <v>990.97</v>
      </c>
    </row>
    <row r="2078" spans="1:2">
      <c r="A2078" t="s">
        <v>3248</v>
      </c>
      <c r="B2078" s="16">
        <v>991.61</v>
      </c>
    </row>
    <row r="2079" spans="1:2">
      <c r="A2079" t="s">
        <v>3249</v>
      </c>
      <c r="B2079" s="16">
        <v>994.88</v>
      </c>
    </row>
    <row r="2080" spans="1:2">
      <c r="A2080" t="s">
        <v>3250</v>
      </c>
      <c r="B2080" s="16">
        <v>994.62</v>
      </c>
    </row>
    <row r="2081" spans="1:2">
      <c r="A2081" t="s">
        <v>3251</v>
      </c>
      <c r="B2081" s="16">
        <v>998.85</v>
      </c>
    </row>
    <row r="2082" spans="1:2">
      <c r="A2082" t="s">
        <v>3252</v>
      </c>
      <c r="B2082" s="16">
        <v>1000.27</v>
      </c>
    </row>
    <row r="2083" spans="1:2">
      <c r="A2083" t="s">
        <v>3253</v>
      </c>
      <c r="B2083" s="16">
        <v>991.09</v>
      </c>
    </row>
    <row r="2084" spans="1:2">
      <c r="A2084" t="s">
        <v>3254</v>
      </c>
      <c r="B2084" s="16">
        <v>997.67</v>
      </c>
    </row>
    <row r="2085" spans="1:2">
      <c r="A2085" t="s">
        <v>3255</v>
      </c>
      <c r="B2085" s="16">
        <v>1000</v>
      </c>
    </row>
    <row r="2086" spans="1:2">
      <c r="A2086" t="s">
        <v>3256</v>
      </c>
      <c r="B2086" s="16">
        <v>999.53</v>
      </c>
    </row>
    <row r="2087" spans="1:2">
      <c r="A2087" t="s">
        <v>3257</v>
      </c>
      <c r="B2087" s="16">
        <v>989.29</v>
      </c>
    </row>
    <row r="2088" spans="1:2">
      <c r="A2088" t="s">
        <v>3258</v>
      </c>
      <c r="B2088" s="16">
        <v>989.26</v>
      </c>
    </row>
    <row r="2089" spans="1:2">
      <c r="A2089" t="s">
        <v>3259</v>
      </c>
      <c r="B2089" s="16">
        <v>1014.15</v>
      </c>
    </row>
    <row r="2090" spans="1:2">
      <c r="A2090" t="s">
        <v>3260</v>
      </c>
      <c r="B2090" s="16">
        <v>1012.74</v>
      </c>
    </row>
    <row r="2091" spans="1:2">
      <c r="A2091" t="s">
        <v>3261</v>
      </c>
      <c r="B2091" s="16">
        <v>1009.12</v>
      </c>
    </row>
    <row r="2092" spans="1:2">
      <c r="A2092" t="s">
        <v>3262</v>
      </c>
      <c r="B2092" s="16">
        <v>1011.31</v>
      </c>
    </row>
    <row r="2093" spans="1:2">
      <c r="A2093" t="s">
        <v>3263</v>
      </c>
      <c r="B2093" s="16">
        <v>1009.53</v>
      </c>
    </row>
    <row r="2094" spans="1:2">
      <c r="A2094" t="s">
        <v>3264</v>
      </c>
      <c r="B2094" s="16">
        <v>1013.59</v>
      </c>
    </row>
    <row r="2095" spans="1:2">
      <c r="A2095" t="s">
        <v>3265</v>
      </c>
      <c r="B2095" s="16">
        <v>1022.13</v>
      </c>
    </row>
    <row r="2096" spans="1:2">
      <c r="A2096" t="s">
        <v>3266</v>
      </c>
      <c r="B2096" s="16">
        <v>1021.78</v>
      </c>
    </row>
    <row r="2097" spans="1:2">
      <c r="A2097" t="s">
        <v>3267</v>
      </c>
      <c r="B2097" s="16">
        <v>1011.55</v>
      </c>
    </row>
    <row r="2098" spans="1:2">
      <c r="A2098" t="s">
        <v>3268</v>
      </c>
      <c r="B2098" s="16">
        <v>1014.72</v>
      </c>
    </row>
    <row r="2099" spans="1:2">
      <c r="A2099" t="s">
        <v>3269</v>
      </c>
      <c r="B2099" s="16">
        <v>1027.69</v>
      </c>
    </row>
    <row r="2100" spans="1:2">
      <c r="A2100" t="s">
        <v>3270</v>
      </c>
      <c r="B2100" s="16">
        <v>1017.62</v>
      </c>
    </row>
    <row r="2101" spans="1:2">
      <c r="A2101" t="s">
        <v>3271</v>
      </c>
      <c r="B2101" s="16">
        <v>1014.78</v>
      </c>
    </row>
    <row r="2102" spans="1:2">
      <c r="A2102" t="s">
        <v>3272</v>
      </c>
      <c r="B2102" s="16">
        <v>1029.3399999999999</v>
      </c>
    </row>
    <row r="2103" spans="1:2">
      <c r="A2103" t="s">
        <v>3273</v>
      </c>
      <c r="B2103" s="16">
        <v>1024.18</v>
      </c>
    </row>
    <row r="2104" spans="1:2">
      <c r="A2104" t="s">
        <v>3274</v>
      </c>
      <c r="B2104" s="16">
        <v>1024.49</v>
      </c>
    </row>
    <row r="2105" spans="1:2">
      <c r="A2105" t="s">
        <v>3275</v>
      </c>
      <c r="B2105" s="16">
        <v>1018.04</v>
      </c>
    </row>
    <row r="2106" spans="1:2">
      <c r="A2106" t="s">
        <v>3276</v>
      </c>
      <c r="B2106" s="16">
        <v>1021.41</v>
      </c>
    </row>
    <row r="2107" spans="1:2">
      <c r="A2107" t="s">
        <v>3277</v>
      </c>
      <c r="B2107" s="16">
        <v>1029.07</v>
      </c>
    </row>
    <row r="2108" spans="1:2">
      <c r="A2108" t="s">
        <v>3278</v>
      </c>
      <c r="B2108" s="16">
        <v>1034.51</v>
      </c>
    </row>
    <row r="2109" spans="1:2">
      <c r="A2109" t="s">
        <v>3279</v>
      </c>
      <c r="B2109" s="16">
        <v>1040.96</v>
      </c>
    </row>
    <row r="2110" spans="1:2">
      <c r="A2110" t="s">
        <v>3280</v>
      </c>
      <c r="B2110" s="16">
        <v>1042.92</v>
      </c>
    </row>
    <row r="2111" spans="1:2">
      <c r="A2111" t="s">
        <v>3281</v>
      </c>
      <c r="B2111" s="16">
        <v>1040.17</v>
      </c>
    </row>
    <row r="2112" spans="1:2">
      <c r="A2112" t="s">
        <v>3282</v>
      </c>
      <c r="B2112" s="16">
        <v>1039.6500000000001</v>
      </c>
    </row>
    <row r="2113" spans="1:2">
      <c r="A2113" t="s">
        <v>3283</v>
      </c>
      <c r="B2113" s="16">
        <v>1043.8599999999999</v>
      </c>
    </row>
    <row r="2114" spans="1:2">
      <c r="A2114" t="s">
        <v>3284</v>
      </c>
      <c r="B2114" s="16">
        <v>1045.1600000000001</v>
      </c>
    </row>
    <row r="2115" spans="1:2">
      <c r="A2115" t="s">
        <v>3285</v>
      </c>
      <c r="B2115" s="16">
        <v>1036.1199999999999</v>
      </c>
    </row>
    <row r="2116" spans="1:2">
      <c r="A2116" t="s">
        <v>3286</v>
      </c>
      <c r="B2116" s="16">
        <v>1035.67</v>
      </c>
    </row>
    <row r="2117" spans="1:2">
      <c r="A2117" t="s">
        <v>3287</v>
      </c>
      <c r="B2117" s="16">
        <v>1025.19</v>
      </c>
    </row>
    <row r="2118" spans="1:2">
      <c r="A2118" t="s">
        <v>3288</v>
      </c>
      <c r="B2118" s="16">
        <v>1029.32</v>
      </c>
    </row>
    <row r="2119" spans="1:2">
      <c r="A2119" t="s">
        <v>3289</v>
      </c>
      <c r="B2119" s="16">
        <v>1028.46</v>
      </c>
    </row>
    <row r="2120" spans="1:2">
      <c r="A2120" t="s">
        <v>3290</v>
      </c>
      <c r="B2120" s="16">
        <v>1025.43</v>
      </c>
    </row>
    <row r="2121" spans="1:2">
      <c r="A2121" t="s">
        <v>3291</v>
      </c>
      <c r="B2121" s="16">
        <v>1027.68</v>
      </c>
    </row>
    <row r="2122" spans="1:2">
      <c r="A2122" t="s">
        <v>3292</v>
      </c>
      <c r="B2122" s="16">
        <v>1035.0999999999999</v>
      </c>
    </row>
    <row r="2123" spans="1:2">
      <c r="A2123" t="s">
        <v>3293</v>
      </c>
      <c r="B2123" s="16">
        <v>1030.4100000000001</v>
      </c>
    </row>
    <row r="2124" spans="1:2">
      <c r="A2124" t="s">
        <v>3294</v>
      </c>
      <c r="B2124" s="16">
        <v>1023.18</v>
      </c>
    </row>
    <row r="2125" spans="1:2">
      <c r="A2125" t="s">
        <v>3295</v>
      </c>
      <c r="B2125" s="16">
        <v>1017.64</v>
      </c>
    </row>
    <row r="2126" spans="1:2">
      <c r="A2126" t="s">
        <v>3296</v>
      </c>
      <c r="B2126" s="16">
        <v>1008.21</v>
      </c>
    </row>
    <row r="2127" spans="1:2">
      <c r="A2127" t="s">
        <v>3297</v>
      </c>
      <c r="B2127" s="16">
        <v>1006.51</v>
      </c>
    </row>
    <row r="2128" spans="1:2">
      <c r="A2128" t="s">
        <v>3298</v>
      </c>
      <c r="B2128" s="16">
        <v>994.43</v>
      </c>
    </row>
    <row r="2129" spans="1:2">
      <c r="A2129" t="s">
        <v>3299</v>
      </c>
      <c r="B2129" s="16">
        <v>1003.14</v>
      </c>
    </row>
    <row r="2130" spans="1:2">
      <c r="A2130" t="s">
        <v>3300</v>
      </c>
      <c r="B2130" s="16">
        <v>1015.54</v>
      </c>
    </row>
    <row r="2131" spans="1:2">
      <c r="A2131" t="s">
        <v>3301</v>
      </c>
      <c r="B2131" s="16">
        <v>1016.42</v>
      </c>
    </row>
    <row r="2132" spans="1:2">
      <c r="A2132" t="s">
        <v>3302</v>
      </c>
      <c r="B2132" s="16">
        <v>1014.44</v>
      </c>
    </row>
    <row r="2133" spans="1:2">
      <c r="A2133" t="s">
        <v>3303</v>
      </c>
      <c r="B2133" s="16">
        <v>1029.0999999999999</v>
      </c>
    </row>
    <row r="2134" spans="1:2">
      <c r="A2134" t="s">
        <v>3304</v>
      </c>
      <c r="B2134" s="16">
        <v>1030.28</v>
      </c>
    </row>
    <row r="2135" spans="1:2">
      <c r="A2135" t="s">
        <v>3305</v>
      </c>
      <c r="B2135" s="16">
        <v>1015.67</v>
      </c>
    </row>
    <row r="2136" spans="1:2">
      <c r="A2136" t="s">
        <v>3306</v>
      </c>
      <c r="B2136" s="16">
        <v>1011.91</v>
      </c>
    </row>
    <row r="2137" spans="1:2">
      <c r="A2137" t="s">
        <v>3307</v>
      </c>
      <c r="B2137" s="16">
        <v>1016.3</v>
      </c>
    </row>
    <row r="2138" spans="1:2">
      <c r="A2138" t="s">
        <v>3308</v>
      </c>
      <c r="B2138" s="16">
        <v>1026.56</v>
      </c>
    </row>
    <row r="2139" spans="1:2">
      <c r="A2139" t="s">
        <v>3309</v>
      </c>
      <c r="B2139" s="16">
        <v>1036.8</v>
      </c>
    </row>
    <row r="2140" spans="1:2">
      <c r="A2140" t="s">
        <v>3310</v>
      </c>
      <c r="B2140" s="16">
        <v>1042.17</v>
      </c>
    </row>
    <row r="2141" spans="1:2">
      <c r="A2141" t="s">
        <v>3311</v>
      </c>
      <c r="B2141" s="16">
        <v>1045.05</v>
      </c>
    </row>
    <row r="2142" spans="1:2">
      <c r="A2142" t="s">
        <v>3312</v>
      </c>
      <c r="B2142" s="16">
        <v>1045.79</v>
      </c>
    </row>
    <row r="2143" spans="1:2">
      <c r="A2143" t="s">
        <v>3313</v>
      </c>
      <c r="B2143" s="16">
        <v>1052.95</v>
      </c>
    </row>
    <row r="2144" spans="1:2">
      <c r="A2144" t="s">
        <v>3314</v>
      </c>
      <c r="B2144" s="16">
        <v>1052.1099999999999</v>
      </c>
    </row>
    <row r="2145" spans="1:2">
      <c r="A2145" t="s">
        <v>3315</v>
      </c>
      <c r="B2145" s="16">
        <v>1055.47</v>
      </c>
    </row>
    <row r="2146" spans="1:2">
      <c r="A2146" t="s">
        <v>3316</v>
      </c>
      <c r="B2146" s="16">
        <v>1066.43</v>
      </c>
    </row>
    <row r="2147" spans="1:2">
      <c r="A2147" t="s">
        <v>3317</v>
      </c>
      <c r="B2147" s="16">
        <v>1064.1500000000001</v>
      </c>
    </row>
    <row r="2148" spans="1:2">
      <c r="A2148" t="s">
        <v>3318</v>
      </c>
      <c r="B2148" s="16">
        <v>1061.94</v>
      </c>
    </row>
    <row r="2149" spans="1:2">
      <c r="A2149" t="s">
        <v>3319</v>
      </c>
      <c r="B2149" s="16">
        <v>1067.21</v>
      </c>
    </row>
    <row r="2150" spans="1:2">
      <c r="A2150" t="s">
        <v>3320</v>
      </c>
      <c r="B2150" s="16">
        <v>1068.75</v>
      </c>
    </row>
    <row r="2151" spans="1:2">
      <c r="A2151" t="s">
        <v>3321</v>
      </c>
      <c r="B2151" s="16">
        <v>1068.19</v>
      </c>
    </row>
    <row r="2152" spans="1:2">
      <c r="A2152" t="s">
        <v>3322</v>
      </c>
      <c r="B2152" s="16">
        <v>1070.26</v>
      </c>
    </row>
    <row r="2153" spans="1:2">
      <c r="A2153" t="s">
        <v>3323</v>
      </c>
      <c r="B2153" s="16">
        <v>1074.3699999999999</v>
      </c>
    </row>
    <row r="2154" spans="1:2">
      <c r="A2154" t="s">
        <v>3324</v>
      </c>
      <c r="B2154" s="16">
        <v>1077.8699999999999</v>
      </c>
    </row>
    <row r="2155" spans="1:2">
      <c r="A2155" t="s">
        <v>3325</v>
      </c>
      <c r="B2155" s="16">
        <v>1072.1099999999999</v>
      </c>
    </row>
    <row r="2156" spans="1:2">
      <c r="A2156" t="s">
        <v>3326</v>
      </c>
      <c r="B2156" s="16">
        <v>1063.94</v>
      </c>
    </row>
    <row r="2157" spans="1:2">
      <c r="A2157" t="s">
        <v>3327</v>
      </c>
      <c r="B2157" s="16">
        <v>1066.17</v>
      </c>
    </row>
    <row r="2158" spans="1:2">
      <c r="A2158" t="s">
        <v>3328</v>
      </c>
      <c r="B2158" s="16">
        <v>1071.4000000000001</v>
      </c>
    </row>
    <row r="2159" spans="1:2">
      <c r="A2159" t="s">
        <v>3329</v>
      </c>
      <c r="B2159" s="16">
        <v>1068.56</v>
      </c>
    </row>
    <row r="2160" spans="1:2">
      <c r="A2160" t="s">
        <v>3330</v>
      </c>
      <c r="B2160" s="16">
        <v>1088.71</v>
      </c>
    </row>
    <row r="2161" spans="1:2">
      <c r="A2161" t="s">
        <v>3331</v>
      </c>
      <c r="B2161" s="16">
        <v>1090.04</v>
      </c>
    </row>
    <row r="2162" spans="1:2">
      <c r="A2162" t="s">
        <v>3332</v>
      </c>
      <c r="B2162" s="16">
        <v>1093.3399999999999</v>
      </c>
    </row>
    <row r="2163" spans="1:2">
      <c r="A2163" t="s">
        <v>3333</v>
      </c>
      <c r="B2163" s="16">
        <v>1094.06</v>
      </c>
    </row>
    <row r="2164" spans="1:2">
      <c r="A2164" t="s">
        <v>3334</v>
      </c>
      <c r="B2164" s="16">
        <v>1094.8</v>
      </c>
    </row>
    <row r="2165" spans="1:2">
      <c r="A2165" t="s">
        <v>3335</v>
      </c>
      <c r="B2165" s="16">
        <v>1104.94</v>
      </c>
    </row>
    <row r="2166" spans="1:2">
      <c r="A2166" t="s">
        <v>3336</v>
      </c>
      <c r="B2166" s="16">
        <v>1106.51</v>
      </c>
    </row>
    <row r="2167" spans="1:2">
      <c r="A2167" t="s">
        <v>3337</v>
      </c>
      <c r="B2167" s="16">
        <v>1104.3499999999999</v>
      </c>
    </row>
    <row r="2168" spans="1:2">
      <c r="A2168" t="s">
        <v>3338</v>
      </c>
      <c r="B2168" s="16">
        <v>1112.29</v>
      </c>
    </row>
    <row r="2169" spans="1:2">
      <c r="A2169" t="s">
        <v>3339</v>
      </c>
      <c r="B2169" s="16">
        <v>1118.1099999999999</v>
      </c>
    </row>
    <row r="2170" spans="1:2">
      <c r="A2170" t="s">
        <v>3340</v>
      </c>
      <c r="B2170" s="16">
        <v>1115.0999999999999</v>
      </c>
    </row>
    <row r="2171" spans="1:2">
      <c r="A2171" t="s">
        <v>3341</v>
      </c>
      <c r="B2171" s="16">
        <v>1107.6400000000001</v>
      </c>
    </row>
    <row r="2172" spans="1:2">
      <c r="A2172" t="s">
        <v>3342</v>
      </c>
      <c r="B2172" s="16">
        <v>1099.03</v>
      </c>
    </row>
    <row r="2173" spans="1:2">
      <c r="A2173" t="s">
        <v>3343</v>
      </c>
      <c r="B2173" s="16">
        <v>1106.75</v>
      </c>
    </row>
    <row r="2174" spans="1:2">
      <c r="A2174" t="s">
        <v>3344</v>
      </c>
      <c r="B2174" s="16">
        <v>1106.55</v>
      </c>
    </row>
    <row r="2175" spans="1:2">
      <c r="A2175" t="s">
        <v>3345</v>
      </c>
      <c r="B2175" s="16">
        <v>1100.77</v>
      </c>
    </row>
    <row r="2176" spans="1:2">
      <c r="A2176" t="s">
        <v>3346</v>
      </c>
      <c r="B2176" s="16">
        <v>1098.33</v>
      </c>
    </row>
    <row r="2177" spans="1:2">
      <c r="A2177" t="s">
        <v>3347</v>
      </c>
      <c r="B2177" s="16">
        <v>1106.24</v>
      </c>
    </row>
    <row r="2178" spans="1:2">
      <c r="A2178" t="s">
        <v>3348</v>
      </c>
      <c r="B2178" s="16">
        <v>1106.6199999999999</v>
      </c>
    </row>
    <row r="2179" spans="1:2">
      <c r="A2179" t="s">
        <v>3349</v>
      </c>
      <c r="B2179" s="16">
        <v>1117.46</v>
      </c>
    </row>
    <row r="2180" spans="1:2">
      <c r="A2180" t="s">
        <v>3350</v>
      </c>
      <c r="B2180" s="16">
        <v>1119.54</v>
      </c>
    </row>
    <row r="2181" spans="1:2">
      <c r="A2181" t="s">
        <v>3351</v>
      </c>
      <c r="B2181" s="16">
        <v>1121.94</v>
      </c>
    </row>
    <row r="2182" spans="1:2">
      <c r="A2182" t="s">
        <v>3352</v>
      </c>
      <c r="B2182" s="16">
        <v>1119.26</v>
      </c>
    </row>
    <row r="2183" spans="1:2">
      <c r="A2183" t="s">
        <v>3353</v>
      </c>
      <c r="B2183" s="16">
        <v>1132.43</v>
      </c>
    </row>
    <row r="2184" spans="1:2">
      <c r="A2184" t="s">
        <v>3354</v>
      </c>
      <c r="B2184" s="16">
        <v>1116.83</v>
      </c>
    </row>
    <row r="2185" spans="1:2">
      <c r="A2185" t="s">
        <v>3355</v>
      </c>
      <c r="B2185" s="16">
        <v>1124.04</v>
      </c>
    </row>
    <row r="2186" spans="1:2">
      <c r="A2186" t="s">
        <v>3356</v>
      </c>
      <c r="B2186" s="16">
        <v>1118.3399999999999</v>
      </c>
    </row>
    <row r="2187" spans="1:2">
      <c r="A2187" t="s">
        <v>3357</v>
      </c>
      <c r="B2187" s="16">
        <v>1117.8599999999999</v>
      </c>
    </row>
    <row r="2188" spans="1:2">
      <c r="A2188" t="s">
        <v>3358</v>
      </c>
      <c r="B2188" s="16">
        <v>1090.95</v>
      </c>
    </row>
    <row r="2189" spans="1:2">
      <c r="A2189" t="s">
        <v>3359</v>
      </c>
      <c r="B2189" s="16">
        <v>1087.3699999999999</v>
      </c>
    </row>
    <row r="2190" spans="1:2">
      <c r="A2190" t="s">
        <v>3360</v>
      </c>
      <c r="B2190" s="16">
        <v>1078.05</v>
      </c>
    </row>
    <row r="2191" spans="1:2">
      <c r="A2191" t="s">
        <v>3361</v>
      </c>
      <c r="B2191" s="16">
        <v>1097.21</v>
      </c>
    </row>
    <row r="2192" spans="1:2">
      <c r="A2192" t="s">
        <v>3362</v>
      </c>
      <c r="B2192" s="16">
        <v>1099.02</v>
      </c>
    </row>
    <row r="2193" spans="1:2">
      <c r="A2193" t="s">
        <v>3363</v>
      </c>
      <c r="B2193" s="16">
        <v>1073.04</v>
      </c>
    </row>
    <row r="2194" spans="1:2">
      <c r="A2194" t="s">
        <v>3364</v>
      </c>
      <c r="B2194" s="16">
        <v>1062.45</v>
      </c>
    </row>
    <row r="2195" spans="1:2">
      <c r="A2195" t="s">
        <v>3365</v>
      </c>
      <c r="B2195" s="16">
        <v>1073.8499999999999</v>
      </c>
    </row>
    <row r="2196" spans="1:2">
      <c r="A2196" t="s">
        <v>3366</v>
      </c>
      <c r="B2196" s="16">
        <v>1072.0899999999999</v>
      </c>
    </row>
    <row r="2197" spans="1:2">
      <c r="A2197" t="s">
        <v>3367</v>
      </c>
      <c r="B2197" s="16">
        <v>1063.23</v>
      </c>
    </row>
    <row r="2198" spans="1:2">
      <c r="A2198" t="s">
        <v>3368</v>
      </c>
      <c r="B2198" s="16">
        <v>1084.3699999999999</v>
      </c>
    </row>
    <row r="2199" spans="1:2">
      <c r="A2199" t="s">
        <v>3369</v>
      </c>
      <c r="B2199" s="16">
        <v>1058.96</v>
      </c>
    </row>
    <row r="2200" spans="1:2">
      <c r="A2200" t="s">
        <v>3370</v>
      </c>
      <c r="B2200" s="16">
        <v>1023.17</v>
      </c>
    </row>
    <row r="2201" spans="1:2">
      <c r="A2201" t="s">
        <v>3371</v>
      </c>
      <c r="B2201" s="16">
        <v>995.31</v>
      </c>
    </row>
    <row r="2202" spans="1:2">
      <c r="A2202" t="s">
        <v>3372</v>
      </c>
      <c r="B2202" s="16">
        <v>1006.3</v>
      </c>
    </row>
    <row r="2203" spans="1:2">
      <c r="A2203" t="s">
        <v>3373</v>
      </c>
      <c r="B2203" s="16">
        <v>1006.9</v>
      </c>
    </row>
    <row r="2204" spans="1:2">
      <c r="A2204" t="s">
        <v>3374</v>
      </c>
      <c r="B2204" s="16">
        <v>1024.8399999999999</v>
      </c>
    </row>
    <row r="2205" spans="1:2">
      <c r="A2205" t="s">
        <v>3375</v>
      </c>
      <c r="B2205" s="16">
        <v>1026.33</v>
      </c>
    </row>
    <row r="2206" spans="1:2">
      <c r="A2206" t="s">
        <v>3376</v>
      </c>
      <c r="B2206" s="16">
        <v>1028.47</v>
      </c>
    </row>
    <row r="2207" spans="1:2">
      <c r="A2207" t="s">
        <v>3377</v>
      </c>
      <c r="B2207" s="16">
        <v>1044.1600000000001</v>
      </c>
    </row>
    <row r="2208" spans="1:2">
      <c r="A2208" t="s">
        <v>3378</v>
      </c>
      <c r="B2208" s="16">
        <v>1047.1099999999999</v>
      </c>
    </row>
    <row r="2209" spans="1:2">
      <c r="A2209" t="s">
        <v>3379</v>
      </c>
      <c r="B2209" s="16">
        <v>1070.77</v>
      </c>
    </row>
    <row r="2210" spans="1:2">
      <c r="A2210" t="s">
        <v>3380</v>
      </c>
      <c r="B2210" s="16">
        <v>1074.8900000000001</v>
      </c>
    </row>
    <row r="2211" spans="1:2">
      <c r="A2211" t="s">
        <v>3381</v>
      </c>
      <c r="B2211" s="16">
        <v>1081.8800000000001</v>
      </c>
    </row>
    <row r="2212" spans="1:2">
      <c r="A2212" t="s">
        <v>3382</v>
      </c>
      <c r="B2212" s="16">
        <v>1076.1099999999999</v>
      </c>
    </row>
    <row r="2213" spans="1:2">
      <c r="A2213" t="s">
        <v>3383</v>
      </c>
      <c r="B2213" s="16">
        <v>1080.6400000000001</v>
      </c>
    </row>
    <row r="2214" spans="1:2">
      <c r="A2214" t="s">
        <v>3384</v>
      </c>
      <c r="B2214" s="16">
        <v>1071.48</v>
      </c>
    </row>
    <row r="2215" spans="1:2">
      <c r="A2215" t="s">
        <v>3385</v>
      </c>
      <c r="B2215" s="16">
        <v>1080</v>
      </c>
    </row>
    <row r="2216" spans="1:2">
      <c r="A2216" t="s">
        <v>3386</v>
      </c>
      <c r="B2216" s="16">
        <v>1072</v>
      </c>
    </row>
    <row r="2217" spans="1:2">
      <c r="A2217" t="s">
        <v>3387</v>
      </c>
      <c r="B2217" s="16">
        <v>1075.58</v>
      </c>
    </row>
    <row r="2218" spans="1:2">
      <c r="A2218" t="s">
        <v>3388</v>
      </c>
      <c r="B2218" s="16">
        <v>1074.1400000000001</v>
      </c>
    </row>
    <row r="2219" spans="1:2">
      <c r="A2219" t="s">
        <v>3389</v>
      </c>
      <c r="B2219" s="16">
        <v>1076.76</v>
      </c>
    </row>
    <row r="2220" spans="1:2">
      <c r="A2220" t="s">
        <v>3390</v>
      </c>
      <c r="B2220" s="16">
        <v>1085.04</v>
      </c>
    </row>
    <row r="2221" spans="1:2">
      <c r="A2221" t="s">
        <v>3391</v>
      </c>
      <c r="B2221" s="16">
        <v>1061.3800000000001</v>
      </c>
    </row>
    <row r="2222" spans="1:2">
      <c r="A2222" t="s">
        <v>3392</v>
      </c>
      <c r="B2222" s="16">
        <v>1053.3399999999999</v>
      </c>
    </row>
    <row r="2223" spans="1:2">
      <c r="A2223" t="s">
        <v>3393</v>
      </c>
      <c r="B2223" s="16">
        <v>1051.3599999999999</v>
      </c>
    </row>
    <row r="2224" spans="1:2">
      <c r="A2224" t="s">
        <v>3394</v>
      </c>
      <c r="B2224" s="16">
        <v>1026.77</v>
      </c>
    </row>
    <row r="2225" spans="1:2">
      <c r="A2225" t="s">
        <v>3395</v>
      </c>
      <c r="B2225" s="16">
        <v>1043.73</v>
      </c>
    </row>
    <row r="2226" spans="1:2">
      <c r="A2226" t="s">
        <v>3396</v>
      </c>
      <c r="B2226" s="16">
        <v>1048.58</v>
      </c>
    </row>
    <row r="2227" spans="1:2">
      <c r="A2227" t="s">
        <v>3397</v>
      </c>
      <c r="B2227" s="16">
        <v>1064.33</v>
      </c>
    </row>
    <row r="2228" spans="1:2">
      <c r="A2228" t="s">
        <v>3398</v>
      </c>
      <c r="B2228" s="16">
        <v>1072.71</v>
      </c>
    </row>
    <row r="2229" spans="1:2">
      <c r="A2229" t="s">
        <v>3399</v>
      </c>
      <c r="B2229" s="16">
        <v>1076.5899999999999</v>
      </c>
    </row>
    <row r="2230" spans="1:2">
      <c r="A2230" t="s">
        <v>3400</v>
      </c>
      <c r="B2230" s="16">
        <v>1072.96</v>
      </c>
    </row>
    <row r="2231" spans="1:2">
      <c r="A2231" t="s">
        <v>3401</v>
      </c>
      <c r="B2231" s="16">
        <v>1074.96</v>
      </c>
    </row>
    <row r="2232" spans="1:2">
      <c r="A2232" t="s">
        <v>3402</v>
      </c>
      <c r="B2232" s="16">
        <v>1068.05</v>
      </c>
    </row>
    <row r="2233" spans="1:2">
      <c r="A2233" t="s">
        <v>3403</v>
      </c>
      <c r="B2233" s="16">
        <v>1088.79</v>
      </c>
    </row>
    <row r="2234" spans="1:2">
      <c r="A2234" t="s">
        <v>3404</v>
      </c>
      <c r="B2234" s="16">
        <v>1077.96</v>
      </c>
    </row>
    <row r="2235" spans="1:2">
      <c r="A2235" t="s">
        <v>3405</v>
      </c>
      <c r="B2235" s="16">
        <v>1080.01</v>
      </c>
    </row>
    <row r="2236" spans="1:2">
      <c r="A2236" t="s">
        <v>3406</v>
      </c>
      <c r="B2236" s="16">
        <v>1085.01</v>
      </c>
    </row>
    <row r="2237" spans="1:2">
      <c r="A2237" t="s">
        <v>3407</v>
      </c>
      <c r="B2237" s="16">
        <v>1085.78</v>
      </c>
    </row>
    <row r="2238" spans="1:2">
      <c r="A2238" t="s">
        <v>3408</v>
      </c>
      <c r="B2238" s="16">
        <v>1099.47</v>
      </c>
    </row>
    <row r="2239" spans="1:2">
      <c r="A2239" t="s">
        <v>3409</v>
      </c>
      <c r="B2239" s="16">
        <v>1096.18</v>
      </c>
    </row>
    <row r="2240" spans="1:2">
      <c r="A2240" t="s">
        <v>3410</v>
      </c>
      <c r="B2240" s="16">
        <v>1093.3</v>
      </c>
    </row>
    <row r="2241" spans="1:2">
      <c r="A2241" t="s">
        <v>3411</v>
      </c>
      <c r="B2241" s="16">
        <v>1082.81</v>
      </c>
    </row>
    <row r="2242" spans="1:2">
      <c r="A2242" t="s">
        <v>3412</v>
      </c>
      <c r="B2242" s="16">
        <v>1085.52</v>
      </c>
    </row>
    <row r="2243" spans="1:2">
      <c r="A2243" t="s">
        <v>3413</v>
      </c>
      <c r="B2243" s="16">
        <v>1082.94</v>
      </c>
    </row>
    <row r="2244" spans="1:2">
      <c r="A2244" t="s">
        <v>3414</v>
      </c>
      <c r="B2244" s="16">
        <v>1095.0899999999999</v>
      </c>
    </row>
    <row r="2245" spans="1:2">
      <c r="A2245" t="s">
        <v>3415</v>
      </c>
      <c r="B2245" s="16">
        <v>1091.51</v>
      </c>
    </row>
    <row r="2246" spans="1:2">
      <c r="A2246" t="s">
        <v>3416</v>
      </c>
      <c r="B2246" s="16">
        <v>1100.8599999999999</v>
      </c>
    </row>
    <row r="2247" spans="1:2">
      <c r="A2247" t="s">
        <v>3417</v>
      </c>
      <c r="B2247" s="16">
        <v>1110.1099999999999</v>
      </c>
    </row>
    <row r="2248" spans="1:2">
      <c r="A2248" t="s">
        <v>3418</v>
      </c>
      <c r="B2248" s="16">
        <v>1110.5999999999999</v>
      </c>
    </row>
    <row r="2249" spans="1:2">
      <c r="A2249" t="s">
        <v>3419</v>
      </c>
      <c r="B2249" s="16">
        <v>1113.83</v>
      </c>
    </row>
    <row r="2250" spans="1:2">
      <c r="A2250" t="s">
        <v>3420</v>
      </c>
      <c r="B2250" s="16">
        <v>1126.45</v>
      </c>
    </row>
    <row r="2251" spans="1:2">
      <c r="A2251" t="s">
        <v>3421</v>
      </c>
      <c r="B2251" s="16">
        <v>1104.99</v>
      </c>
    </row>
    <row r="2252" spans="1:2">
      <c r="A2252" t="s">
        <v>3422</v>
      </c>
      <c r="B2252" s="16">
        <v>1107.6400000000001</v>
      </c>
    </row>
    <row r="2253" spans="1:2">
      <c r="A2253" t="s">
        <v>3423</v>
      </c>
      <c r="B2253" s="16">
        <v>1115.46</v>
      </c>
    </row>
    <row r="2254" spans="1:2">
      <c r="A2254" t="s">
        <v>3424</v>
      </c>
      <c r="B2254" s="16">
        <v>1119.95</v>
      </c>
    </row>
    <row r="2255" spans="1:2">
      <c r="A2255" t="s">
        <v>3425</v>
      </c>
      <c r="B2255" s="16">
        <v>1117.5999999999999</v>
      </c>
    </row>
    <row r="2256" spans="1:2">
      <c r="A2256" t="s">
        <v>3426</v>
      </c>
      <c r="B2256" s="16">
        <v>1117.54</v>
      </c>
    </row>
    <row r="2257" spans="1:2">
      <c r="A2257" t="s">
        <v>3427</v>
      </c>
      <c r="B2257" s="16">
        <v>1110.33</v>
      </c>
    </row>
    <row r="2258" spans="1:2">
      <c r="A2258" t="s">
        <v>3428</v>
      </c>
      <c r="B2258" s="16">
        <v>1113.3399999999999</v>
      </c>
    </row>
    <row r="2259" spans="1:2">
      <c r="A2259" t="s">
        <v>3429</v>
      </c>
      <c r="B2259" s="16">
        <v>1113.05</v>
      </c>
    </row>
    <row r="2260" spans="1:2">
      <c r="A2260" t="s">
        <v>3430</v>
      </c>
      <c r="B2260" s="16">
        <v>1114.6300000000001</v>
      </c>
    </row>
    <row r="2261" spans="1:2">
      <c r="A2261" t="s">
        <v>3431</v>
      </c>
      <c r="B2261" s="16">
        <v>1116.0899999999999</v>
      </c>
    </row>
    <row r="2262" spans="1:2">
      <c r="A2262" t="s">
        <v>3432</v>
      </c>
      <c r="B2262" s="16">
        <v>1102.67</v>
      </c>
    </row>
    <row r="2263" spans="1:2">
      <c r="A2263" t="s">
        <v>3433</v>
      </c>
      <c r="B2263" s="16">
        <v>1079.56</v>
      </c>
    </row>
    <row r="2264" spans="1:2">
      <c r="A2264" t="s">
        <v>3434</v>
      </c>
      <c r="B2264" s="16">
        <v>1089.82</v>
      </c>
    </row>
    <row r="2265" spans="1:2">
      <c r="A2265" t="s">
        <v>3435</v>
      </c>
      <c r="B2265" s="16">
        <v>1082.25</v>
      </c>
    </row>
    <row r="2266" spans="1:2">
      <c r="A2266" t="s">
        <v>3436</v>
      </c>
      <c r="B2266" s="16">
        <v>1092.78</v>
      </c>
    </row>
    <row r="2267" spans="1:2">
      <c r="A2267" t="s">
        <v>3437</v>
      </c>
      <c r="B2267" s="16">
        <v>1115.69</v>
      </c>
    </row>
    <row r="2268" spans="1:2">
      <c r="A2268" t="s">
        <v>3438</v>
      </c>
      <c r="B2268" s="16">
        <v>1117.6400000000001</v>
      </c>
    </row>
    <row r="2269" spans="1:2">
      <c r="A2269" t="s">
        <v>3439</v>
      </c>
      <c r="B2269" s="16">
        <v>1120.03</v>
      </c>
    </row>
    <row r="2270" spans="1:2">
      <c r="A2270" t="s">
        <v>3440</v>
      </c>
      <c r="B2270" s="16">
        <v>1129.5</v>
      </c>
    </row>
    <row r="2271" spans="1:2">
      <c r="A2271" t="s">
        <v>3441</v>
      </c>
      <c r="B2271" s="16">
        <v>1121.55</v>
      </c>
    </row>
    <row r="2272" spans="1:2">
      <c r="A2272" t="s">
        <v>3442</v>
      </c>
      <c r="B2272" s="16">
        <v>1120.52</v>
      </c>
    </row>
    <row r="2273" spans="1:2">
      <c r="A2273" t="s">
        <v>3443</v>
      </c>
      <c r="B2273" s="16">
        <v>1128.01</v>
      </c>
    </row>
    <row r="2274" spans="1:2">
      <c r="A2274" t="s">
        <v>3444</v>
      </c>
      <c r="B2274" s="16">
        <v>1114.3800000000001</v>
      </c>
    </row>
    <row r="2275" spans="1:2">
      <c r="A2275" t="s">
        <v>3445</v>
      </c>
      <c r="B2275" s="16">
        <v>1113.17</v>
      </c>
    </row>
    <row r="2276" spans="1:2">
      <c r="A2276" t="s">
        <v>3446</v>
      </c>
      <c r="B2276" s="16">
        <v>1114.3399999999999</v>
      </c>
    </row>
    <row r="2277" spans="1:2">
      <c r="A2277" t="s">
        <v>3447</v>
      </c>
      <c r="B2277" s="16">
        <v>1113.08</v>
      </c>
    </row>
    <row r="2278" spans="1:2">
      <c r="A2278" t="s">
        <v>3448</v>
      </c>
      <c r="B2278" s="16">
        <v>1121.29</v>
      </c>
    </row>
    <row r="2279" spans="1:2">
      <c r="A2279" t="s">
        <v>3449</v>
      </c>
      <c r="B2279" s="16">
        <v>1130.31</v>
      </c>
    </row>
    <row r="2280" spans="1:2">
      <c r="A2280" t="s">
        <v>3450</v>
      </c>
      <c r="B2280" s="16">
        <v>1123.72</v>
      </c>
    </row>
    <row r="2281" spans="1:2">
      <c r="A2281" t="s">
        <v>3451</v>
      </c>
      <c r="B2281" s="16">
        <v>1123.6600000000001</v>
      </c>
    </row>
    <row r="2282" spans="1:2">
      <c r="A2282" t="s">
        <v>3452</v>
      </c>
      <c r="B2282" s="16">
        <v>1111.0899999999999</v>
      </c>
    </row>
    <row r="2283" spans="1:2">
      <c r="A2283" t="s">
        <v>3453</v>
      </c>
      <c r="B2283" s="16">
        <v>1124.23</v>
      </c>
    </row>
    <row r="2284" spans="1:2">
      <c r="A2284" t="s">
        <v>3454</v>
      </c>
      <c r="B2284" s="16">
        <v>1136.3900000000001</v>
      </c>
    </row>
    <row r="2285" spans="1:2">
      <c r="A2285" t="s">
        <v>3455</v>
      </c>
      <c r="B2285" s="16">
        <v>1136.06</v>
      </c>
    </row>
    <row r="2286" spans="1:2">
      <c r="A2286" t="s">
        <v>3456</v>
      </c>
      <c r="B2286" s="16">
        <v>1144.68</v>
      </c>
    </row>
    <row r="2287" spans="1:2">
      <c r="A2287" t="s">
        <v>3457</v>
      </c>
      <c r="B2287" s="16">
        <v>1147.98</v>
      </c>
    </row>
    <row r="2288" spans="1:2">
      <c r="A2288" t="s">
        <v>3458</v>
      </c>
      <c r="B2288" s="16">
        <v>1152.53</v>
      </c>
    </row>
    <row r="2289" spans="1:2">
      <c r="A2289" t="s">
        <v>3459</v>
      </c>
      <c r="B2289" s="16">
        <v>1145.01</v>
      </c>
    </row>
    <row r="2290" spans="1:2">
      <c r="A2290" t="s">
        <v>3460</v>
      </c>
      <c r="B2290" s="16">
        <v>1140.7</v>
      </c>
    </row>
    <row r="2291" spans="1:2">
      <c r="A2291" t="s">
        <v>3461</v>
      </c>
      <c r="B2291" s="16">
        <v>1153.42</v>
      </c>
    </row>
    <row r="2292" spans="1:2">
      <c r="A2292" t="s">
        <v>3462</v>
      </c>
      <c r="B2292" s="16">
        <v>1148.22</v>
      </c>
    </row>
    <row r="2293" spans="1:2">
      <c r="A2293" t="s">
        <v>3463</v>
      </c>
      <c r="B2293" s="16">
        <v>1153.08</v>
      </c>
    </row>
    <row r="2294" spans="1:2">
      <c r="A2294" t="s">
        <v>3464</v>
      </c>
      <c r="B2294" s="16">
        <v>1155.8599999999999</v>
      </c>
    </row>
    <row r="2295" spans="1:2">
      <c r="A2295" t="s">
        <v>3465</v>
      </c>
      <c r="B2295" s="16">
        <v>1154.78</v>
      </c>
    </row>
    <row r="2296" spans="1:2">
      <c r="A2296" t="s">
        <v>3466</v>
      </c>
      <c r="B2296" s="16">
        <v>1137.3900000000001</v>
      </c>
    </row>
    <row r="2297" spans="1:2">
      <c r="A2297" t="s">
        <v>3467</v>
      </c>
      <c r="B2297" s="16">
        <v>1134.75</v>
      </c>
    </row>
    <row r="2298" spans="1:2">
      <c r="A2298" t="s">
        <v>3468</v>
      </c>
      <c r="B2298" s="16">
        <v>1136.8800000000001</v>
      </c>
    </row>
    <row r="2299" spans="1:2">
      <c r="A2299" t="s">
        <v>3469</v>
      </c>
      <c r="B2299" s="16">
        <v>1145.48</v>
      </c>
    </row>
    <row r="2300" spans="1:2">
      <c r="A2300" t="s">
        <v>3470</v>
      </c>
      <c r="B2300" s="16">
        <v>1154.95</v>
      </c>
    </row>
    <row r="2301" spans="1:2">
      <c r="A2301" t="s">
        <v>3471</v>
      </c>
      <c r="B2301" s="16">
        <v>1146.5899999999999</v>
      </c>
    </row>
    <row r="2302" spans="1:2">
      <c r="A2302" t="s">
        <v>3472</v>
      </c>
      <c r="B2302" s="16">
        <v>1139.02</v>
      </c>
    </row>
    <row r="2303" spans="1:2">
      <c r="A2303" t="s">
        <v>3473</v>
      </c>
      <c r="B2303" s="16">
        <v>1137.68</v>
      </c>
    </row>
    <row r="2304" spans="1:2">
      <c r="A2304" t="s">
        <v>3474</v>
      </c>
      <c r="B2304" s="16">
        <v>1144.0999999999999</v>
      </c>
    </row>
    <row r="2305" spans="1:2">
      <c r="A2305" t="s">
        <v>3475</v>
      </c>
      <c r="B2305" s="16">
        <v>1153.3599999999999</v>
      </c>
    </row>
    <row r="2306" spans="1:2">
      <c r="A2306" t="s">
        <v>3476</v>
      </c>
      <c r="B2306" s="16">
        <v>1166.97</v>
      </c>
    </row>
    <row r="2307" spans="1:2">
      <c r="A2307" t="s">
        <v>3477</v>
      </c>
      <c r="B2307" s="16">
        <v>1156.9100000000001</v>
      </c>
    </row>
    <row r="2308" spans="1:2">
      <c r="A2308" t="s">
        <v>3478</v>
      </c>
      <c r="B2308" s="16">
        <v>1159.6199999999999</v>
      </c>
    </row>
    <row r="2309" spans="1:2">
      <c r="A2309" t="s">
        <v>3479</v>
      </c>
      <c r="B2309" s="16">
        <v>1148.74</v>
      </c>
    </row>
    <row r="2310" spans="1:2">
      <c r="A2310" t="s">
        <v>3480</v>
      </c>
      <c r="B2310" s="16">
        <v>1149.23</v>
      </c>
    </row>
    <row r="2311" spans="1:2">
      <c r="A2311" t="s">
        <v>3481</v>
      </c>
      <c r="B2311" s="16">
        <v>1146.1500000000001</v>
      </c>
    </row>
    <row r="2312" spans="1:2">
      <c r="A2312" t="s">
        <v>3482</v>
      </c>
      <c r="B2312" s="16">
        <v>1167.3800000000001</v>
      </c>
    </row>
    <row r="2313" spans="1:2">
      <c r="A2313" t="s">
        <v>3483</v>
      </c>
      <c r="B2313" s="16">
        <v>1172.5</v>
      </c>
    </row>
    <row r="2314" spans="1:2">
      <c r="A2314" t="s">
        <v>3484</v>
      </c>
      <c r="B2314" s="16">
        <v>1185.51</v>
      </c>
    </row>
    <row r="2315" spans="1:2">
      <c r="A2315" t="s">
        <v>3485</v>
      </c>
      <c r="B2315" s="16">
        <v>1189.43</v>
      </c>
    </row>
    <row r="2316" spans="1:2">
      <c r="A2316" t="s">
        <v>3486</v>
      </c>
      <c r="B2316" s="16">
        <v>1201.4000000000001</v>
      </c>
    </row>
    <row r="2317" spans="1:2">
      <c r="A2317" t="s">
        <v>3487</v>
      </c>
      <c r="B2317" s="16">
        <v>1207.77</v>
      </c>
    </row>
    <row r="2318" spans="1:2">
      <c r="A2318" t="s">
        <v>3488</v>
      </c>
      <c r="B2318" s="16">
        <v>1192.8699999999999</v>
      </c>
    </row>
    <row r="2319" spans="1:2">
      <c r="A2319" t="s">
        <v>3489</v>
      </c>
      <c r="B2319" s="16">
        <v>1154.6300000000001</v>
      </c>
    </row>
    <row r="2320" spans="1:2">
      <c r="A2320" t="s">
        <v>3490</v>
      </c>
      <c r="B2320" s="16">
        <v>1172.3699999999999</v>
      </c>
    </row>
    <row r="2321" spans="1:2">
      <c r="A2321" t="s">
        <v>3491</v>
      </c>
      <c r="B2321" s="16">
        <v>1172.22</v>
      </c>
    </row>
    <row r="2322" spans="1:2">
      <c r="A2322" t="s">
        <v>3492</v>
      </c>
      <c r="B2322" s="16">
        <v>1177.79</v>
      </c>
    </row>
    <row r="2323" spans="1:2">
      <c r="A2323" t="s">
        <v>3493</v>
      </c>
      <c r="B2323" s="16">
        <v>1176.73</v>
      </c>
    </row>
    <row r="2324" spans="1:2">
      <c r="A2324" t="s">
        <v>3494</v>
      </c>
      <c r="B2324" s="16">
        <v>1167.9000000000001</v>
      </c>
    </row>
    <row r="2325" spans="1:2">
      <c r="A2325" t="s">
        <v>3495</v>
      </c>
      <c r="B2325" s="16">
        <v>1170.06</v>
      </c>
    </row>
    <row r="2326" spans="1:2">
      <c r="A2326" t="s">
        <v>3496</v>
      </c>
      <c r="B2326" s="16">
        <v>1177.49</v>
      </c>
    </row>
    <row r="2327" spans="1:2">
      <c r="A2327" t="s">
        <v>3497</v>
      </c>
      <c r="B2327" s="16">
        <v>1192.9100000000001</v>
      </c>
    </row>
    <row r="2328" spans="1:2">
      <c r="A2328" t="s">
        <v>3498</v>
      </c>
      <c r="B2328" s="16">
        <v>1186.95</v>
      </c>
    </row>
    <row r="2329" spans="1:2">
      <c r="A2329" t="s">
        <v>3499</v>
      </c>
      <c r="B2329" s="16">
        <v>1198.1300000000001</v>
      </c>
    </row>
    <row r="2330" spans="1:2">
      <c r="A2330" t="s">
        <v>3500</v>
      </c>
      <c r="B2330" s="16">
        <v>1198.1600000000001</v>
      </c>
    </row>
    <row r="2331" spans="1:2">
      <c r="A2331" t="s">
        <v>3501</v>
      </c>
      <c r="B2331" s="16">
        <v>1194.68</v>
      </c>
    </row>
    <row r="2332" spans="1:2">
      <c r="A2332" t="s">
        <v>3502</v>
      </c>
      <c r="B2332" s="16">
        <v>1206.6500000000001</v>
      </c>
    </row>
    <row r="2333" spans="1:2">
      <c r="A2333" t="s">
        <v>3503</v>
      </c>
      <c r="B2333" s="16">
        <v>1202.21</v>
      </c>
    </row>
    <row r="2334" spans="1:2">
      <c r="A2334" t="s">
        <v>3504</v>
      </c>
      <c r="B2334" s="16">
        <v>1211.99</v>
      </c>
    </row>
    <row r="2335" spans="1:2">
      <c r="A2335" t="s">
        <v>3505</v>
      </c>
      <c r="B2335" s="16">
        <v>1210.75</v>
      </c>
    </row>
    <row r="2336" spans="1:2">
      <c r="A2336" t="s">
        <v>3506</v>
      </c>
      <c r="B2336" s="16">
        <v>1205.5</v>
      </c>
    </row>
    <row r="2337" spans="1:2">
      <c r="A2337" t="s">
        <v>3507</v>
      </c>
      <c r="B2337" s="16">
        <v>1194.4000000000001</v>
      </c>
    </row>
    <row r="2338" spans="1:2">
      <c r="A2338" t="s">
        <v>3508</v>
      </c>
      <c r="B2338" s="16">
        <v>1183.3</v>
      </c>
    </row>
    <row r="2339" spans="1:2">
      <c r="A2339" t="s">
        <v>3509</v>
      </c>
      <c r="B2339" s="16">
        <v>1171.5999999999999</v>
      </c>
    </row>
    <row r="2340" spans="1:2">
      <c r="A2340" t="s">
        <v>3510</v>
      </c>
      <c r="B2340" s="16">
        <v>1183.56</v>
      </c>
    </row>
    <row r="2341" spans="1:2">
      <c r="A2341" t="s">
        <v>3511</v>
      </c>
      <c r="B2341" s="16">
        <v>1166.53</v>
      </c>
    </row>
    <row r="2342" spans="1:2">
      <c r="A2342" t="s">
        <v>3512</v>
      </c>
      <c r="B2342" s="16">
        <v>1177.26</v>
      </c>
    </row>
    <row r="2343" spans="1:2">
      <c r="A2343" t="s">
        <v>3513</v>
      </c>
      <c r="B2343" s="16">
        <v>1160.9000000000001</v>
      </c>
    </row>
    <row r="2344" spans="1:2">
      <c r="A2344" t="s">
        <v>3514</v>
      </c>
      <c r="B2344" s="16">
        <v>1138.3800000000001</v>
      </c>
    </row>
    <row r="2345" spans="1:2">
      <c r="A2345" t="s">
        <v>3515</v>
      </c>
      <c r="B2345" s="16">
        <v>1143.49</v>
      </c>
    </row>
    <row r="2346" spans="1:2">
      <c r="A2346" t="s">
        <v>3516</v>
      </c>
      <c r="B2346" s="16">
        <v>1126.1099999999999</v>
      </c>
    </row>
    <row r="2347" spans="1:2">
      <c r="A2347" t="s">
        <v>3517</v>
      </c>
      <c r="B2347" s="16">
        <v>1126.8</v>
      </c>
    </row>
    <row r="2348" spans="1:2">
      <c r="A2348" t="s">
        <v>3518</v>
      </c>
      <c r="B2348" s="16">
        <v>1098.33</v>
      </c>
    </row>
    <row r="2349" spans="1:2">
      <c r="A2349" t="s">
        <v>3519</v>
      </c>
      <c r="B2349" s="16">
        <v>1086.18</v>
      </c>
    </row>
    <row r="2350" spans="1:2">
      <c r="A2350" t="s">
        <v>3520</v>
      </c>
      <c r="B2350" s="16">
        <v>1102.6500000000001</v>
      </c>
    </row>
    <row r="2351" spans="1:2">
      <c r="A2351" t="s">
        <v>3521</v>
      </c>
      <c r="B2351" s="16">
        <v>1098.0899999999999</v>
      </c>
    </row>
    <row r="2352" spans="1:2">
      <c r="A2352" t="s">
        <v>3522</v>
      </c>
      <c r="B2352" s="16">
        <v>1119.8</v>
      </c>
    </row>
    <row r="2353" spans="1:2">
      <c r="A2353" t="s">
        <v>3523</v>
      </c>
      <c r="B2353" s="16">
        <v>1120.82</v>
      </c>
    </row>
    <row r="2354" spans="1:2">
      <c r="A2354" t="s">
        <v>3524</v>
      </c>
      <c r="B2354" s="16">
        <v>1116.6099999999999</v>
      </c>
    </row>
    <row r="2355" spans="1:2">
      <c r="A2355" t="s">
        <v>3525</v>
      </c>
      <c r="B2355" s="16">
        <v>1128.53</v>
      </c>
    </row>
    <row r="2356" spans="1:2">
      <c r="A2356" t="s">
        <v>3526</v>
      </c>
      <c r="B2356" s="16">
        <v>1123.2</v>
      </c>
    </row>
    <row r="2357" spans="1:2">
      <c r="A2357" t="s">
        <v>3527</v>
      </c>
      <c r="B2357" s="16">
        <v>1124.5</v>
      </c>
    </row>
    <row r="2358" spans="1:2">
      <c r="A2358" t="s">
        <v>3528</v>
      </c>
      <c r="B2358" s="16">
        <v>1135.3</v>
      </c>
    </row>
    <row r="2359" spans="1:2">
      <c r="A2359" t="s">
        <v>3529</v>
      </c>
      <c r="B2359" s="16">
        <v>1141.29</v>
      </c>
    </row>
    <row r="2360" spans="1:2">
      <c r="A2360" t="s">
        <v>3530</v>
      </c>
      <c r="B2360" s="16">
        <v>1123.32</v>
      </c>
    </row>
    <row r="2361" spans="1:2">
      <c r="A2361" t="s">
        <v>3531</v>
      </c>
      <c r="B2361" s="16">
        <v>1116.7</v>
      </c>
    </row>
    <row r="2362" spans="1:2">
      <c r="A2362" t="s">
        <v>3532</v>
      </c>
      <c r="B2362" s="16">
        <v>1095.03</v>
      </c>
    </row>
    <row r="2363" spans="1:2">
      <c r="A2363" t="s">
        <v>3533</v>
      </c>
      <c r="B2363" s="16">
        <v>1089.2</v>
      </c>
    </row>
    <row r="2364" spans="1:2">
      <c r="A2364" t="s">
        <v>3534</v>
      </c>
      <c r="B2364" s="16">
        <v>1099.8399999999999</v>
      </c>
    </row>
    <row r="2365" spans="1:2">
      <c r="A2365" t="s">
        <v>3535</v>
      </c>
      <c r="B2365" s="16">
        <v>1099.26</v>
      </c>
    </row>
    <row r="2366" spans="1:2">
      <c r="A2366" t="s">
        <v>3536</v>
      </c>
      <c r="B2366" s="16">
        <v>1033.3900000000001</v>
      </c>
    </row>
    <row r="2367" spans="1:2">
      <c r="A2367" t="s">
        <v>3537</v>
      </c>
      <c r="B2367" s="16">
        <v>983.95</v>
      </c>
    </row>
    <row r="2368" spans="1:2">
      <c r="A2368" t="s">
        <v>3538</v>
      </c>
      <c r="B2368" s="16">
        <v>966.6</v>
      </c>
    </row>
    <row r="2369" spans="1:2">
      <c r="A2369" t="s">
        <v>3539</v>
      </c>
      <c r="B2369" s="16">
        <v>970.23</v>
      </c>
    </row>
    <row r="2370" spans="1:2">
      <c r="A2370" t="s">
        <v>3540</v>
      </c>
      <c r="B2370" s="16">
        <v>1015.28</v>
      </c>
    </row>
    <row r="2371" spans="1:2">
      <c r="A2371" t="s">
        <v>3541</v>
      </c>
      <c r="B2371" s="16">
        <v>1008.38</v>
      </c>
    </row>
    <row r="2372" spans="1:2">
      <c r="A2372" t="s">
        <v>3542</v>
      </c>
      <c r="B2372" s="16">
        <v>1012.96</v>
      </c>
    </row>
    <row r="2373" spans="1:2">
      <c r="A2373" t="s">
        <v>3543</v>
      </c>
      <c r="B2373" s="16">
        <v>1025.92</v>
      </c>
    </row>
    <row r="2374" spans="1:2">
      <c r="A2374" t="s">
        <v>3544</v>
      </c>
      <c r="B2374" s="16">
        <v>1035.6400000000001</v>
      </c>
    </row>
    <row r="2375" spans="1:2">
      <c r="A2375" t="s">
        <v>3545</v>
      </c>
      <c r="B2375" s="16">
        <v>1011.95</v>
      </c>
    </row>
    <row r="2376" spans="1:2">
      <c r="A2376" t="s">
        <v>3546</v>
      </c>
      <c r="B2376" s="16">
        <v>1004.23</v>
      </c>
    </row>
    <row r="2377" spans="1:2">
      <c r="A2377" t="s">
        <v>3547</v>
      </c>
      <c r="B2377" s="16">
        <v>997.96</v>
      </c>
    </row>
    <row r="2378" spans="1:2">
      <c r="A2378" t="s">
        <v>3548</v>
      </c>
      <c r="B2378" s="16">
        <v>1029.75</v>
      </c>
    </row>
    <row r="2379" spans="1:2">
      <c r="A2379" t="s">
        <v>3549</v>
      </c>
      <c r="B2379" s="16">
        <v>1045.28</v>
      </c>
    </row>
    <row r="2380" spans="1:2">
      <c r="A2380" t="s">
        <v>3550</v>
      </c>
      <c r="B2380" s="16">
        <v>1055.97</v>
      </c>
    </row>
    <row r="2381" spans="1:2">
      <c r="A2381" t="s">
        <v>3551</v>
      </c>
      <c r="B2381" s="16">
        <v>1055.27</v>
      </c>
    </row>
    <row r="2382" spans="1:2">
      <c r="A2382" t="s">
        <v>3552</v>
      </c>
      <c r="B2382" s="16">
        <v>1057.81</v>
      </c>
    </row>
    <row r="2383" spans="1:2">
      <c r="A2383" t="s">
        <v>3553</v>
      </c>
      <c r="B2383" s="16">
        <v>1061.3399999999999</v>
      </c>
    </row>
    <row r="2384" spans="1:2">
      <c r="A2384" t="s">
        <v>3554</v>
      </c>
      <c r="B2384" s="16">
        <v>1075.3800000000001</v>
      </c>
    </row>
    <row r="2385" spans="1:2">
      <c r="A2385" t="s">
        <v>3555</v>
      </c>
      <c r="B2385" s="16">
        <v>1090.46</v>
      </c>
    </row>
    <row r="2386" spans="1:2">
      <c r="A2386" t="s">
        <v>3556</v>
      </c>
      <c r="B2386" s="16">
        <v>1089.3</v>
      </c>
    </row>
    <row r="2387" spans="1:2">
      <c r="A2387" t="s">
        <v>3557</v>
      </c>
      <c r="B2387" s="16">
        <v>1084.3499999999999</v>
      </c>
    </row>
    <row r="2388" spans="1:2">
      <c r="A2388" t="s">
        <v>3558</v>
      </c>
      <c r="B2388" s="16">
        <v>1085.8</v>
      </c>
    </row>
    <row r="2389" spans="1:2">
      <c r="A2389" t="s">
        <v>3559</v>
      </c>
      <c r="B2389" s="16">
        <v>1099.97</v>
      </c>
    </row>
    <row r="2390" spans="1:2">
      <c r="A2390" t="s">
        <v>3560</v>
      </c>
      <c r="B2390" s="16">
        <v>1102.1400000000001</v>
      </c>
    </row>
    <row r="2391" spans="1:2">
      <c r="A2391" t="s">
        <v>3561</v>
      </c>
      <c r="B2391" s="16">
        <v>1143.19</v>
      </c>
    </row>
    <row r="2392" spans="1:2">
      <c r="A2392" t="s">
        <v>3562</v>
      </c>
      <c r="B2392" s="16">
        <v>1150.8599999999999</v>
      </c>
    </row>
    <row r="2393" spans="1:2">
      <c r="A2393" t="s">
        <v>3563</v>
      </c>
      <c r="B2393" s="16">
        <v>1151.74</v>
      </c>
    </row>
    <row r="2394" spans="1:2">
      <c r="A2394" t="s">
        <v>3564</v>
      </c>
      <c r="B2394" s="16">
        <v>1154.33</v>
      </c>
    </row>
    <row r="2395" spans="1:2">
      <c r="A2395" t="s">
        <v>3565</v>
      </c>
      <c r="B2395" s="16">
        <v>1159.0999999999999</v>
      </c>
    </row>
    <row r="2396" spans="1:2">
      <c r="A2396" t="s">
        <v>3566</v>
      </c>
      <c r="B2396" s="16">
        <v>1155.23</v>
      </c>
    </row>
    <row r="2397" spans="1:2">
      <c r="A2397" t="s">
        <v>3567</v>
      </c>
      <c r="B2397" s="16">
        <v>1154.73</v>
      </c>
    </row>
    <row r="2398" spans="1:2">
      <c r="A2398" t="s">
        <v>3568</v>
      </c>
      <c r="B2398" s="16">
        <v>1138.69</v>
      </c>
    </row>
    <row r="2399" spans="1:2">
      <c r="A2399" t="s">
        <v>3569</v>
      </c>
      <c r="B2399" s="16">
        <v>1139.5999999999999</v>
      </c>
    </row>
    <row r="2400" spans="1:2">
      <c r="A2400" t="s">
        <v>3570</v>
      </c>
      <c r="B2400" s="16">
        <v>1119.6300000000001</v>
      </c>
    </row>
    <row r="2401" spans="1:2">
      <c r="A2401" t="s">
        <v>3571</v>
      </c>
      <c r="B2401" s="16">
        <v>1143.24</v>
      </c>
    </row>
    <row r="2402" spans="1:2">
      <c r="A2402" t="s">
        <v>3572</v>
      </c>
      <c r="B2402" s="16">
        <v>1140.73</v>
      </c>
    </row>
    <row r="2403" spans="1:2">
      <c r="A2403" t="s">
        <v>3573</v>
      </c>
      <c r="B2403" s="16">
        <v>1141.46</v>
      </c>
    </row>
    <row r="2404" spans="1:2">
      <c r="A2404" t="s">
        <v>3574</v>
      </c>
      <c r="B2404" s="16">
        <v>1139.83</v>
      </c>
    </row>
    <row r="2405" spans="1:2">
      <c r="A2405" t="s">
        <v>3575</v>
      </c>
      <c r="B2405" s="16">
        <v>1138.31</v>
      </c>
    </row>
    <row r="2406" spans="1:2">
      <c r="A2406" t="s">
        <v>3576</v>
      </c>
      <c r="B2406" s="16">
        <v>1148.8399999999999</v>
      </c>
    </row>
    <row r="2407" spans="1:2">
      <c r="A2407" t="s">
        <v>3577</v>
      </c>
      <c r="B2407" s="16">
        <v>1150.48</v>
      </c>
    </row>
    <row r="2408" spans="1:2">
      <c r="A2408" t="s">
        <v>3578</v>
      </c>
      <c r="B2408" s="16">
        <v>1148.83</v>
      </c>
    </row>
    <row r="2409" spans="1:2">
      <c r="A2409" t="s">
        <v>3579</v>
      </c>
      <c r="B2409" s="16">
        <v>1159.06</v>
      </c>
    </row>
    <row r="2410" spans="1:2">
      <c r="A2410" t="s">
        <v>3580</v>
      </c>
      <c r="B2410" s="16">
        <v>1155.45</v>
      </c>
    </row>
    <row r="2411" spans="1:2">
      <c r="A2411" t="s">
        <v>3581</v>
      </c>
      <c r="B2411" s="16">
        <v>1155.7</v>
      </c>
    </row>
    <row r="2412" spans="1:2">
      <c r="A2412" t="s">
        <v>3582</v>
      </c>
      <c r="B2412" s="16">
        <v>1149.4000000000001</v>
      </c>
    </row>
    <row r="2413" spans="1:2">
      <c r="A2413" t="s">
        <v>3583</v>
      </c>
      <c r="B2413" s="16">
        <v>1145</v>
      </c>
    </row>
    <row r="2414" spans="1:2">
      <c r="A2414" t="s">
        <v>3584</v>
      </c>
      <c r="B2414" s="16">
        <v>1129.4000000000001</v>
      </c>
    </row>
    <row r="2415" spans="1:2">
      <c r="A2415" t="s">
        <v>3585</v>
      </c>
      <c r="B2415" s="16">
        <v>1140.24</v>
      </c>
    </row>
    <row r="2416" spans="1:2">
      <c r="A2416" t="s">
        <v>3586</v>
      </c>
      <c r="B2416" s="16">
        <v>1133.47</v>
      </c>
    </row>
    <row r="2417" spans="1:2">
      <c r="A2417" t="s">
        <v>3587</v>
      </c>
      <c r="B2417" s="16">
        <v>1132.48</v>
      </c>
    </row>
    <row r="2418" spans="1:2">
      <c r="A2418" t="s">
        <v>3588</v>
      </c>
      <c r="B2418" s="16">
        <v>1126.23</v>
      </c>
    </row>
    <row r="2419" spans="1:2">
      <c r="A2419" t="s">
        <v>3589</v>
      </c>
      <c r="B2419" s="16">
        <v>1129.8399999999999</v>
      </c>
    </row>
    <row r="2420" spans="1:2">
      <c r="A2420" t="s">
        <v>3590</v>
      </c>
      <c r="B2420" s="16">
        <v>1142.8499999999999</v>
      </c>
    </row>
    <row r="2421" spans="1:2">
      <c r="A2421" t="s">
        <v>3591</v>
      </c>
      <c r="B2421" s="16">
        <v>1144.1199999999999</v>
      </c>
    </row>
    <row r="2422" spans="1:2">
      <c r="A2422" t="s">
        <v>3592</v>
      </c>
      <c r="B2422" s="16">
        <v>1140.27</v>
      </c>
    </row>
    <row r="2423" spans="1:2">
      <c r="A2423" t="s">
        <v>3593</v>
      </c>
      <c r="B2423" s="16">
        <v>1152.01</v>
      </c>
    </row>
    <row r="2424" spans="1:2">
      <c r="A2424" t="s">
        <v>3594</v>
      </c>
      <c r="B2424" s="16">
        <v>1154.6199999999999</v>
      </c>
    </row>
    <row r="2425" spans="1:2">
      <c r="A2425" t="s">
        <v>3595</v>
      </c>
      <c r="B2425" s="16">
        <v>1145.82</v>
      </c>
    </row>
    <row r="2426" spans="1:2">
      <c r="A2426" t="s">
        <v>3596</v>
      </c>
      <c r="B2426" s="16">
        <v>1153.94</v>
      </c>
    </row>
    <row r="2427" spans="1:2">
      <c r="A2427" t="s">
        <v>3597</v>
      </c>
      <c r="B2427" s="16">
        <v>1164.93</v>
      </c>
    </row>
    <row r="2428" spans="1:2">
      <c r="A2428" t="s">
        <v>3598</v>
      </c>
      <c r="B2428" s="16">
        <v>1160.53</v>
      </c>
    </row>
    <row r="2429" spans="1:2">
      <c r="A2429" t="s">
        <v>3599</v>
      </c>
      <c r="B2429" s="16">
        <v>1165.92</v>
      </c>
    </row>
    <row r="2430" spans="1:2">
      <c r="A2430" t="s">
        <v>3600</v>
      </c>
      <c r="B2430" s="16">
        <v>1175.3599999999999</v>
      </c>
    </row>
    <row r="2431" spans="1:2">
      <c r="A2431" t="s">
        <v>3601</v>
      </c>
      <c r="B2431" s="16">
        <v>1176.45</v>
      </c>
    </row>
    <row r="2432" spans="1:2">
      <c r="A2432" t="s">
        <v>3602</v>
      </c>
      <c r="B2432" s="16">
        <v>1167.4000000000001</v>
      </c>
    </row>
    <row r="2433" spans="1:2">
      <c r="A2433" t="s">
        <v>3603</v>
      </c>
      <c r="B2433" s="16">
        <v>1164.92</v>
      </c>
    </row>
    <row r="2434" spans="1:2">
      <c r="A2434" t="s">
        <v>3604</v>
      </c>
      <c r="B2434" s="16">
        <v>1172.1600000000001</v>
      </c>
    </row>
    <row r="2435" spans="1:2">
      <c r="A2435" t="s">
        <v>3605</v>
      </c>
      <c r="B2435" s="16">
        <v>1167.3499999999999</v>
      </c>
    </row>
    <row r="2436" spans="1:2">
      <c r="A2436" t="s">
        <v>3606</v>
      </c>
      <c r="B2436" s="16">
        <v>1180.78</v>
      </c>
    </row>
    <row r="2437" spans="1:2">
      <c r="A2437" t="s">
        <v>3607</v>
      </c>
      <c r="B2437" s="16">
        <v>1172.9000000000001</v>
      </c>
    </row>
    <row r="2438" spans="1:2">
      <c r="A2438" t="s">
        <v>3608</v>
      </c>
      <c r="B2438" s="16">
        <v>1168.23</v>
      </c>
    </row>
    <row r="2439" spans="1:2">
      <c r="A2439" t="s">
        <v>3609</v>
      </c>
      <c r="B2439" s="16">
        <v>1157.51</v>
      </c>
    </row>
    <row r="2440" spans="1:2">
      <c r="A2440" t="s">
        <v>3610</v>
      </c>
      <c r="B2440" s="16">
        <v>1165.51</v>
      </c>
    </row>
    <row r="2441" spans="1:2">
      <c r="A2441" t="s">
        <v>3611</v>
      </c>
      <c r="B2441" s="16">
        <v>1166.8699999999999</v>
      </c>
    </row>
    <row r="2442" spans="1:2">
      <c r="A2442" t="s">
        <v>3612</v>
      </c>
      <c r="B2442" s="16">
        <v>1168.69</v>
      </c>
    </row>
    <row r="2443" spans="1:2">
      <c r="A2443" t="s">
        <v>3613</v>
      </c>
      <c r="B2443" s="16">
        <v>1177.54</v>
      </c>
    </row>
    <row r="2444" spans="1:2">
      <c r="A2444" t="s">
        <v>3614</v>
      </c>
      <c r="B2444" s="16">
        <v>1184.3499999999999</v>
      </c>
    </row>
    <row r="2445" spans="1:2">
      <c r="A2445" t="s">
        <v>3615</v>
      </c>
      <c r="B2445" s="16">
        <v>1189.7</v>
      </c>
    </row>
    <row r="2446" spans="1:2">
      <c r="A2446" t="s">
        <v>3616</v>
      </c>
      <c r="B2446" s="16">
        <v>1185.72</v>
      </c>
    </row>
    <row r="2447" spans="1:2">
      <c r="A2447" t="s">
        <v>3617</v>
      </c>
      <c r="B2447" s="16">
        <v>1152.31</v>
      </c>
    </row>
    <row r="2448" spans="1:2">
      <c r="A2448" t="s">
        <v>3618</v>
      </c>
      <c r="B2448" s="16">
        <v>1170.82</v>
      </c>
    </row>
    <row r="2449" spans="1:2">
      <c r="A2449" t="s">
        <v>3619</v>
      </c>
      <c r="B2449" s="16">
        <v>1164.81</v>
      </c>
    </row>
    <row r="2450" spans="1:2">
      <c r="A2450" t="s">
        <v>3620</v>
      </c>
      <c r="B2450" s="16">
        <v>1168.77</v>
      </c>
    </row>
    <row r="2451" spans="1:2">
      <c r="A2451" t="s">
        <v>3621</v>
      </c>
      <c r="B2451" s="16">
        <v>1180.54</v>
      </c>
    </row>
    <row r="2452" spans="1:2">
      <c r="A2452" t="s">
        <v>3622</v>
      </c>
      <c r="B2452" s="16">
        <v>1187.1400000000001</v>
      </c>
    </row>
    <row r="2453" spans="1:2">
      <c r="A2453" t="s">
        <v>3623</v>
      </c>
      <c r="B2453" s="16">
        <v>1187.56</v>
      </c>
    </row>
    <row r="2454" spans="1:2">
      <c r="A2454" t="s">
        <v>3624</v>
      </c>
      <c r="B2454" s="16">
        <v>1188.6099999999999</v>
      </c>
    </row>
    <row r="2455" spans="1:2">
      <c r="A2455" t="s">
        <v>3625</v>
      </c>
      <c r="B2455" s="16">
        <v>1190.56</v>
      </c>
    </row>
    <row r="2456" spans="1:2">
      <c r="A2456" t="s">
        <v>3626</v>
      </c>
      <c r="B2456" s="16">
        <v>1197.95</v>
      </c>
    </row>
    <row r="2457" spans="1:2">
      <c r="A2457" t="s">
        <v>3627</v>
      </c>
      <c r="B2457" s="16">
        <v>1191.6300000000001</v>
      </c>
    </row>
    <row r="2458" spans="1:2">
      <c r="A2458" t="s">
        <v>3628</v>
      </c>
      <c r="B2458" s="16">
        <v>1193.3</v>
      </c>
    </row>
    <row r="2459" spans="1:2">
      <c r="A2459" t="s">
        <v>3629</v>
      </c>
      <c r="B2459" s="16">
        <v>1189</v>
      </c>
    </row>
    <row r="2460" spans="1:2">
      <c r="A2460" t="s">
        <v>3630</v>
      </c>
      <c r="B2460" s="16">
        <v>1184.73</v>
      </c>
    </row>
    <row r="2461" spans="1:2">
      <c r="A2461" t="s">
        <v>3631</v>
      </c>
      <c r="B2461" s="16">
        <v>1182.8</v>
      </c>
    </row>
    <row r="2462" spans="1:2">
      <c r="A2462" t="s">
        <v>3632</v>
      </c>
      <c r="B2462" s="16">
        <v>1187.95</v>
      </c>
    </row>
    <row r="2463" spans="1:2">
      <c r="A2463" t="s">
        <v>3633</v>
      </c>
      <c r="B2463" s="16">
        <v>1184.1199999999999</v>
      </c>
    </row>
    <row r="2464" spans="1:2">
      <c r="A2464" t="s">
        <v>3634</v>
      </c>
      <c r="B2464" s="16">
        <v>1183.67</v>
      </c>
    </row>
    <row r="2465" spans="1:2">
      <c r="A2465" t="s">
        <v>3635</v>
      </c>
      <c r="B2465" s="16">
        <v>1190.99</v>
      </c>
    </row>
    <row r="2466" spans="1:2">
      <c r="A2466" t="s">
        <v>3636</v>
      </c>
      <c r="B2466" s="16">
        <v>1188.6300000000001</v>
      </c>
    </row>
    <row r="2467" spans="1:2">
      <c r="A2467" t="s">
        <v>3637</v>
      </c>
      <c r="B2467" s="16">
        <v>1172.8499999999999</v>
      </c>
    </row>
    <row r="2468" spans="1:2">
      <c r="A2468" t="s">
        <v>3638</v>
      </c>
      <c r="B2468" s="16">
        <v>1160.48</v>
      </c>
    </row>
    <row r="2469" spans="1:2">
      <c r="A2469" t="s">
        <v>3639</v>
      </c>
      <c r="B2469" s="16">
        <v>1168.75</v>
      </c>
    </row>
    <row r="2470" spans="1:2">
      <c r="A2470" t="s">
        <v>3640</v>
      </c>
      <c r="B2470" s="16">
        <v>1178.69</v>
      </c>
    </row>
    <row r="2471" spans="1:2">
      <c r="A2471" t="s">
        <v>3641</v>
      </c>
      <c r="B2471" s="16">
        <v>1164.95</v>
      </c>
    </row>
    <row r="2472" spans="1:2">
      <c r="A2472" t="s">
        <v>3642</v>
      </c>
      <c r="B2472" s="16">
        <v>1173.73</v>
      </c>
    </row>
    <row r="2473" spans="1:2">
      <c r="A2473" t="s">
        <v>3643</v>
      </c>
      <c r="B2473" s="16">
        <v>1177.31</v>
      </c>
    </row>
    <row r="2474" spans="1:2">
      <c r="A2474" t="s">
        <v>3644</v>
      </c>
      <c r="B2474" s="16">
        <v>1181.42</v>
      </c>
    </row>
    <row r="2475" spans="1:2">
      <c r="A2475" t="s">
        <v>3645</v>
      </c>
      <c r="B2475" s="16">
        <v>1185.96</v>
      </c>
    </row>
    <row r="2476" spans="1:2">
      <c r="A2476" t="s">
        <v>3646</v>
      </c>
      <c r="B2476" s="16">
        <v>1189.17</v>
      </c>
    </row>
    <row r="2477" spans="1:2">
      <c r="A2477" t="s">
        <v>3647</v>
      </c>
      <c r="B2477" s="16">
        <v>1195.9000000000001</v>
      </c>
    </row>
    <row r="2478" spans="1:2">
      <c r="A2478" t="s">
        <v>3648</v>
      </c>
      <c r="B2478" s="16">
        <v>1181.6099999999999</v>
      </c>
    </row>
    <row r="2479" spans="1:2">
      <c r="A2479" t="s">
        <v>3649</v>
      </c>
      <c r="B2479" s="16">
        <v>1181.03</v>
      </c>
    </row>
    <row r="2480" spans="1:2">
      <c r="A2480" t="s">
        <v>3650</v>
      </c>
      <c r="B2480" s="16">
        <v>1200.68</v>
      </c>
    </row>
    <row r="2481" spans="1:2">
      <c r="A2481" t="s">
        <v>3651</v>
      </c>
      <c r="B2481" s="16">
        <v>1207.54</v>
      </c>
    </row>
    <row r="2482" spans="1:2">
      <c r="A2482" t="s">
        <v>3652</v>
      </c>
      <c r="B2482" s="16">
        <v>1216.0899999999999</v>
      </c>
    </row>
    <row r="2483" spans="1:2">
      <c r="A2483" t="s">
        <v>3653</v>
      </c>
      <c r="B2483" s="16">
        <v>1209.67</v>
      </c>
    </row>
    <row r="2484" spans="1:2">
      <c r="A2484" t="s">
        <v>3654</v>
      </c>
      <c r="B2484" s="16">
        <v>1208.08</v>
      </c>
    </row>
    <row r="2485" spans="1:2">
      <c r="A2485" t="s">
        <v>3655</v>
      </c>
      <c r="B2485" s="16">
        <v>1210.5</v>
      </c>
    </row>
    <row r="2486" spans="1:2">
      <c r="A2486" t="s">
        <v>3656</v>
      </c>
      <c r="B2486" s="16">
        <v>1217.76</v>
      </c>
    </row>
    <row r="2487" spans="1:2">
      <c r="A2487" t="s">
        <v>3657</v>
      </c>
      <c r="B2487" s="16">
        <v>1221.3900000000001</v>
      </c>
    </row>
    <row r="2488" spans="1:2">
      <c r="A2488" t="s">
        <v>3658</v>
      </c>
      <c r="B2488" s="16">
        <v>1228.1300000000001</v>
      </c>
    </row>
    <row r="2489" spans="1:2">
      <c r="A2489" t="s">
        <v>3659</v>
      </c>
      <c r="B2489" s="16">
        <v>1236.51</v>
      </c>
    </row>
    <row r="2490" spans="1:2">
      <c r="A2490" t="s">
        <v>3660</v>
      </c>
      <c r="B2490" s="16">
        <v>1245.98</v>
      </c>
    </row>
    <row r="2491" spans="1:2">
      <c r="A2491" t="s">
        <v>3661</v>
      </c>
      <c r="B2491" s="16">
        <v>1244.56</v>
      </c>
    </row>
    <row r="2492" spans="1:2">
      <c r="A2492" t="s">
        <v>3662</v>
      </c>
      <c r="B2492" s="16">
        <v>1246.52</v>
      </c>
    </row>
    <row r="2493" spans="1:2">
      <c r="A2493" t="s">
        <v>3663</v>
      </c>
      <c r="B2493" s="16">
        <v>1244.96</v>
      </c>
    </row>
    <row r="2494" spans="1:2">
      <c r="A2494" t="s">
        <v>3664</v>
      </c>
      <c r="B2494" s="16">
        <v>1258.04</v>
      </c>
    </row>
    <row r="2495" spans="1:2">
      <c r="A2495" t="s">
        <v>3665</v>
      </c>
      <c r="B2495" s="16">
        <v>1257.02</v>
      </c>
    </row>
    <row r="2496" spans="1:2">
      <c r="A2496" t="s">
        <v>3666</v>
      </c>
      <c r="B2496" s="16">
        <v>1225.03</v>
      </c>
    </row>
    <row r="2497" spans="1:2">
      <c r="A2497" t="s">
        <v>3667</v>
      </c>
      <c r="B2497" s="16">
        <v>1239.6600000000001</v>
      </c>
    </row>
    <row r="2498" spans="1:2">
      <c r="A2498" t="s">
        <v>3668</v>
      </c>
      <c r="B2498" s="16">
        <v>1231.02</v>
      </c>
    </row>
    <row r="2499" spans="1:2">
      <c r="A2499" t="s">
        <v>3669</v>
      </c>
      <c r="B2499" s="16">
        <v>1237.8900000000001</v>
      </c>
    </row>
    <row r="2500" spans="1:2">
      <c r="A2500" t="s">
        <v>3670</v>
      </c>
      <c r="B2500" s="16">
        <v>1235.77</v>
      </c>
    </row>
    <row r="2501" spans="1:2">
      <c r="A2501" t="s">
        <v>3671</v>
      </c>
      <c r="B2501" s="16">
        <v>1236.78</v>
      </c>
    </row>
    <row r="2502" spans="1:2">
      <c r="A2502" t="s">
        <v>3672</v>
      </c>
      <c r="B2502" s="16">
        <v>1252.8499999999999</v>
      </c>
    </row>
    <row r="2503" spans="1:2">
      <c r="A2503" t="s">
        <v>3673</v>
      </c>
      <c r="B2503" s="16">
        <v>1257.7</v>
      </c>
    </row>
    <row r="2504" spans="1:2">
      <c r="A2504" t="s">
        <v>3674</v>
      </c>
      <c r="B2504" s="16">
        <v>1247.3399999999999</v>
      </c>
    </row>
    <row r="2505" spans="1:2">
      <c r="A2505" t="s">
        <v>3675</v>
      </c>
      <c r="B2505" s="16">
        <v>1254.43</v>
      </c>
    </row>
    <row r="2506" spans="1:2">
      <c r="A2506" t="s">
        <v>3676</v>
      </c>
      <c r="B2506" s="16">
        <v>1261.04</v>
      </c>
    </row>
    <row r="2507" spans="1:2">
      <c r="A2507" t="s">
        <v>3677</v>
      </c>
      <c r="B2507" s="16">
        <v>1277.1199999999999</v>
      </c>
    </row>
    <row r="2508" spans="1:2">
      <c r="A2508" t="s">
        <v>3678</v>
      </c>
      <c r="B2508" s="16">
        <v>1284.55</v>
      </c>
    </row>
    <row r="2509" spans="1:2">
      <c r="A2509" t="s">
        <v>3679</v>
      </c>
      <c r="B2509" s="16">
        <v>1284.6600000000001</v>
      </c>
    </row>
    <row r="2510" spans="1:2">
      <c r="A2510" t="s">
        <v>3680</v>
      </c>
      <c r="B2510" s="16">
        <v>1282.3900000000001</v>
      </c>
    </row>
    <row r="2511" spans="1:2">
      <c r="A2511" t="s">
        <v>3681</v>
      </c>
      <c r="B2511" s="16">
        <v>1277.06</v>
      </c>
    </row>
    <row r="2512" spans="1:2">
      <c r="A2512" t="s">
        <v>3682</v>
      </c>
      <c r="B2512" s="16">
        <v>1280.4100000000001</v>
      </c>
    </row>
    <row r="2513" spans="1:2">
      <c r="A2513" t="s">
        <v>3683</v>
      </c>
      <c r="B2513" s="16">
        <v>1269.1600000000001</v>
      </c>
    </row>
    <row r="2514" spans="1:2">
      <c r="A2514" t="s">
        <v>3684</v>
      </c>
      <c r="B2514" s="16">
        <v>1267.8599999999999</v>
      </c>
    </row>
    <row r="2515" spans="1:2">
      <c r="A2515" t="s">
        <v>3685</v>
      </c>
      <c r="B2515" s="16">
        <v>1244.3599999999999</v>
      </c>
    </row>
    <row r="2516" spans="1:2">
      <c r="A2516" t="s">
        <v>3686</v>
      </c>
      <c r="B2516" s="16">
        <v>1236.1600000000001</v>
      </c>
    </row>
    <row r="2517" spans="1:2">
      <c r="A2517" t="s">
        <v>3687</v>
      </c>
      <c r="B2517" s="16">
        <v>1261.3</v>
      </c>
    </row>
    <row r="2518" spans="1:2">
      <c r="A2518" t="s">
        <v>3688</v>
      </c>
      <c r="B2518" s="16">
        <v>1264.27</v>
      </c>
    </row>
    <row r="2519" spans="1:2">
      <c r="A2519" t="s">
        <v>3689</v>
      </c>
      <c r="B2519" s="16">
        <v>1273.7</v>
      </c>
    </row>
    <row r="2520" spans="1:2">
      <c r="A2520" t="s">
        <v>3690</v>
      </c>
      <c r="B2520" s="16">
        <v>1255.9100000000001</v>
      </c>
    </row>
    <row r="2521" spans="1:2">
      <c r="A2521" t="s">
        <v>3691</v>
      </c>
      <c r="B2521" s="16">
        <v>1252.72</v>
      </c>
    </row>
    <row r="2522" spans="1:2">
      <c r="A2522" t="s">
        <v>3692</v>
      </c>
      <c r="B2522" s="16">
        <v>1237.79</v>
      </c>
    </row>
    <row r="2523" spans="1:2">
      <c r="A2523" t="s">
        <v>3693</v>
      </c>
      <c r="B2523" s="16">
        <v>1218.26</v>
      </c>
    </row>
    <row r="2524" spans="1:2">
      <c r="A2524" t="s">
        <v>3694</v>
      </c>
      <c r="B2524" s="16">
        <v>1225.29</v>
      </c>
    </row>
    <row r="2525" spans="1:2">
      <c r="A2525" t="s">
        <v>3695</v>
      </c>
      <c r="B2525" s="16">
        <v>1215.68</v>
      </c>
    </row>
    <row r="2526" spans="1:2">
      <c r="A2526" t="s">
        <v>3696</v>
      </c>
      <c r="B2526" s="16">
        <v>1213.48</v>
      </c>
    </row>
    <row r="2527" spans="1:2">
      <c r="A2527" t="s">
        <v>3697</v>
      </c>
      <c r="B2527" s="16">
        <v>1223.01</v>
      </c>
    </row>
    <row r="2528" spans="1:2">
      <c r="A2528" t="s">
        <v>3698</v>
      </c>
      <c r="B2528" s="16">
        <v>1225.8699999999999</v>
      </c>
    </row>
    <row r="2529" spans="1:2">
      <c r="A2529" t="s">
        <v>3699</v>
      </c>
      <c r="B2529" s="16">
        <v>1239.0899999999999</v>
      </c>
    </row>
    <row r="2530" spans="1:2">
      <c r="A2530" t="s">
        <v>3700</v>
      </c>
      <c r="B2530" s="16">
        <v>1241.8699999999999</v>
      </c>
    </row>
    <row r="2531" spans="1:2">
      <c r="A2531" t="s">
        <v>3701</v>
      </c>
      <c r="B2531" s="16">
        <v>1243.76</v>
      </c>
    </row>
    <row r="2532" spans="1:2">
      <c r="A2532" t="s">
        <v>3702</v>
      </c>
      <c r="B2532" s="16">
        <v>1251.74</v>
      </c>
    </row>
    <row r="2533" spans="1:2">
      <c r="A2533" t="s">
        <v>3703</v>
      </c>
      <c r="B2533" s="16">
        <v>1246.1400000000001</v>
      </c>
    </row>
    <row r="2534" spans="1:2">
      <c r="A2534" t="s">
        <v>3704</v>
      </c>
      <c r="B2534" s="16">
        <v>1250.97</v>
      </c>
    </row>
    <row r="2535" spans="1:2">
      <c r="A2535" t="s">
        <v>3705</v>
      </c>
      <c r="B2535" s="16">
        <v>1252.33</v>
      </c>
    </row>
    <row r="2536" spans="1:2">
      <c r="A2536" t="s">
        <v>3706</v>
      </c>
      <c r="B2536" s="16">
        <v>1255.8800000000001</v>
      </c>
    </row>
    <row r="2537" spans="1:2">
      <c r="A2537" t="s">
        <v>3707</v>
      </c>
      <c r="B2537" s="16">
        <v>1254.01</v>
      </c>
    </row>
    <row r="2538" spans="1:2">
      <c r="A2538" t="s">
        <v>3708</v>
      </c>
      <c r="B2538" s="16">
        <v>1252.31</v>
      </c>
    </row>
    <row r="2539" spans="1:2">
      <c r="A2539" t="s">
        <v>3709</v>
      </c>
      <c r="B2539" s="16">
        <v>1249.97</v>
      </c>
    </row>
    <row r="2540" spans="1:2">
      <c r="A2540" t="s">
        <v>3710</v>
      </c>
      <c r="B2540" s="16">
        <v>1237.8900000000001</v>
      </c>
    </row>
    <row r="2541" spans="1:2">
      <c r="A2541" t="s">
        <v>3711</v>
      </c>
      <c r="B2541" s="16">
        <v>1238.3399999999999</v>
      </c>
    </row>
    <row r="2542" spans="1:2">
      <c r="A2542" t="s">
        <v>3712</v>
      </c>
      <c r="B2542" s="16">
        <v>1235.5</v>
      </c>
    </row>
    <row r="2543" spans="1:2">
      <c r="A2543" t="s">
        <v>3713</v>
      </c>
      <c r="B2543" s="16">
        <v>1222.97</v>
      </c>
    </row>
    <row r="2544" spans="1:2">
      <c r="A2544" t="s">
        <v>3714</v>
      </c>
      <c r="B2544" s="16">
        <v>1236.73</v>
      </c>
    </row>
    <row r="2545" spans="1:2">
      <c r="A2545" t="s">
        <v>3715</v>
      </c>
      <c r="B2545" s="16">
        <v>1248.26</v>
      </c>
    </row>
    <row r="2546" spans="1:2">
      <c r="A2546" t="s">
        <v>3716</v>
      </c>
      <c r="B2546" s="16">
        <v>1246.97</v>
      </c>
    </row>
    <row r="2547" spans="1:2">
      <c r="A2547" t="s">
        <v>3717</v>
      </c>
      <c r="B2547" s="16">
        <v>1252.3399999999999</v>
      </c>
    </row>
    <row r="2548" spans="1:2">
      <c r="A2548" t="s">
        <v>3718</v>
      </c>
      <c r="B2548" s="16">
        <v>1253.27</v>
      </c>
    </row>
    <row r="2549" spans="1:2">
      <c r="A2549" t="s">
        <v>3719</v>
      </c>
      <c r="B2549" s="16">
        <v>1252.6300000000001</v>
      </c>
    </row>
    <row r="2550" spans="1:2">
      <c r="A2550" t="s">
        <v>3720</v>
      </c>
      <c r="B2550" s="16">
        <v>1255.97</v>
      </c>
    </row>
    <row r="2551" spans="1:2">
      <c r="A2551" t="s">
        <v>3721</v>
      </c>
      <c r="B2551" s="16">
        <v>1251.3900000000001</v>
      </c>
    </row>
    <row r="2552" spans="1:2">
      <c r="A2552" t="s">
        <v>3722</v>
      </c>
      <c r="B2552" s="16">
        <v>1253.1199999999999</v>
      </c>
    </row>
    <row r="2553" spans="1:2">
      <c r="A2553" t="s">
        <v>3723</v>
      </c>
      <c r="B2553" s="16">
        <v>1266.76</v>
      </c>
    </row>
    <row r="2554" spans="1:2">
      <c r="A2554" t="s">
        <v>3724</v>
      </c>
      <c r="B2554" s="16">
        <v>1272.06</v>
      </c>
    </row>
    <row r="2555" spans="1:2">
      <c r="A2555" t="s">
        <v>3725</v>
      </c>
      <c r="B2555" s="16">
        <v>1268.5</v>
      </c>
    </row>
    <row r="2556" spans="1:2">
      <c r="A2556" t="s">
        <v>3726</v>
      </c>
      <c r="B2556" s="16">
        <v>1264.8699999999999</v>
      </c>
    </row>
    <row r="2557" spans="1:2">
      <c r="A2557" t="s">
        <v>3727</v>
      </c>
      <c r="B2557" s="16">
        <v>1278.1400000000001</v>
      </c>
    </row>
    <row r="2558" spans="1:2">
      <c r="A2558" t="s">
        <v>3728</v>
      </c>
      <c r="B2558" s="16">
        <v>1275.27</v>
      </c>
    </row>
    <row r="2559" spans="1:2">
      <c r="A2559" t="s">
        <v>3729</v>
      </c>
      <c r="B2559" s="16">
        <v>1273.31</v>
      </c>
    </row>
    <row r="2560" spans="1:2">
      <c r="A2560" t="s">
        <v>3730</v>
      </c>
      <c r="B2560" s="16">
        <v>1261.82</v>
      </c>
    </row>
    <row r="2561" spans="1:2">
      <c r="A2561" t="s">
        <v>3731</v>
      </c>
      <c r="B2561" s="16">
        <v>1272.9000000000001</v>
      </c>
    </row>
    <row r="2562" spans="1:2">
      <c r="A2562" t="s">
        <v>3732</v>
      </c>
      <c r="B2562" s="16">
        <v>1270.44</v>
      </c>
    </row>
    <row r="2563" spans="1:2">
      <c r="A2563" t="s">
        <v>3733</v>
      </c>
      <c r="B2563" s="16">
        <v>1229.9100000000001</v>
      </c>
    </row>
    <row r="2564" spans="1:2">
      <c r="A2564" t="s">
        <v>3734</v>
      </c>
      <c r="B2564" s="16">
        <v>1234.6199999999999</v>
      </c>
    </row>
    <row r="2565" spans="1:2">
      <c r="A2565" t="s">
        <v>3735</v>
      </c>
      <c r="B2565" s="16">
        <v>1244.96</v>
      </c>
    </row>
    <row r="2566" spans="1:2">
      <c r="A2566" t="s">
        <v>3736</v>
      </c>
      <c r="B2566" s="16">
        <v>1247.82</v>
      </c>
    </row>
    <row r="2567" spans="1:2">
      <c r="A2567" t="s">
        <v>3737</v>
      </c>
      <c r="B2567" s="16">
        <v>1245.3900000000001</v>
      </c>
    </row>
    <row r="2568" spans="1:2">
      <c r="A2568" t="s">
        <v>3738</v>
      </c>
      <c r="B2568" s="16">
        <v>1250.9100000000001</v>
      </c>
    </row>
    <row r="2569" spans="1:2">
      <c r="A2569" t="s">
        <v>3739</v>
      </c>
      <c r="B2569" s="16">
        <v>1244.95</v>
      </c>
    </row>
    <row r="2570" spans="1:2">
      <c r="A2570" t="s">
        <v>3740</v>
      </c>
      <c r="B2570" s="16">
        <v>1230.81</v>
      </c>
    </row>
    <row r="2571" spans="1:2">
      <c r="A2571" t="s">
        <v>3741</v>
      </c>
      <c r="B2571" s="16">
        <v>1234.9100000000001</v>
      </c>
    </row>
    <row r="2572" spans="1:2">
      <c r="A2572" t="s">
        <v>3742</v>
      </c>
      <c r="B2572" s="16">
        <v>1250.25</v>
      </c>
    </row>
    <row r="2573" spans="1:2">
      <c r="A2573" t="s">
        <v>3743</v>
      </c>
      <c r="B2573" s="16">
        <v>1233.55</v>
      </c>
    </row>
    <row r="2574" spans="1:2">
      <c r="A2574" t="s">
        <v>3744</v>
      </c>
      <c r="B2574" s="16">
        <v>1225.7</v>
      </c>
    </row>
    <row r="2575" spans="1:2">
      <c r="A2575" t="s">
        <v>3745</v>
      </c>
      <c r="B2575" s="16">
        <v>1208.49</v>
      </c>
    </row>
    <row r="2576" spans="1:2">
      <c r="A2576" t="s">
        <v>3746</v>
      </c>
      <c r="B2576" s="16">
        <v>1227.21</v>
      </c>
    </row>
    <row r="2577" spans="1:2">
      <c r="A2577" t="s">
        <v>3747</v>
      </c>
      <c r="B2577" s="16">
        <v>1232.57</v>
      </c>
    </row>
    <row r="2578" spans="1:2">
      <c r="A2578" t="s">
        <v>3748</v>
      </c>
      <c r="B2578" s="16">
        <v>1227.55</v>
      </c>
    </row>
    <row r="2579" spans="1:2">
      <c r="A2579" t="s">
        <v>3749</v>
      </c>
      <c r="B2579" s="16">
        <v>1223.8499999999999</v>
      </c>
    </row>
    <row r="2580" spans="1:2">
      <c r="A2580" t="s">
        <v>3750</v>
      </c>
      <c r="B2580" s="16">
        <v>1203.32</v>
      </c>
    </row>
    <row r="2581" spans="1:2">
      <c r="A2581" t="s">
        <v>3751</v>
      </c>
      <c r="B2581" s="16">
        <v>1197.68</v>
      </c>
    </row>
    <row r="2582" spans="1:2">
      <c r="A2582" t="s">
        <v>3752</v>
      </c>
      <c r="B2582" s="16">
        <v>1207.95</v>
      </c>
    </row>
    <row r="2583" spans="1:2">
      <c r="A2583" t="s">
        <v>3753</v>
      </c>
      <c r="B2583" s="16">
        <v>1221.4100000000001</v>
      </c>
    </row>
    <row r="2584" spans="1:2">
      <c r="A2584" t="s">
        <v>3754</v>
      </c>
      <c r="B2584" s="16">
        <v>1219.03</v>
      </c>
    </row>
    <row r="2585" spans="1:2">
      <c r="A2585" t="s">
        <v>3755</v>
      </c>
      <c r="B2585" s="16">
        <v>1230.75</v>
      </c>
    </row>
    <row r="2586" spans="1:2">
      <c r="A2586" t="s">
        <v>3756</v>
      </c>
      <c r="B2586" s="16">
        <v>1219.28</v>
      </c>
    </row>
    <row r="2587" spans="1:2">
      <c r="A2587" t="s">
        <v>3757</v>
      </c>
      <c r="B2587" s="16">
        <v>1227.08</v>
      </c>
    </row>
    <row r="2588" spans="1:2">
      <c r="A2588" t="s">
        <v>3758</v>
      </c>
      <c r="B2588" s="16">
        <v>1240.82</v>
      </c>
    </row>
    <row r="2589" spans="1:2">
      <c r="A2589" t="s">
        <v>3759</v>
      </c>
      <c r="B2589" s="16">
        <v>1231.19</v>
      </c>
    </row>
    <row r="2590" spans="1:2">
      <c r="A2590" t="s">
        <v>3760</v>
      </c>
      <c r="B2590" s="16">
        <v>1219.54</v>
      </c>
    </row>
    <row r="2591" spans="1:2">
      <c r="A2591" t="s">
        <v>3761</v>
      </c>
      <c r="B2591" s="16">
        <v>1215.5899999999999</v>
      </c>
    </row>
    <row r="2592" spans="1:2">
      <c r="A2592" t="s">
        <v>3762</v>
      </c>
      <c r="B2592" s="16">
        <v>1199.47</v>
      </c>
    </row>
    <row r="2593" spans="1:2">
      <c r="A2593" t="s">
        <v>3763</v>
      </c>
      <c r="B2593" s="16">
        <v>1213.01</v>
      </c>
    </row>
    <row r="2594" spans="1:2">
      <c r="A2594" t="s">
        <v>3764</v>
      </c>
      <c r="B2594" s="16">
        <v>1208.5899999999999</v>
      </c>
    </row>
    <row r="2595" spans="1:2">
      <c r="A2595" t="s">
        <v>3765</v>
      </c>
      <c r="B2595" s="16">
        <v>1189.96</v>
      </c>
    </row>
    <row r="2596" spans="1:2">
      <c r="A2596" t="s">
        <v>3766</v>
      </c>
      <c r="B2596" s="16">
        <v>1190.49</v>
      </c>
    </row>
    <row r="2597" spans="1:2">
      <c r="A2597" t="s">
        <v>3767</v>
      </c>
      <c r="B2597" s="16">
        <v>1202.58</v>
      </c>
    </row>
    <row r="2598" spans="1:2">
      <c r="A2598" t="s">
        <v>3768</v>
      </c>
      <c r="B2598" s="16">
        <v>1203.1500000000001</v>
      </c>
    </row>
    <row r="2599" spans="1:2">
      <c r="A2599" t="s">
        <v>3769</v>
      </c>
      <c r="B2599" s="16">
        <v>1189.54</v>
      </c>
    </row>
    <row r="2600" spans="1:2">
      <c r="A2600" t="s">
        <v>3770</v>
      </c>
      <c r="B2600" s="16">
        <v>1182.73</v>
      </c>
    </row>
    <row r="2601" spans="1:2">
      <c r="A2601" t="s">
        <v>3771</v>
      </c>
      <c r="B2601" s="16">
        <v>1191.1600000000001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Data</vt:lpstr>
      <vt:lpstr>Taux</vt:lpstr>
      <vt:lpstr>Feuil1</vt:lpstr>
      <vt:lpstr>Feuil2</vt:lpstr>
      <vt:lpstr>EUROSTOXX</vt:lpstr>
      <vt:lpstr>S&amp;P EuroUSA 50 Low Carbon ESG S</vt:lpstr>
      <vt:lpstr>iSTOXX</vt:lpstr>
      <vt:lpstr>iSTOXX2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Rollin Raphael</dc:creator>
  <cp:lastModifiedBy>QUACH Hong Phuc</cp:lastModifiedBy>
  <dcterms:created xsi:type="dcterms:W3CDTF">2020-09-29T09:01:06Z</dcterms:created>
  <dcterms:modified xsi:type="dcterms:W3CDTF">2026-03-17T15:48:31Z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e4f81-4b1c-4a3a-b237-8636707719dc_Enabled">
    <vt:lpwstr>true</vt:lpwstr>
  </property>
  <property fmtid="{D5CDD505-2E9C-101B-9397-08002B2CF9AE}" pid="3" name="MSIP_Label_797e4f81-4b1c-4a3a-b237-8636707719dc_SetDate">
    <vt:lpwstr>2023-09-29T12:06:58Z</vt:lpwstr>
  </property>
  <property fmtid="{D5CDD505-2E9C-101B-9397-08002B2CF9AE}" pid="4" name="MSIP_Label_797e4f81-4b1c-4a3a-b237-8636707719dc_Method">
    <vt:lpwstr>Privileged</vt:lpwstr>
  </property>
  <property fmtid="{D5CDD505-2E9C-101B-9397-08002B2CF9AE}" pid="5" name="MSIP_Label_797e4f81-4b1c-4a3a-b237-8636707719dc_Name">
    <vt:lpwstr>797e4f81-4b1c-4a3a-b237-8636707719dc</vt:lpwstr>
  </property>
  <property fmtid="{D5CDD505-2E9C-101B-9397-08002B2CF9AE}" pid="6" name="MSIP_Label_797e4f81-4b1c-4a3a-b237-8636707719dc_SiteId">
    <vt:lpwstr>d5bb6d35-8a82-4329-b49a-5030bd6497ab</vt:lpwstr>
  </property>
  <property fmtid="{D5CDD505-2E9C-101B-9397-08002B2CF9AE}" pid="7" name="MSIP_Label_797e4f81-4b1c-4a3a-b237-8636707719dc_ActionId">
    <vt:lpwstr>19b5a559-3684-42b0-9812-a4226c6053df</vt:lpwstr>
  </property>
  <property fmtid="{D5CDD505-2E9C-101B-9397-08002B2CF9AE}" pid="8" name="MSIP_Label_797e4f81-4b1c-4a3a-b237-8636707719dc_ContentBits">
    <vt:lpwstr>2</vt:lpwstr>
  </property>
  <property fmtid="{D5CDD505-2E9C-101B-9397-08002B2CF9AE}" pid="9" name="MSIP_Label_13a33b84-80ad-42de-a720-6b5d1b5c8fd5_Enabled">
    <vt:lpwstr>true</vt:lpwstr>
  </property>
  <property fmtid="{D5CDD505-2E9C-101B-9397-08002B2CF9AE}" pid="10" name="MSIP_Label_13a33b84-80ad-42de-a720-6b5d1b5c8fd5_SetDate">
    <vt:lpwstr>2025-06-12T06:49:07Z</vt:lpwstr>
  </property>
  <property fmtid="{D5CDD505-2E9C-101B-9397-08002B2CF9AE}" pid="11" name="MSIP_Label_13a33b84-80ad-42de-a720-6b5d1b5c8fd5_Method">
    <vt:lpwstr>Standard</vt:lpwstr>
  </property>
  <property fmtid="{D5CDD505-2E9C-101B-9397-08002B2CF9AE}" pid="12" name="MSIP_Label_13a33b84-80ad-42de-a720-6b5d1b5c8fd5_Name">
    <vt:lpwstr>Interne</vt:lpwstr>
  </property>
  <property fmtid="{D5CDD505-2E9C-101B-9397-08002B2CF9AE}" pid="13" name="MSIP_Label_13a33b84-80ad-42de-a720-6b5d1b5c8fd5_SiteId">
    <vt:lpwstr>6113e532-f814-4bb9-ae61-898381e45aec</vt:lpwstr>
  </property>
  <property fmtid="{D5CDD505-2E9C-101B-9397-08002B2CF9AE}" pid="14" name="MSIP_Label_13a33b84-80ad-42de-a720-6b5d1b5c8fd5_ActionId">
    <vt:lpwstr>fe79c5a6-f732-4bae-8e63-5d34d471eb45</vt:lpwstr>
  </property>
  <property fmtid="{D5CDD505-2E9C-101B-9397-08002B2CF9AE}" pid="15" name="MSIP_Label_13a33b84-80ad-42de-a720-6b5d1b5c8fd5_ContentBits">
    <vt:lpwstr>0</vt:lpwstr>
  </property>
</Properties>
</file>